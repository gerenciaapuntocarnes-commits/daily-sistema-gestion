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av/Proyectos/daily-sistema-gestion/"/>
    </mc:Choice>
  </mc:AlternateContent>
  <xr:revisionPtr revIDLastSave="0" documentId="13_ncr:20001_{F5933A7A-5F2F-904D-BE92-A40B947F7A3A}" xr6:coauthVersionLast="47" xr6:coauthVersionMax="47" xr10:uidLastSave="{00000000-0000-0000-0000-000000000000}"/>
  <bookViews>
    <workbookView xWindow="34380" yWindow="1720" windowWidth="30240" windowHeight="18980" activeTab="4" xr2:uid="{00000000-000D-0000-FFFF-FFFF00000000}"/>
  </bookViews>
  <sheets>
    <sheet name="PRODUCCIÓN" sheetId="2" state="hidden" r:id="rId1"/>
    <sheet name="SEPTIEMBRE 2025" sheetId="3" state="hidden" r:id="rId2"/>
    <sheet name="VENTAS NAVIDAD" sheetId="4" state="hidden" r:id="rId3"/>
    <sheet name="VENTAS DAILY 2025" sheetId="5" state="hidden" r:id="rId4"/>
    <sheet name=" BASE DATOS" sheetId="7" r:id="rId5"/>
    <sheet name="CLIENTES SIN COMPRA " sheetId="6" r:id="rId6"/>
  </sheets>
  <definedNames>
    <definedName name="_xlnm._FilterDatabase" localSheetId="1" hidden="1">'SEPTIEMBRE 2025'!$A$1:$G$515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2" i="7" l="1"/>
  <c r="F138" i="7"/>
  <c r="F970" i="6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0" i="4"/>
  <c r="G79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F70" i="2"/>
  <c r="I69" i="2"/>
  <c r="H69" i="2"/>
  <c r="F69" i="2"/>
  <c r="I68" i="2"/>
  <c r="H68" i="2"/>
  <c r="F68" i="2"/>
  <c r="I67" i="2"/>
  <c r="H67" i="2"/>
  <c r="F67" i="2"/>
  <c r="I66" i="2"/>
  <c r="H66" i="2"/>
  <c r="F66" i="2"/>
  <c r="I65" i="2"/>
  <c r="H65" i="2"/>
  <c r="F65" i="2"/>
  <c r="I64" i="2"/>
  <c r="H64" i="2"/>
  <c r="F64" i="2"/>
  <c r="I63" i="2"/>
  <c r="H63" i="2"/>
  <c r="F63" i="2"/>
  <c r="I62" i="2"/>
  <c r="H62" i="2"/>
  <c r="F62" i="2"/>
  <c r="I61" i="2"/>
  <c r="H61" i="2"/>
  <c r="F61" i="2"/>
  <c r="I60" i="2"/>
  <c r="H60" i="2"/>
  <c r="F60" i="2"/>
  <c r="I59" i="2"/>
  <c r="H59" i="2"/>
  <c r="F59" i="2"/>
  <c r="I58" i="2"/>
  <c r="H58" i="2"/>
  <c r="F58" i="2"/>
  <c r="I57" i="2"/>
  <c r="H57" i="2"/>
  <c r="F57" i="2"/>
  <c r="I56" i="2"/>
  <c r="H56" i="2"/>
  <c r="F56" i="2"/>
  <c r="I55" i="2"/>
  <c r="H55" i="2"/>
  <c r="F55" i="2"/>
  <c r="I54" i="2"/>
  <c r="H54" i="2"/>
  <c r="F54" i="2"/>
  <c r="I53" i="2"/>
  <c r="H53" i="2"/>
  <c r="F53" i="2"/>
  <c r="I52" i="2"/>
  <c r="H52" i="2"/>
  <c r="F52" i="2"/>
  <c r="I51" i="2"/>
  <c r="H51" i="2"/>
  <c r="F51" i="2"/>
  <c r="I50" i="2"/>
  <c r="H50" i="2"/>
  <c r="F50" i="2"/>
  <c r="I49" i="2"/>
  <c r="H49" i="2"/>
  <c r="F49" i="2"/>
  <c r="I48" i="2"/>
  <c r="H48" i="2"/>
  <c r="F48" i="2"/>
  <c r="I47" i="2"/>
  <c r="H47" i="2"/>
  <c r="F47" i="2"/>
  <c r="I46" i="2"/>
  <c r="H46" i="2"/>
  <c r="F46" i="2"/>
  <c r="I45" i="2"/>
  <c r="H45" i="2"/>
  <c r="F45" i="2"/>
  <c r="I44" i="2"/>
  <c r="H44" i="2"/>
  <c r="F44" i="2"/>
  <c r="I43" i="2"/>
  <c r="H43" i="2"/>
  <c r="F43" i="2"/>
  <c r="I42" i="2"/>
  <c r="H42" i="2"/>
  <c r="F42" i="2"/>
  <c r="I41" i="2"/>
  <c r="H41" i="2"/>
  <c r="F41" i="2"/>
  <c r="I40" i="2"/>
  <c r="H40" i="2"/>
  <c r="F40" i="2"/>
  <c r="I39" i="2"/>
  <c r="H39" i="2"/>
  <c r="F39" i="2"/>
  <c r="I38" i="2"/>
  <c r="H38" i="2"/>
  <c r="F38" i="2"/>
  <c r="I37" i="2"/>
  <c r="H37" i="2"/>
  <c r="F37" i="2"/>
  <c r="I36" i="2"/>
  <c r="H36" i="2"/>
  <c r="F36" i="2"/>
  <c r="I35" i="2"/>
  <c r="H35" i="2"/>
  <c r="F35" i="2"/>
  <c r="I34" i="2"/>
  <c r="H34" i="2"/>
  <c r="F34" i="2"/>
  <c r="I33" i="2"/>
  <c r="H33" i="2"/>
  <c r="F33" i="2"/>
  <c r="I32" i="2"/>
  <c r="H32" i="2"/>
  <c r="F32" i="2"/>
  <c r="I31" i="2"/>
  <c r="H31" i="2"/>
  <c r="F31" i="2"/>
  <c r="I30" i="2"/>
  <c r="H30" i="2"/>
  <c r="F30" i="2"/>
  <c r="I29" i="2"/>
  <c r="H29" i="2"/>
  <c r="F29" i="2"/>
  <c r="I28" i="2"/>
  <c r="H28" i="2"/>
  <c r="F28" i="2"/>
  <c r="I27" i="2"/>
  <c r="H27" i="2"/>
  <c r="F27" i="2"/>
  <c r="I26" i="2"/>
  <c r="H26" i="2"/>
  <c r="F26" i="2"/>
  <c r="I25" i="2"/>
  <c r="H25" i="2"/>
  <c r="F25" i="2"/>
  <c r="I24" i="2"/>
  <c r="H24" i="2"/>
  <c r="F24" i="2"/>
  <c r="I23" i="2"/>
  <c r="H23" i="2"/>
  <c r="F23" i="2"/>
  <c r="I22" i="2"/>
  <c r="H22" i="2"/>
  <c r="F22" i="2"/>
  <c r="I21" i="2"/>
  <c r="H21" i="2"/>
  <c r="F21" i="2"/>
  <c r="I20" i="2"/>
  <c r="H20" i="2"/>
  <c r="F20" i="2"/>
  <c r="I19" i="2"/>
  <c r="H19" i="2"/>
  <c r="F19" i="2"/>
  <c r="I18" i="2"/>
  <c r="H18" i="2"/>
  <c r="F18" i="2"/>
  <c r="I17" i="2"/>
  <c r="H17" i="2"/>
  <c r="F17" i="2"/>
  <c r="I16" i="2"/>
  <c r="H16" i="2"/>
  <c r="F16" i="2"/>
  <c r="I15" i="2"/>
  <c r="H15" i="2"/>
  <c r="F15" i="2"/>
  <c r="I14" i="2"/>
  <c r="H14" i="2"/>
  <c r="F14" i="2"/>
  <c r="I13" i="2"/>
  <c r="H13" i="2"/>
  <c r="F13" i="2"/>
  <c r="I12" i="2"/>
  <c r="H12" i="2"/>
  <c r="F12" i="2"/>
  <c r="I11" i="2"/>
  <c r="H11" i="2"/>
  <c r="F11" i="2"/>
  <c r="I10" i="2"/>
  <c r="H10" i="2"/>
  <c r="F10" i="2"/>
  <c r="I9" i="2"/>
  <c r="H9" i="2"/>
  <c r="F9" i="2"/>
  <c r="I8" i="2"/>
  <c r="H8" i="2"/>
  <c r="F8" i="2"/>
  <c r="I7" i="2"/>
  <c r="H7" i="2"/>
  <c r="F7" i="2"/>
  <c r="I6" i="2"/>
  <c r="H6" i="2"/>
  <c r="F6" i="2"/>
  <c r="I5" i="2"/>
  <c r="H5" i="2"/>
  <c r="F5" i="2"/>
  <c r="I4" i="2"/>
  <c r="H4" i="2"/>
  <c r="F4" i="2"/>
  <c r="I3" i="2"/>
  <c r="H3" i="2"/>
  <c r="F3" i="2"/>
  <c r="I2" i="2"/>
  <c r="H2" i="2"/>
  <c r="F2" i="2"/>
</calcChain>
</file>

<file path=xl/sharedStrings.xml><?xml version="1.0" encoding="utf-8"?>
<sst xmlns="http://schemas.openxmlformats.org/spreadsheetml/2006/main" count="15301" uniqueCount="10631">
  <si>
    <t>FECHA</t>
  </si>
  <si>
    <t>CLIENTE</t>
  </si>
  <si>
    <t># FACTURA</t>
  </si>
  <si>
    <t>VALOR</t>
  </si>
  <si>
    <t>VALOR NOTA CREDITO</t>
  </si>
  <si>
    <t>MEDIO DE PAGO</t>
  </si>
  <si>
    <t>Adriana castro</t>
  </si>
  <si>
    <t>BANCOLOMBIA</t>
  </si>
  <si>
    <t>María Inés Luna Carrizosa</t>
  </si>
  <si>
    <t>Carolina Perez</t>
  </si>
  <si>
    <t>LINK</t>
  </si>
  <si>
    <t>Maritza Carrascal</t>
  </si>
  <si>
    <t>Paola Gallo Stiernon</t>
  </si>
  <si>
    <t>Greisy Díaz</t>
  </si>
  <si>
    <t xml:space="preserve">Andrés Moreno Gómez 
</t>
  </si>
  <si>
    <t>Laura González Aparicio</t>
  </si>
  <si>
    <t>EFECTIVO</t>
  </si>
  <si>
    <t xml:space="preserve">Ivette Zamora </t>
  </si>
  <si>
    <t>Doris Merlano González</t>
  </si>
  <si>
    <t xml:space="preserve">Lorena Eodriguez
</t>
  </si>
  <si>
    <t>María Claudia Pérez</t>
  </si>
  <si>
    <t>BANCO DE BOGOTA</t>
  </si>
  <si>
    <t xml:space="preserve">Maria Alvarado
</t>
  </si>
  <si>
    <t>Maria Paula Galán Ardila</t>
  </si>
  <si>
    <t>Orlando Sánchez Neira</t>
  </si>
  <si>
    <t>Jose Alejandro Moreno</t>
  </si>
  <si>
    <t>Oscar Rodriguez</t>
  </si>
  <si>
    <t>María Ester López Rodríguez</t>
  </si>
  <si>
    <t>Lulú Aparicio</t>
  </si>
  <si>
    <t>Andrea Serna Umaña</t>
  </si>
  <si>
    <t>Bibiana Rodríguez</t>
  </si>
  <si>
    <t xml:space="preserve">Ana Maria Santana
</t>
  </si>
  <si>
    <t>Pamela Tellez Barreto</t>
  </si>
  <si>
    <t>Lina María Pinto Quintero</t>
  </si>
  <si>
    <t>Juliana Burgos Sánchez</t>
  </si>
  <si>
    <t>Andrea Atuesta</t>
  </si>
  <si>
    <t xml:space="preserve">Shirley Baracaldo
</t>
  </si>
  <si>
    <t>Diana Villamil</t>
  </si>
  <si>
    <t>Luisa Posada Iregui</t>
  </si>
  <si>
    <t>Edwin Alfonso Forero Labrador</t>
  </si>
  <si>
    <t>Amparo Storino De Castillo</t>
  </si>
  <si>
    <t>Alejandra Rojas Zapata (DIGITAL COMER SAS)</t>
  </si>
  <si>
    <t>Liliana Echeverri Franco</t>
  </si>
  <si>
    <t xml:space="preserve">Diego Merizalde
</t>
  </si>
  <si>
    <t>Ana María Balcárcel Morcillo</t>
  </si>
  <si>
    <t>Ilona Murcia Ljjasz</t>
  </si>
  <si>
    <t>Viviana Cera</t>
  </si>
  <si>
    <t>Alicia Ponce De León</t>
  </si>
  <si>
    <t>Catalina Velásquez</t>
  </si>
  <si>
    <t>Adriana Buitrago</t>
  </si>
  <si>
    <t>Natalia Cañas Arboleda</t>
  </si>
  <si>
    <t>Juliana Plazas Ruiz</t>
  </si>
  <si>
    <t xml:space="preserve">Andres Tovar
</t>
  </si>
  <si>
    <t>Daniela Mejia</t>
  </si>
  <si>
    <t>Fernando Acevedo  (Olga Perdomo Ospina)</t>
  </si>
  <si>
    <t>Fabio Mauricio Pinzón González</t>
  </si>
  <si>
    <t>Penélope Sompolas</t>
  </si>
  <si>
    <t>Marta Peñalosa</t>
  </si>
  <si>
    <t>Paula Montoya</t>
  </si>
  <si>
    <t>Gonzalo Hernandez</t>
  </si>
  <si>
    <t>Laura Peraza</t>
  </si>
  <si>
    <t xml:space="preserve">Laura Escallon
</t>
  </si>
  <si>
    <t xml:space="preserve">Nancy Pedraza
</t>
  </si>
  <si>
    <t xml:space="preserve">Podero SAS ( Liliana Gomez) </t>
  </si>
  <si>
    <t xml:space="preserve">Andrea Restrepo
</t>
  </si>
  <si>
    <t xml:space="preserve">Diana Escobar </t>
  </si>
  <si>
    <t>Paola Forero González</t>
  </si>
  <si>
    <t>Inversiones GSA SAS  Alejandro Alban Ramirez</t>
  </si>
  <si>
    <t>Luz Dary Gaona</t>
  </si>
  <si>
    <t xml:space="preserve">Jonny Martínez
</t>
  </si>
  <si>
    <t>Diana Stand</t>
  </si>
  <si>
    <t>La Carnicerie</t>
  </si>
  <si>
    <t>CRUCE</t>
  </si>
  <si>
    <t>Juanita Gutiérrez</t>
  </si>
  <si>
    <t xml:space="preserve">Leidy Faisully Martín García 
</t>
  </si>
  <si>
    <t xml:space="preserve">Mariana Hernández
</t>
  </si>
  <si>
    <t>Diana Salazar</t>
  </si>
  <si>
    <t>Carolina Iregui</t>
  </si>
  <si>
    <t>Patricia Camero</t>
  </si>
  <si>
    <t xml:space="preserve">Carolina Vargas
</t>
  </si>
  <si>
    <t>Daniela González Peláez</t>
  </si>
  <si>
    <t>Diana Galindo Paz (Juan Ortiz Galindo)</t>
  </si>
  <si>
    <t>Catalina Mariño</t>
  </si>
  <si>
    <t xml:space="preserve">Lina María Gallego
</t>
  </si>
  <si>
    <t>Estefanía Morales</t>
  </si>
  <si>
    <t>Jorge Luis Olivares Bayona</t>
  </si>
  <si>
    <t>Adriana Escallón</t>
  </si>
  <si>
    <t>Carolina Isaza Espinosa</t>
  </si>
  <si>
    <t>Sandra Castelo Meza</t>
  </si>
  <si>
    <t>María Alejandra Díaz</t>
  </si>
  <si>
    <t>Alix M. Suárez Rodrígurez</t>
  </si>
  <si>
    <t>Francia Helena Vargas Bolivar</t>
  </si>
  <si>
    <t xml:space="preserve">María Alejandra Jaramillo
</t>
  </si>
  <si>
    <t>Laura Gómez Gutiérrez</t>
  </si>
  <si>
    <t>Alicia Tatiana Sanz Montaño</t>
  </si>
  <si>
    <t>Martín Arango</t>
  </si>
  <si>
    <t>Maria Camila Mesa Botero (Carolina Meza)</t>
  </si>
  <si>
    <t>Sara María Hernández Zuluaga</t>
  </si>
  <si>
    <t xml:space="preserve">Rosalba Cabrales Moreno </t>
  </si>
  <si>
    <t xml:space="preserve">Monica Otero
</t>
  </si>
  <si>
    <t xml:space="preserve">Daniel Cabarcas Parra
</t>
  </si>
  <si>
    <t xml:space="preserve">Sandra Rodríguez </t>
  </si>
  <si>
    <t>Camila Tribín Uribe</t>
  </si>
  <si>
    <t>Helena Concha de Venegas</t>
  </si>
  <si>
    <t>Lina María Rangel</t>
  </si>
  <si>
    <t>Yovanna Nuñez Casanova</t>
  </si>
  <si>
    <t>Mateo Uribe Moreno</t>
  </si>
  <si>
    <t xml:space="preserve">Lusiana Ramon
</t>
  </si>
  <si>
    <t>Victoria Hernández</t>
  </si>
  <si>
    <t>Heidi Uesseler Franco</t>
  </si>
  <si>
    <t>Ana María Pulido</t>
  </si>
  <si>
    <t>Cristina Castro Wey</t>
  </si>
  <si>
    <t>Juliana Patiño Rengifo</t>
  </si>
  <si>
    <t>Alejandra Sierra Camargo</t>
  </si>
  <si>
    <t>Paula García Varela</t>
  </si>
  <si>
    <t>Podero SAS ( Liliana Gomez)</t>
  </si>
  <si>
    <t xml:space="preserve">María del Mar Chaustre </t>
  </si>
  <si>
    <t>Paula Cáceres Rodríguez</t>
  </si>
  <si>
    <t xml:space="preserve">Maria Carranza
</t>
  </si>
  <si>
    <t>Josefina del Castillo</t>
  </si>
  <si>
    <t>Alvaro José Mendoza Manjarres</t>
  </si>
  <si>
    <t xml:space="preserve">Angie Franco
</t>
  </si>
  <si>
    <t xml:space="preserve">Catalina Vargas Zambrano (Mariano Lugari) </t>
  </si>
  <si>
    <t xml:space="preserve">Rafael Lopez
</t>
  </si>
  <si>
    <t>Erika Quintero Sarmiento</t>
  </si>
  <si>
    <t>Patricia Irisarri</t>
  </si>
  <si>
    <t>Natalia Zambrano</t>
  </si>
  <si>
    <t>María Olga Martínez Cruz</t>
  </si>
  <si>
    <t>María Fernanda Ardila López</t>
  </si>
  <si>
    <t xml:space="preserve">Mara José Gutierrez
</t>
  </si>
  <si>
    <t>Jorge Augusto Avellaneda Rincón</t>
  </si>
  <si>
    <t>Laura Daniela Ruiz Beltrán</t>
  </si>
  <si>
    <t>Lorena Neira Ramírez</t>
  </si>
  <si>
    <t>María Camila Viteri Toro</t>
  </si>
  <si>
    <t>Marcela Restrepo Barrera</t>
  </si>
  <si>
    <t xml:space="preserve">Snayder Acero
</t>
  </si>
  <si>
    <t xml:space="preserve">Juliana Tello
</t>
  </si>
  <si>
    <t xml:space="preserve">Fermin Ernesto Romero
</t>
  </si>
  <si>
    <t xml:space="preserve">Valentina Usuga 
</t>
  </si>
  <si>
    <t>Diana Carolina Jiménez Bermúdez</t>
  </si>
  <si>
    <t>Carlos Mario Isaza Serrano</t>
  </si>
  <si>
    <t xml:space="preserve">Susana Ramos 
</t>
  </si>
  <si>
    <t xml:space="preserve">Felipe Martínez
</t>
  </si>
  <si>
    <t xml:space="preserve">Andres Montoya
</t>
  </si>
  <si>
    <t xml:space="preserve">María Andrea Cermeño </t>
  </si>
  <si>
    <t>Stephany Cuellar Rivera</t>
  </si>
  <si>
    <t>Blanca Ramirez Baquero</t>
  </si>
  <si>
    <t>Carolina Bahamón López</t>
  </si>
  <si>
    <t>Diana Duque</t>
  </si>
  <si>
    <t>Camila Visbal Sierra</t>
  </si>
  <si>
    <t xml:space="preserve">Maria Alvarez
</t>
  </si>
  <si>
    <t xml:space="preserve">Juan Zavalia Paunero (MCO ADVISORS SAS)
</t>
  </si>
  <si>
    <t>Catalina Barón Triana</t>
  </si>
  <si>
    <t xml:space="preserve">Carolina Morales </t>
  </si>
  <si>
    <t>Alba Luz Barriga Carpetalk</t>
  </si>
  <si>
    <t>Yenny Romero</t>
  </si>
  <si>
    <t>Andrea García Castro</t>
  </si>
  <si>
    <t>María Fernanda Ogliastri</t>
  </si>
  <si>
    <t>Martha Duran</t>
  </si>
  <si>
    <t xml:space="preserve">Yina Paola Gonzalez Peñaranda </t>
  </si>
  <si>
    <t>Betty Arregocés</t>
  </si>
  <si>
    <t xml:space="preserve">Diana Patricia Sanchez </t>
  </si>
  <si>
    <t xml:space="preserve">Ana Maria Rodriguez
</t>
  </si>
  <si>
    <t xml:space="preserve">Jose Miguel Vásquez </t>
  </si>
  <si>
    <t>Maria Claudia González</t>
  </si>
  <si>
    <t>Bertha Inés López V.</t>
  </si>
  <si>
    <t>Britta Sophia Brand</t>
  </si>
  <si>
    <t>Diana María Camacho Arias</t>
  </si>
  <si>
    <t xml:space="preserve">Catalina Camelo
</t>
  </si>
  <si>
    <t>María Clara Vanegas</t>
  </si>
  <si>
    <t>Zarina Avila</t>
  </si>
  <si>
    <t xml:space="preserve">Beatriz Leeb de Robledo
</t>
  </si>
  <si>
    <t>Sylvia Barrero García &amp; FERNANDO ESTRADA</t>
  </si>
  <si>
    <t>Juan Fernando Paez</t>
  </si>
  <si>
    <t>Rocío García</t>
  </si>
  <si>
    <t>ver</t>
  </si>
  <si>
    <t>RECETA PLANEADA</t>
  </si>
  <si>
    <t>FECHA DE PRODUCCIÓN</t>
  </si>
  <si>
    <t xml:space="preserve">VIDA UTIL(DIAS) </t>
  </si>
  <si>
    <t>LOTE</t>
  </si>
  <si>
    <t>FECHA VENCIMIENTO</t>
  </si>
  <si>
    <t>PRODUCIDO</t>
  </si>
  <si>
    <t>DIFERENCIA UNIDADES</t>
  </si>
  <si>
    <t>RENDIMIENTO</t>
  </si>
  <si>
    <t>Sopa Acelga con espinaca</t>
  </si>
  <si>
    <t>Sopa Verduras</t>
  </si>
  <si>
    <t>Sopa Tomate &amp; Albahaca</t>
  </si>
  <si>
    <t>Sopa Mexicana</t>
  </si>
  <si>
    <t>Proteina Pulled Pork</t>
  </si>
  <si>
    <t>Sopa Lentejas &amp; Curry</t>
  </si>
  <si>
    <t>Sopa Brócoli &amp; Parmesano</t>
  </si>
  <si>
    <t>Salsa Napolitana</t>
  </si>
  <si>
    <t>S010524</t>
  </si>
  <si>
    <t>A010524</t>
  </si>
  <si>
    <t>Sopa Ahuyama &amp; hiebabuena</t>
  </si>
  <si>
    <t>H010524</t>
  </si>
  <si>
    <t>Proteina Albóndigas Italinas</t>
  </si>
  <si>
    <t>I010524</t>
  </si>
  <si>
    <t>P010524</t>
  </si>
  <si>
    <t>Proteina Cerdo Agridulce</t>
  </si>
  <si>
    <t>Sopa Zanahoria &amp; Jengibre</t>
  </si>
  <si>
    <t>Salsa Bolognesa</t>
  </si>
  <si>
    <t>Proteina pollo al Curry</t>
  </si>
  <si>
    <t>Salsa Napolitana 250gr</t>
  </si>
  <si>
    <t>Salsa Napolitana 400gr</t>
  </si>
  <si>
    <t>Salsa Bolognesa 250gr</t>
  </si>
  <si>
    <t>Salsa Bolognesa 400gr</t>
  </si>
  <si>
    <t>Proteina Cerdo Teriyaki</t>
  </si>
  <si>
    <t>Proteina Carne Desmechada</t>
  </si>
  <si>
    <t>Arepas</t>
  </si>
  <si>
    <t>pol</t>
  </si>
  <si>
    <t>31/04/2025</t>
  </si>
  <si>
    <t>31/06/2025</t>
  </si>
  <si>
    <t xml:space="preserve">ABRIL </t>
  </si>
  <si>
    <t>Costillas de Cerdo BBQ 300Gr</t>
  </si>
  <si>
    <t>Hogao</t>
  </si>
  <si>
    <t>MAYO</t>
  </si>
  <si>
    <t>Sopa Alcachofa Tradicional</t>
  </si>
  <si>
    <t>JUNIO</t>
  </si>
  <si>
    <t>Pollo Desmechado</t>
  </si>
  <si>
    <t xml:space="preserve">Pollo en Salsa Criolla </t>
  </si>
  <si>
    <t>21/112025</t>
  </si>
  <si>
    <t>26//02/2026</t>
  </si>
  <si>
    <t xml:space="preserve">SEPTIMBRE </t>
  </si>
  <si>
    <t>10/12//2025</t>
  </si>
  <si>
    <t>30/09/2025</t>
  </si>
  <si>
    <t>PROVIENE CLIENTE</t>
  </si>
  <si>
    <t xml:space="preserve">Adriana Gómez Montoya
</t>
  </si>
  <si>
    <t>No. FE 1980</t>
  </si>
  <si>
    <t>Adriana Sierra</t>
  </si>
  <si>
    <t>No. FE 1981</t>
  </si>
  <si>
    <t>Sandra Milena Piña Percy</t>
  </si>
  <si>
    <t>No. FE 1982</t>
  </si>
  <si>
    <t>No. FE 1983</t>
  </si>
  <si>
    <t>No. FE 1984</t>
  </si>
  <si>
    <t xml:space="preserve">Luz Dary Avendaño &amp;Tatiana Sosa Avendaño  </t>
  </si>
  <si>
    <t>No. FE 1985</t>
  </si>
  <si>
    <t>Bella Hilda</t>
  </si>
  <si>
    <t>No. FE 1986</t>
  </si>
  <si>
    <t xml:space="preserve">Maria Paula Gutiérrez Rivera </t>
  </si>
  <si>
    <t>No. FE 1987</t>
  </si>
  <si>
    <t>María Fernanda Peñuela González</t>
  </si>
  <si>
    <t>No. FE 1988</t>
  </si>
  <si>
    <t xml:space="preserve">Paola Andréa pachon </t>
  </si>
  <si>
    <t>No. FE 1989</t>
  </si>
  <si>
    <t>No. FE 1990</t>
  </si>
  <si>
    <t>No. FE 1991</t>
  </si>
  <si>
    <t>Angela Navas</t>
  </si>
  <si>
    <t>No. FE 1992</t>
  </si>
  <si>
    <t>Mónica Palma</t>
  </si>
  <si>
    <t>No. FE 1993</t>
  </si>
  <si>
    <t>Sara Paola Cuervo Guerrero</t>
  </si>
  <si>
    <t>No. FE 1994</t>
  </si>
  <si>
    <t>No. FE 1995</t>
  </si>
  <si>
    <t>Tatiana De Castro</t>
  </si>
  <si>
    <t>No. FE 1996</t>
  </si>
  <si>
    <t xml:space="preserve">Luis alejandro Ortiz
</t>
  </si>
  <si>
    <t>No. FE 1997</t>
  </si>
  <si>
    <t xml:space="preserve">Maria Paula Martinez Arias
</t>
  </si>
  <si>
    <t>No. FE 1998</t>
  </si>
  <si>
    <t>No. FE 1999</t>
  </si>
  <si>
    <t>No. FE 2000</t>
  </si>
  <si>
    <t>No. FE 2001</t>
  </si>
  <si>
    <t>No. FE 2002</t>
  </si>
  <si>
    <t>Heidi Maecha Forero</t>
  </si>
  <si>
    <t>No. FE 2003</t>
  </si>
  <si>
    <t>Maria Paula Pineda</t>
  </si>
  <si>
    <t>No. FE 2008</t>
  </si>
  <si>
    <t>Juan Felipe Restrepo Cobo</t>
  </si>
  <si>
    <t>No. FE 2005</t>
  </si>
  <si>
    <t>No. FE 2006</t>
  </si>
  <si>
    <t xml:space="preserve">Alejandra Acevedo
</t>
  </si>
  <si>
    <t>No. FE 2007</t>
  </si>
  <si>
    <t>Olga Lucía Molina</t>
  </si>
  <si>
    <t>No. FE 2009</t>
  </si>
  <si>
    <t>Diego Cano</t>
  </si>
  <si>
    <t>No. FE 2010</t>
  </si>
  <si>
    <t>Pablo Andrés Cortés Ochoa</t>
  </si>
  <si>
    <t>No. FE 2011</t>
  </si>
  <si>
    <t xml:space="preserve">Valentina Echeverry 
</t>
  </si>
  <si>
    <t>No. FE 2012</t>
  </si>
  <si>
    <t>Natalia Rosero Acosta</t>
  </si>
  <si>
    <t>No. FE 2013</t>
  </si>
  <si>
    <t>Laura Tibaquira</t>
  </si>
  <si>
    <t>No. FE 2014</t>
  </si>
  <si>
    <t>Juan Ordoñez</t>
  </si>
  <si>
    <t>No. FE 2015</t>
  </si>
  <si>
    <t>No. FE 2016</t>
  </si>
  <si>
    <t>Paola Calderon Quintero</t>
  </si>
  <si>
    <t>No. FE 2017</t>
  </si>
  <si>
    <t xml:space="preserve">Cesar Gaviria
</t>
  </si>
  <si>
    <t>No. FE 2018</t>
  </si>
  <si>
    <t>No. FE 2019</t>
  </si>
  <si>
    <t xml:space="preserve">Carolina Velez
</t>
  </si>
  <si>
    <t>No. FE 2020</t>
  </si>
  <si>
    <t>Laura Bulbena Janer</t>
  </si>
  <si>
    <t>No. FE 2021</t>
  </si>
  <si>
    <t>No. FE 2022</t>
  </si>
  <si>
    <t xml:space="preserve">Jennifer Salgado 
</t>
  </si>
  <si>
    <t>No. FE 2023</t>
  </si>
  <si>
    <t>Daniela Bula Aristizabal</t>
  </si>
  <si>
    <t>No. FE 2024</t>
  </si>
  <si>
    <t>Liliana Osuna</t>
  </si>
  <si>
    <t>No. FE 2025</t>
  </si>
  <si>
    <t xml:space="preserve">Julian cortes
</t>
  </si>
  <si>
    <t>No. FE 2026</t>
  </si>
  <si>
    <t>María Teresa Becerra</t>
  </si>
  <si>
    <t>No. FE 2027</t>
  </si>
  <si>
    <t>No. FE 2028</t>
  </si>
  <si>
    <t>Camila Forero Perilla</t>
  </si>
  <si>
    <t>No. FE 2029</t>
  </si>
  <si>
    <t>Ashley Schmalbach</t>
  </si>
  <si>
    <t>No. FE 2040</t>
  </si>
  <si>
    <t>María Fernanda Avila</t>
  </si>
  <si>
    <t>No. FE 2041</t>
  </si>
  <si>
    <t>No. FE 2030</t>
  </si>
  <si>
    <t>Daly Camelo</t>
  </si>
  <si>
    <t>No. FE 2031</t>
  </si>
  <si>
    <t>No. FE 2032</t>
  </si>
  <si>
    <t xml:space="preserve">Bibiana Martinez
</t>
  </si>
  <si>
    <t>No. FE 2033</t>
  </si>
  <si>
    <t>No. FE 2034</t>
  </si>
  <si>
    <t>No. FE 2035</t>
  </si>
  <si>
    <t>Carolina Samper</t>
  </si>
  <si>
    <t>No. FE 2036</t>
  </si>
  <si>
    <t>Carolina Galvis Vélez</t>
  </si>
  <si>
    <t>No. FE 2037</t>
  </si>
  <si>
    <t>Camila Valenzuela</t>
  </si>
  <si>
    <t>No. FE 2039</t>
  </si>
  <si>
    <t>No. FE 2038</t>
  </si>
  <si>
    <t>Marcela Mejia</t>
  </si>
  <si>
    <t>No. FE 2042</t>
  </si>
  <si>
    <t xml:space="preserve">Daniela Zuleta
</t>
  </si>
  <si>
    <t>No. FE 2043</t>
  </si>
  <si>
    <t>Juan Martín Arango</t>
  </si>
  <si>
    <t>No. FE 2044</t>
  </si>
  <si>
    <t xml:space="preserve">Julian Bernal 
</t>
  </si>
  <si>
    <t>No. FE 2045</t>
  </si>
  <si>
    <t xml:space="preserve">Andrea Leon </t>
  </si>
  <si>
    <t>No. FE 2046</t>
  </si>
  <si>
    <t xml:space="preserve">Edgardo Pena Arenas
</t>
  </si>
  <si>
    <t>No. FE 2047</t>
  </si>
  <si>
    <t xml:space="preserve">Paola Londoño
</t>
  </si>
  <si>
    <t>No. FE 2048</t>
  </si>
  <si>
    <t>No. FE 2049</t>
  </si>
  <si>
    <t>Santiago Villamil</t>
  </si>
  <si>
    <t>No. FE 2050</t>
  </si>
  <si>
    <t>Angela Peláez</t>
  </si>
  <si>
    <t>No. FE 2051</t>
  </si>
  <si>
    <t>Lorenzo Jaramillo Ramírez</t>
  </si>
  <si>
    <t>No. FE 2052</t>
  </si>
  <si>
    <t>No. FE 2056</t>
  </si>
  <si>
    <t>Cornelia Serna Lira</t>
  </si>
  <si>
    <t>No. FE 2053</t>
  </si>
  <si>
    <t>Luis Miguel Martínez</t>
  </si>
  <si>
    <t>No. FE 2054</t>
  </si>
  <si>
    <t>Juana Uribe</t>
  </si>
  <si>
    <t>No. FE 2055</t>
  </si>
  <si>
    <t>JOSE PABLO</t>
  </si>
  <si>
    <t>Alejandro Enciso</t>
  </si>
  <si>
    <t>No. FE 2057</t>
  </si>
  <si>
    <t>Alejandra Ordóñez Gutiérrez</t>
  </si>
  <si>
    <t>No. FE 2058</t>
  </si>
  <si>
    <t>No. FE 2059</t>
  </si>
  <si>
    <t>María Angélica Gómez Colmenares</t>
  </si>
  <si>
    <t>No. FE 2060</t>
  </si>
  <si>
    <t>No. FE 2062</t>
  </si>
  <si>
    <t>No. FE 2061</t>
  </si>
  <si>
    <t xml:space="preserve">S. MARIA </t>
  </si>
  <si>
    <t>José Pablo González Aparicio</t>
  </si>
  <si>
    <t>No. FE 2063</t>
  </si>
  <si>
    <t>CLIENTE DAILY</t>
  </si>
  <si>
    <t>No. FE 2064</t>
  </si>
  <si>
    <t>No. FE 2065</t>
  </si>
  <si>
    <t>Linda Martínez</t>
  </si>
  <si>
    <t>No. FE 2066</t>
  </si>
  <si>
    <t>Raquel Patricia Navas Mora</t>
  </si>
  <si>
    <t>No. FE 2067</t>
  </si>
  <si>
    <t>Martha Restrepo</t>
  </si>
  <si>
    <t>No. FE 2068</t>
  </si>
  <si>
    <t>No. FE 2069</t>
  </si>
  <si>
    <t>Paula Fandiño Hoshino</t>
  </si>
  <si>
    <t>No. FE 2070</t>
  </si>
  <si>
    <t>Alexandra Wilson</t>
  </si>
  <si>
    <t>No. FE 2071</t>
  </si>
  <si>
    <t xml:space="preserve">Julio Leyva
</t>
  </si>
  <si>
    <t>No. FE 2072</t>
  </si>
  <si>
    <t>Catalina Sánchez Andrade</t>
  </si>
  <si>
    <t>No. FE 2073</t>
  </si>
  <si>
    <t>No. FE 2075</t>
  </si>
  <si>
    <t>No. FE 2076</t>
  </si>
  <si>
    <t>No. FE 2077</t>
  </si>
  <si>
    <t>No. FE 2078</t>
  </si>
  <si>
    <t>Camila De Gamboa Tapias</t>
  </si>
  <si>
    <t>No. FE 2079</t>
  </si>
  <si>
    <t xml:space="preserve">Maria Mejia </t>
  </si>
  <si>
    <t>No. FE 2080</t>
  </si>
  <si>
    <t>Paula Alejandra Pulido Gonzalez</t>
  </si>
  <si>
    <t>No. FE 2082</t>
  </si>
  <si>
    <t>Anna Caicedo</t>
  </si>
  <si>
    <t>No. FE 2083</t>
  </si>
  <si>
    <t>Luz Angélica Forrero (Fresh Company SAS)</t>
  </si>
  <si>
    <t>No. FE 2084</t>
  </si>
  <si>
    <t>Estefany de la Cruz</t>
  </si>
  <si>
    <t>No. FE 2085</t>
  </si>
  <si>
    <t>Amparo Saavedra</t>
  </si>
  <si>
    <t>No. FE 2086</t>
  </si>
  <si>
    <t>Ana Milena coral</t>
  </si>
  <si>
    <t>No. FE 2087</t>
  </si>
  <si>
    <t>Claudia Carvajal</t>
  </si>
  <si>
    <t>No. FE 2088</t>
  </si>
  <si>
    <t>Martha Gongora</t>
  </si>
  <si>
    <t>No. FE 2074</t>
  </si>
  <si>
    <t>María Mercedes Gómez</t>
  </si>
  <si>
    <t>No. FE 2089</t>
  </si>
  <si>
    <t>No. FE 2090</t>
  </si>
  <si>
    <t>No. FE 2091</t>
  </si>
  <si>
    <t>No. FE 2092</t>
  </si>
  <si>
    <t>No. FE 2093</t>
  </si>
  <si>
    <t>Erika Jazmin</t>
  </si>
  <si>
    <t>No. FE 2094</t>
  </si>
  <si>
    <t>PAGINA</t>
  </si>
  <si>
    <t>Natalia Tovar Peña</t>
  </si>
  <si>
    <t>No. FE 2095</t>
  </si>
  <si>
    <t>No. FE 2096</t>
  </si>
  <si>
    <t>No. FE 2097</t>
  </si>
  <si>
    <t xml:space="preserve">Maria Elvira Perez (Monica Otero)
</t>
  </si>
  <si>
    <t>No. FE 2098</t>
  </si>
  <si>
    <t xml:space="preserve">Andres Gonzalez Acosta </t>
  </si>
  <si>
    <t>No. FE 2101</t>
  </si>
  <si>
    <t>Karina Quintero</t>
  </si>
  <si>
    <t>No. FE 2100</t>
  </si>
  <si>
    <t>Tatiana Arias Alemán</t>
  </si>
  <si>
    <t>No. FE 2102</t>
  </si>
  <si>
    <t>No. FE 2103</t>
  </si>
  <si>
    <t>Isabella Grau</t>
  </si>
  <si>
    <t>No. FE 2104</t>
  </si>
  <si>
    <t>Maria Maz Posada</t>
  </si>
  <si>
    <t>No. FE 2105</t>
  </si>
  <si>
    <t>No. FE 2106</t>
  </si>
  <si>
    <t>Daniel González Iregui</t>
  </si>
  <si>
    <t>No. FE 2099</t>
  </si>
  <si>
    <t>Cristian Camilo Flórez Novoa</t>
  </si>
  <si>
    <t>No. FE 2107</t>
  </si>
  <si>
    <t xml:space="preserve">Kelly Tolosa
</t>
  </si>
  <si>
    <t>No. FE 2108</t>
  </si>
  <si>
    <t>No. FE 2109</t>
  </si>
  <si>
    <t>No. FE 2110</t>
  </si>
  <si>
    <t>No. FE 2111</t>
  </si>
  <si>
    <t>No. FE 2112</t>
  </si>
  <si>
    <t>Francisco Gaona Currea</t>
  </si>
  <si>
    <t>No. FE 2113</t>
  </si>
  <si>
    <t xml:space="preserve">karla nathalia triana ortiz
</t>
  </si>
  <si>
    <t>No. FE 2114</t>
  </si>
  <si>
    <t>Laura Jimenez</t>
  </si>
  <si>
    <t>No. FE 2115</t>
  </si>
  <si>
    <t>Leandro Tamayo</t>
  </si>
  <si>
    <t>No. FE 2116</t>
  </si>
  <si>
    <t>No. FE 2121</t>
  </si>
  <si>
    <t>No. FE 2122</t>
  </si>
  <si>
    <t xml:space="preserve">Lizette Romero </t>
  </si>
  <si>
    <t>No. FE 2117</t>
  </si>
  <si>
    <t>Victoria Eugenia Tribín Echeverry</t>
  </si>
  <si>
    <t>No. FE 2118</t>
  </si>
  <si>
    <t>María Bula Caraballo</t>
  </si>
  <si>
    <t>No. FE 2119</t>
  </si>
  <si>
    <t>Diego Forero</t>
  </si>
  <si>
    <t>No. FE 2120</t>
  </si>
  <si>
    <t>Olga Caballero</t>
  </si>
  <si>
    <t>No. FE 2123</t>
  </si>
  <si>
    <t>Luz Marina Arias</t>
  </si>
  <si>
    <t>No. FE 2124</t>
  </si>
  <si>
    <t>Liliana Salazar Gómez</t>
  </si>
  <si>
    <t>No. FE 2125</t>
  </si>
  <si>
    <t>No. FE 2126</t>
  </si>
  <si>
    <t>No. FE 2127</t>
  </si>
  <si>
    <t xml:space="preserve">Luisa Vergara </t>
  </si>
  <si>
    <t>No. FE 2128</t>
  </si>
  <si>
    <t>Vanessa Acosta</t>
  </si>
  <si>
    <t>No. FE 2129</t>
  </si>
  <si>
    <t>No. FE 2130</t>
  </si>
  <si>
    <t>No. FE 2131</t>
  </si>
  <si>
    <t>Jannette Palacio</t>
  </si>
  <si>
    <t>No. FE 2132</t>
  </si>
  <si>
    <t xml:space="preserve">Fabián Rodríguez
</t>
  </si>
  <si>
    <t>No. FE 2133</t>
  </si>
  <si>
    <t xml:space="preserve">Adriana Cortés </t>
  </si>
  <si>
    <t>No. FE 2134</t>
  </si>
  <si>
    <t>No. FE 2135</t>
  </si>
  <si>
    <t>Daniela Mor</t>
  </si>
  <si>
    <t>No. FE 2136</t>
  </si>
  <si>
    <t xml:space="preserve">Maria Paula Tarazona </t>
  </si>
  <si>
    <t>No. FE 2137</t>
  </si>
  <si>
    <t xml:space="preserve">Giovanni Rodríguez
</t>
  </si>
  <si>
    <t>No. FE 2138</t>
  </si>
  <si>
    <t xml:space="preserve">Carolina Benavides
</t>
  </si>
  <si>
    <t>No. FE 2139</t>
  </si>
  <si>
    <t xml:space="preserve">Maria Quitian R
</t>
  </si>
  <si>
    <t>No. FE 2140</t>
  </si>
  <si>
    <t xml:space="preserve">Selene Del Pilar Campos
</t>
  </si>
  <si>
    <t>No. FE 2141</t>
  </si>
  <si>
    <t xml:space="preserve">Margarita Penaloza
</t>
  </si>
  <si>
    <t>No. FE 2142</t>
  </si>
  <si>
    <t xml:space="preserve">Ximena Guevara
</t>
  </si>
  <si>
    <t>No. FE 2143</t>
  </si>
  <si>
    <t>Sandra Ibagón Plazas</t>
  </si>
  <si>
    <t>No. FE 2144</t>
  </si>
  <si>
    <t>Angélica González Gómez</t>
  </si>
  <si>
    <t>No. FE 2145</t>
  </si>
  <si>
    <t>No. FE 2147</t>
  </si>
  <si>
    <t>2148 - 2153</t>
  </si>
  <si>
    <t>LINK LINK</t>
  </si>
  <si>
    <t>María Elvira Escallón</t>
  </si>
  <si>
    <t>No. FE 2149</t>
  </si>
  <si>
    <t>No. FE 2150</t>
  </si>
  <si>
    <t>Margarita Mantilla</t>
  </si>
  <si>
    <t>No. FE 2151</t>
  </si>
  <si>
    <t>No. FE 2152</t>
  </si>
  <si>
    <t>No. FE 2154</t>
  </si>
  <si>
    <t>No. FE 2155</t>
  </si>
  <si>
    <t xml:space="preserve">Francina Izquierdo
</t>
  </si>
  <si>
    <t>No. FE 2156</t>
  </si>
  <si>
    <t>No. FE 2157</t>
  </si>
  <si>
    <t>Maribel Moreno Herrera</t>
  </si>
  <si>
    <t>No. FE 2158</t>
  </si>
  <si>
    <t xml:space="preserve">Alejnadra Rozo </t>
  </si>
  <si>
    <t>No. FE 2159</t>
  </si>
  <si>
    <t>Natalia Saffon</t>
  </si>
  <si>
    <t>No. FE 2160</t>
  </si>
  <si>
    <t>No. FE 2161</t>
  </si>
  <si>
    <t>Camila Venegas</t>
  </si>
  <si>
    <t>No. FE 2162</t>
  </si>
  <si>
    <t>No. FE 2163</t>
  </si>
  <si>
    <t>No. FE 2164</t>
  </si>
  <si>
    <t>No. FE 2165</t>
  </si>
  <si>
    <t xml:space="preserve">Ricardo Quintana
</t>
  </si>
  <si>
    <t>No. FE 2166</t>
  </si>
  <si>
    <t xml:space="preserve">Diana Medina </t>
  </si>
  <si>
    <t>No. FE 2167</t>
  </si>
  <si>
    <t>Alejandra Ramirez</t>
  </si>
  <si>
    <t>No. FE 2168</t>
  </si>
  <si>
    <t>Luz Saavedra (Amparo Saavedra)</t>
  </si>
  <si>
    <t>No. FE 2171</t>
  </si>
  <si>
    <t>Andrea Martinez</t>
  </si>
  <si>
    <t>No. FE 2172</t>
  </si>
  <si>
    <t xml:space="preserve">Erika Catalina Ciro
</t>
  </si>
  <si>
    <t>No. FE 2169</t>
  </si>
  <si>
    <t>María Paula Cardona Salazar</t>
  </si>
  <si>
    <t>No. FE 2173</t>
  </si>
  <si>
    <t xml:space="preserve">Rubén Darío Hernández
</t>
  </si>
  <si>
    <t>No. FE 2174</t>
  </si>
  <si>
    <t xml:space="preserve">Patricia Gandur
</t>
  </si>
  <si>
    <t>No. FE 2175</t>
  </si>
  <si>
    <t>No. FE 2176</t>
  </si>
  <si>
    <t>No. FE 2177</t>
  </si>
  <si>
    <t>Margarita  Maria Sierra Hurtado</t>
  </si>
  <si>
    <t>No. FE 2178</t>
  </si>
  <si>
    <t>Claudia Leyva</t>
  </si>
  <si>
    <t>No. FE 2179</t>
  </si>
  <si>
    <t>María Venegas</t>
  </si>
  <si>
    <t>No. FE 2180</t>
  </si>
  <si>
    <t>No. FE 2181</t>
  </si>
  <si>
    <t xml:space="preserve">Patricia Ramírez
</t>
  </si>
  <si>
    <t>No. FE 2182</t>
  </si>
  <si>
    <t>María Adelaida Berdugo Arango</t>
  </si>
  <si>
    <t>No. FE 2183</t>
  </si>
  <si>
    <t>Martha Gómez</t>
  </si>
  <si>
    <t>No. FE 2184</t>
  </si>
  <si>
    <t>No. FE 2185</t>
  </si>
  <si>
    <t xml:space="preserve">Esteban Arboleda </t>
  </si>
  <si>
    <t>No. FE 2186</t>
  </si>
  <si>
    <t xml:space="preserve">Amparo Florian
</t>
  </si>
  <si>
    <t>No. FE 2187</t>
  </si>
  <si>
    <t xml:space="preserve">Lina María Ocampo
</t>
  </si>
  <si>
    <t>No. FE 2188</t>
  </si>
  <si>
    <t>Carlos Gómez (MARIA ANGELICA )</t>
  </si>
  <si>
    <t>No. FE 2189</t>
  </si>
  <si>
    <t>No. FE 2190</t>
  </si>
  <si>
    <t xml:space="preserve">William Quiroz
</t>
  </si>
  <si>
    <t>No. FE 2191</t>
  </si>
  <si>
    <t xml:space="preserve">Nadia Estefanía Henao 
</t>
  </si>
  <si>
    <t>No. FE 2192</t>
  </si>
  <si>
    <t xml:space="preserve">Andrea Jiménez
</t>
  </si>
  <si>
    <t>No. FE 2193</t>
  </si>
  <si>
    <t>Rossana Otero</t>
  </si>
  <si>
    <t>No. FE 2194</t>
  </si>
  <si>
    <t xml:space="preserve">Ximena Fajardo
</t>
  </si>
  <si>
    <t>No. FE 2195</t>
  </si>
  <si>
    <t>No. FE 2170</t>
  </si>
  <si>
    <t xml:space="preserve">Lizeth Bravo
</t>
  </si>
  <si>
    <t>No. FE 2196</t>
  </si>
  <si>
    <t xml:space="preserve">Simón Perilla Mesa 
</t>
  </si>
  <si>
    <t>No. FE 2198</t>
  </si>
  <si>
    <t>No. FE 2199</t>
  </si>
  <si>
    <t xml:space="preserve">Stephany Guarin Galvis
</t>
  </si>
  <si>
    <t>No. FE 2200</t>
  </si>
  <si>
    <t xml:space="preserve">Rosanna Abril
</t>
  </si>
  <si>
    <t>No. FE 2201</t>
  </si>
  <si>
    <t xml:space="preserve">Diana Sandoval
</t>
  </si>
  <si>
    <t>No. FE 2202</t>
  </si>
  <si>
    <t xml:space="preserve">Liliana Oliveros
</t>
  </si>
  <si>
    <t>No. FE 2203</t>
  </si>
  <si>
    <t>No. FE 2204</t>
  </si>
  <si>
    <t xml:space="preserve">Maria Alejandra Pulido </t>
  </si>
  <si>
    <t>No. FE 2205</t>
  </si>
  <si>
    <t xml:space="preserve">Angela Pesántez Hoyos
</t>
  </si>
  <si>
    <t>No. FE 2206</t>
  </si>
  <si>
    <t xml:space="preserve">Diana Rodriguez
</t>
  </si>
  <si>
    <t>No. FE 2208</t>
  </si>
  <si>
    <t xml:space="preserve">Maria Cardona
</t>
  </si>
  <si>
    <t>No. FE 2209</t>
  </si>
  <si>
    <t xml:space="preserve">Juan Camilo Turbay
</t>
  </si>
  <si>
    <t>No. FE 2210</t>
  </si>
  <si>
    <t xml:space="preserve">kelly Alegria
</t>
  </si>
  <si>
    <t>No. FE 2211</t>
  </si>
  <si>
    <t xml:space="preserve">Luz Jeannette Ramos Pardo
</t>
  </si>
  <si>
    <t>No. FE 2212</t>
  </si>
  <si>
    <t xml:space="preserve">Mauricio Pérez
</t>
  </si>
  <si>
    <t>No. FE 2213</t>
  </si>
  <si>
    <t>Alejandra Maldonado Rivera</t>
  </si>
  <si>
    <t>No. FE 2214</t>
  </si>
  <si>
    <t xml:space="preserve">Jorge Augusto Avellaneda Rincón
</t>
  </si>
  <si>
    <t>No. FE 2215</t>
  </si>
  <si>
    <t xml:space="preserve">Carolina Mejía Micolta
</t>
  </si>
  <si>
    <t>No. FE 2216</t>
  </si>
  <si>
    <t xml:space="preserve">Lina Antolinez
</t>
  </si>
  <si>
    <t>No. FE 2217</t>
  </si>
  <si>
    <t>No. FE 2218</t>
  </si>
  <si>
    <t>No. FE 2241</t>
  </si>
  <si>
    <t>No. FE 2219</t>
  </si>
  <si>
    <t>No. FE 2207</t>
  </si>
  <si>
    <t>No. FE 2220</t>
  </si>
  <si>
    <t>Juliana Mejia</t>
  </si>
  <si>
    <t>No. FE 2221</t>
  </si>
  <si>
    <t>No. FE 2222</t>
  </si>
  <si>
    <t>María Camila Galvis</t>
  </si>
  <si>
    <t>No. FE 2223</t>
  </si>
  <si>
    <t>No. FE 2224</t>
  </si>
  <si>
    <t>Sebastián Forero</t>
  </si>
  <si>
    <t>No. FE 2225</t>
  </si>
  <si>
    <t>Karen Daniela Salamanca Barrera</t>
  </si>
  <si>
    <t>No. FE 2226</t>
  </si>
  <si>
    <t xml:space="preserve">Diana Medina
</t>
  </si>
  <si>
    <t>No. FE 2227</t>
  </si>
  <si>
    <t>No. FE 2228</t>
  </si>
  <si>
    <t>Jualian David Martinez Lara</t>
  </si>
  <si>
    <t>No. FE 2229</t>
  </si>
  <si>
    <t xml:space="preserve">Manuela Cardozo Perez
</t>
  </si>
  <si>
    <t>No. FE 2230</t>
  </si>
  <si>
    <t>Pablo Posada</t>
  </si>
  <si>
    <t>No. FE 2231</t>
  </si>
  <si>
    <t xml:space="preserve">Natalia Velasco </t>
  </si>
  <si>
    <t>No. FE 2232</t>
  </si>
  <si>
    <t>Laura Jaramillo Angel</t>
  </si>
  <si>
    <t>No. FE 2233</t>
  </si>
  <si>
    <t xml:space="preserve">Anna Beatriz De Diaz
</t>
  </si>
  <si>
    <t>No. FE 2234</t>
  </si>
  <si>
    <t xml:space="preserve">Juan Camilo Méndez Herrera
</t>
  </si>
  <si>
    <t>No. FE 2235</t>
  </si>
  <si>
    <t>Maria Paula Morales Ardila</t>
  </si>
  <si>
    <t>No. FE 2236</t>
  </si>
  <si>
    <t>No. FE 2237</t>
  </si>
  <si>
    <t>María Fernanda Cervera</t>
  </si>
  <si>
    <t>No. FE 2238</t>
  </si>
  <si>
    <t xml:space="preserve">Carolina Sáenz
</t>
  </si>
  <si>
    <t>No. FE 2239</t>
  </si>
  <si>
    <t>Daniel Duarte</t>
  </si>
  <si>
    <t>No. FE 2240</t>
  </si>
  <si>
    <t>VALOR FACTURA</t>
  </si>
  <si>
    <t xml:space="preserve">ABONO </t>
  </si>
  <si>
    <t>SALDO</t>
  </si>
  <si>
    <t>No. FE 3076</t>
  </si>
  <si>
    <t>Tranferencia a Bancolombia</t>
  </si>
  <si>
    <t>No. FE 3152</t>
  </si>
  <si>
    <t>Link de pago</t>
  </si>
  <si>
    <t>No. FE 3139</t>
  </si>
  <si>
    <t>Luz Elena Hermida</t>
  </si>
  <si>
    <t>No. FE 3177</t>
  </si>
  <si>
    <t>Maria Galofre</t>
  </si>
  <si>
    <t>No. FE 3176</t>
  </si>
  <si>
    <t>Alexandra Castro Morales</t>
  </si>
  <si>
    <t>No. FE 3210</t>
  </si>
  <si>
    <t>Laura Correa Vidal</t>
  </si>
  <si>
    <t>No. FE 3266</t>
  </si>
  <si>
    <t xml:space="preserve">Maria Clara Gonzalez
</t>
  </si>
  <si>
    <t>No. FE 3277</t>
  </si>
  <si>
    <t xml:space="preserve">María Isabel Galeano
</t>
  </si>
  <si>
    <t>No. FE 3310</t>
  </si>
  <si>
    <t>No. FE 3296</t>
  </si>
  <si>
    <t>Natalia Perez</t>
  </si>
  <si>
    <t>No. FE 3294</t>
  </si>
  <si>
    <t xml:space="preserve">Carolina Rios
</t>
  </si>
  <si>
    <t>No. FE 3304</t>
  </si>
  <si>
    <t xml:space="preserve">Juan Gabriel Cendales
</t>
  </si>
  <si>
    <t>No. FE 3298</t>
  </si>
  <si>
    <t>Nicolas Rico</t>
  </si>
  <si>
    <t>No. FE 3412</t>
  </si>
  <si>
    <t>Tatiana Bejarano</t>
  </si>
  <si>
    <t>No. FE 3360</t>
  </si>
  <si>
    <t>Alexandra Currea</t>
  </si>
  <si>
    <t>No. FE 3136</t>
  </si>
  <si>
    <t>No. FE 3262</t>
  </si>
  <si>
    <t>Nicolas Olarte</t>
  </si>
  <si>
    <t>No. FE 3344</t>
  </si>
  <si>
    <t>Margarita De Meza</t>
  </si>
  <si>
    <t>No. FE 3373</t>
  </si>
  <si>
    <t>Ana Lucía Rodríguez Trujillo</t>
  </si>
  <si>
    <t>No. FE 3379</t>
  </si>
  <si>
    <t>Carlos Puerta</t>
  </si>
  <si>
    <t>No. FE 3390</t>
  </si>
  <si>
    <t>Ana Maria Castro Abondano</t>
  </si>
  <si>
    <t>No. FE 3366</t>
  </si>
  <si>
    <t>No. FE 3054</t>
  </si>
  <si>
    <t>Tatiana Esguerra</t>
  </si>
  <si>
    <t>No. FE 3364</t>
  </si>
  <si>
    <t>Lina Callejas</t>
  </si>
  <si>
    <t>No. FE 3384</t>
  </si>
  <si>
    <t>Sara Rendon</t>
  </si>
  <si>
    <t>No. FE 3380</t>
  </si>
  <si>
    <t>Ximena San Martin</t>
  </si>
  <si>
    <t>No. FE 3399</t>
  </si>
  <si>
    <t>Cristina Barrero</t>
  </si>
  <si>
    <t>No. FE 3415</t>
  </si>
  <si>
    <t>No. FE 3230</t>
  </si>
  <si>
    <t>Ximena Patiño</t>
  </si>
  <si>
    <t>No. FE 3274</t>
  </si>
  <si>
    <t>Angela Ramirez</t>
  </si>
  <si>
    <t>No. FE 3280</t>
  </si>
  <si>
    <t xml:space="preserve">Adriana Camacho
</t>
  </si>
  <si>
    <t>No. FE 3341</t>
  </si>
  <si>
    <t>No. FE 3347</t>
  </si>
  <si>
    <t xml:space="preserve">María Consuelo Reyes
</t>
  </si>
  <si>
    <t>No. FE 3385</t>
  </si>
  <si>
    <t>Sonia Hortua Romero</t>
  </si>
  <si>
    <t>No. FE 3386</t>
  </si>
  <si>
    <t>Maria Helena Diaz</t>
  </si>
  <si>
    <t>No. FE 3406</t>
  </si>
  <si>
    <t>Claudia Rodriguez</t>
  </si>
  <si>
    <t>No. FE 3408</t>
  </si>
  <si>
    <t xml:space="preserve">Carolina Herrera
</t>
  </si>
  <si>
    <t>No. FE 3409</t>
  </si>
  <si>
    <t>Mateo Giraldo Duque</t>
  </si>
  <si>
    <t>No. FE 3416</t>
  </si>
  <si>
    <t xml:space="preserve">Test Technology </t>
  </si>
  <si>
    <t>No. FE 3414</t>
  </si>
  <si>
    <t>Protech Ingeniería SAS</t>
  </si>
  <si>
    <t>No. FE 3413</t>
  </si>
  <si>
    <t>Greisy Diaz</t>
  </si>
  <si>
    <t>No. FE 3417</t>
  </si>
  <si>
    <t>Mónica Aguirre Martinez</t>
  </si>
  <si>
    <t>No. FE 3312</t>
  </si>
  <si>
    <t>No. FE 3295</t>
  </si>
  <si>
    <t>No. FE 3279</t>
  </si>
  <si>
    <t>Link de pago Bancolombia</t>
  </si>
  <si>
    <t xml:space="preserve">Maria Alejandra Muñoz Rodriguez
</t>
  </si>
  <si>
    <t>No. FE 3263</t>
  </si>
  <si>
    <t>No. FE 3340</t>
  </si>
  <si>
    <t>No. FE 3348</t>
  </si>
  <si>
    <t>Edwar Patarrollo</t>
  </si>
  <si>
    <t>No. FE 3349</t>
  </si>
  <si>
    <t xml:space="preserve">Maria Paula Cadena </t>
  </si>
  <si>
    <t>No. FE 3342</t>
  </si>
  <si>
    <t>Jimena Parra</t>
  </si>
  <si>
    <t>No. FE 3365</t>
  </si>
  <si>
    <t xml:space="preserve">Lina Maria Gallego </t>
  </si>
  <si>
    <t>No. FE 3378</t>
  </si>
  <si>
    <t>Juliana Monsalve</t>
  </si>
  <si>
    <t>No. FE 3381</t>
  </si>
  <si>
    <t xml:space="preserve">Isabella Sinisterra B
</t>
  </si>
  <si>
    <t>No. FE 3403</t>
  </si>
  <si>
    <t>Transferencia a Banco de Bogota</t>
  </si>
  <si>
    <t>Mairym Romero</t>
  </si>
  <si>
    <t>No. FE 3439</t>
  </si>
  <si>
    <t>Luisa Zapata</t>
  </si>
  <si>
    <t>No. FE 3440</t>
  </si>
  <si>
    <t>Carolina González Buendia</t>
  </si>
  <si>
    <t>No. FE 3447</t>
  </si>
  <si>
    <t>Link de pago 2</t>
  </si>
  <si>
    <t>Gabriela Gaitan</t>
  </si>
  <si>
    <t>No. FE 3432</t>
  </si>
  <si>
    <t>Luisa Fernanda Bautista</t>
  </si>
  <si>
    <t>No. FE 3433</t>
  </si>
  <si>
    <t>No. FE 3434</t>
  </si>
  <si>
    <t xml:space="preserve">Octavio Piccinato
</t>
  </si>
  <si>
    <t>No. FE 3410</t>
  </si>
  <si>
    <t xml:space="preserve">Lizeth Espinosa Gama 
</t>
  </si>
  <si>
    <t>No. FE 3427</t>
  </si>
  <si>
    <t>Lina Franco</t>
  </si>
  <si>
    <t>No. FE 3428</t>
  </si>
  <si>
    <t>Gina Orrego</t>
  </si>
  <si>
    <t>No. FE 3429</t>
  </si>
  <si>
    <t>Efectivo</t>
  </si>
  <si>
    <t>RECIBIDO</t>
  </si>
  <si>
    <t>Marcela Abello</t>
  </si>
  <si>
    <t>No. FE 3350</t>
  </si>
  <si>
    <t>OLGA MARIA PALACIO</t>
  </si>
  <si>
    <t>No. FE 3448</t>
  </si>
  <si>
    <t>Carlos Almonacid</t>
  </si>
  <si>
    <t>No. FE 3442</t>
  </si>
  <si>
    <t>No. FE 3346</t>
  </si>
  <si>
    <t>Maria Victoria Cendeño</t>
  </si>
  <si>
    <t>No. FE 3303</t>
  </si>
  <si>
    <t>MARIA MERCEDES GOMEZ</t>
  </si>
  <si>
    <t>No. FE 3301</t>
  </si>
  <si>
    <t>Paolo Benedetti</t>
  </si>
  <si>
    <t>No. FE 3431</t>
  </si>
  <si>
    <t>Laura María Becerra</t>
  </si>
  <si>
    <t>No. FE 3404</t>
  </si>
  <si>
    <t>No. FE 3281</t>
  </si>
  <si>
    <t>No. FE 3229</t>
  </si>
  <si>
    <t xml:space="preserve">Glória Becerra (TATA BECERRA)
</t>
  </si>
  <si>
    <t>No. FE 3193</t>
  </si>
  <si>
    <t>Santiago Carrillo Virguez</t>
  </si>
  <si>
    <t>No. FE 3138</t>
  </si>
  <si>
    <t>No. FE 3141</t>
  </si>
  <si>
    <t>Lorena Falla Ramírez</t>
  </si>
  <si>
    <t>No. FE 3140</t>
  </si>
  <si>
    <t xml:space="preserve">Edith carrillo amaya
</t>
  </si>
  <si>
    <t>No. FE 3137</t>
  </si>
  <si>
    <t xml:space="preserve">Alvaro Malaver Rojas </t>
  </si>
  <si>
    <t>No. FE 3336</t>
  </si>
  <si>
    <t xml:space="preserve">Felipe Del Castillo </t>
  </si>
  <si>
    <t>No. FE 3337</t>
  </si>
  <si>
    <t xml:space="preserve">Juan Pablo Forero Franco </t>
  </si>
  <si>
    <t>No. FE 3338</t>
  </si>
  <si>
    <t>Sandra Lizcano</t>
  </si>
  <si>
    <t>No. FE 3343</t>
  </si>
  <si>
    <t>Pablo Gutiérrez Segú</t>
  </si>
  <si>
    <t>No. FE 3382</t>
  </si>
  <si>
    <t>Julieth Martinez</t>
  </si>
  <si>
    <t>No. FE 3383</t>
  </si>
  <si>
    <t>Alvaro Isaza</t>
  </si>
  <si>
    <t>No. FE 3402</t>
  </si>
  <si>
    <t>Cristina Ramirez</t>
  </si>
  <si>
    <t>No. FE 3405</t>
  </si>
  <si>
    <t>Diana Díaz Rodríguez</t>
  </si>
  <si>
    <t>No. FE 3435</t>
  </si>
  <si>
    <t>Sonja Cristina Porras Melo</t>
  </si>
  <si>
    <t>No. FE 3441</t>
  </si>
  <si>
    <t xml:space="preserve">FABIO VALENCIA </t>
  </si>
  <si>
    <t>No. FE 3450</t>
  </si>
  <si>
    <t>Fernanda Espejo</t>
  </si>
  <si>
    <t>No. FE 3453</t>
  </si>
  <si>
    <t>Ana Maria Perez</t>
  </si>
  <si>
    <t>No. FE 3452</t>
  </si>
  <si>
    <t>Ariela Maria Guerrvara Espitia</t>
  </si>
  <si>
    <t>No. FE 3451</t>
  </si>
  <si>
    <t>Angelica Forero</t>
  </si>
  <si>
    <t>No. FE 3454</t>
  </si>
  <si>
    <t>Gloria Maritza Vilka</t>
  </si>
  <si>
    <t>No. FE 3449</t>
  </si>
  <si>
    <t>Diego Galvis</t>
  </si>
  <si>
    <t>No. FE 3455</t>
  </si>
  <si>
    <t xml:space="preserve">Carolina Navas </t>
  </si>
  <si>
    <t>No. FE 3339</t>
  </si>
  <si>
    <t>Link de pago X2</t>
  </si>
  <si>
    <t xml:space="preserve">Karina Bello Riveros </t>
  </si>
  <si>
    <t>No. FE 3345</t>
  </si>
  <si>
    <t xml:space="preserve">Francisco Valderrama 
</t>
  </si>
  <si>
    <t>No. FE 3275</t>
  </si>
  <si>
    <t xml:space="preserve">Adriana Umañna </t>
  </si>
  <si>
    <t>No. FE 3438</t>
  </si>
  <si>
    <t>Jose Pablo</t>
  </si>
  <si>
    <t>No. FE 3486</t>
  </si>
  <si>
    <t>No. FE 3387</t>
  </si>
  <si>
    <t>Sandra Baquero</t>
  </si>
  <si>
    <t>No. FE 3411</t>
  </si>
  <si>
    <t>Diana Roa</t>
  </si>
  <si>
    <t>No. FE 3299</t>
  </si>
  <si>
    <t>Sylvia Betancourt Ucros</t>
  </si>
  <si>
    <t>No. FE 3484</t>
  </si>
  <si>
    <t>27/10/2025</t>
  </si>
  <si>
    <t xml:space="preserve">Yency Camacho </t>
  </si>
  <si>
    <t>No. FE 2242</t>
  </si>
  <si>
    <t>SIN INFORMACION</t>
  </si>
  <si>
    <t>No. FE 2243</t>
  </si>
  <si>
    <t>María Teresa Iregui A</t>
  </si>
  <si>
    <t>No. FE 2244</t>
  </si>
  <si>
    <t>Diana Gonzalez</t>
  </si>
  <si>
    <t>No. FE 2253</t>
  </si>
  <si>
    <t>Diana Carolina Quintero</t>
  </si>
  <si>
    <t>No. FE 2246</t>
  </si>
  <si>
    <t>No. FE 2247</t>
  </si>
  <si>
    <t>No. FE 2248</t>
  </si>
  <si>
    <t>María Helena Morales</t>
  </si>
  <si>
    <t>No. FE 2249</t>
  </si>
  <si>
    <t xml:space="preserve">Daniel Galvis
</t>
  </si>
  <si>
    <t>No. FE 2250</t>
  </si>
  <si>
    <t>María Victoria Pérez Castillo</t>
  </si>
  <si>
    <t>No. FE 2251</t>
  </si>
  <si>
    <t xml:space="preserve">Jimena Parra
</t>
  </si>
  <si>
    <t xml:space="preserve">No. FE 2252
</t>
  </si>
  <si>
    <t xml:space="preserve">Milena Amaya
</t>
  </si>
  <si>
    <t>No. FE 2254</t>
  </si>
  <si>
    <t xml:space="preserve">Susana Trujillo Mejía
</t>
  </si>
  <si>
    <t>No. FE 2255</t>
  </si>
  <si>
    <t>Juliana Ordóñez</t>
  </si>
  <si>
    <t>No. FE 2257</t>
  </si>
  <si>
    <t>Angela María Barrios</t>
  </si>
  <si>
    <t>No. FE 2259</t>
  </si>
  <si>
    <t xml:space="preserve">Lorena Santos Raimundo
</t>
  </si>
  <si>
    <t>No. FE 2260</t>
  </si>
  <si>
    <t xml:space="preserve">Paola Agreda </t>
  </si>
  <si>
    <t>No. FE 2261</t>
  </si>
  <si>
    <t xml:space="preserve">Martha Isabel Gutierrez
</t>
  </si>
  <si>
    <t>No. FE 2262</t>
  </si>
  <si>
    <t xml:space="preserve">Sonia Leon
</t>
  </si>
  <si>
    <t>No. FE 2263</t>
  </si>
  <si>
    <t>Eileen Coronado</t>
  </si>
  <si>
    <t>No. FE 2264</t>
  </si>
  <si>
    <t xml:space="preserve">victor LEFF AVIVI
</t>
  </si>
  <si>
    <t>No. FE 2265</t>
  </si>
  <si>
    <t xml:space="preserve">Alvaro Fuentes
</t>
  </si>
  <si>
    <t>No. FE 2266</t>
  </si>
  <si>
    <t>Bertha Camero</t>
  </si>
  <si>
    <t>No. FE 2267</t>
  </si>
  <si>
    <t>No. FE 2268</t>
  </si>
  <si>
    <t>No. FE 2270</t>
  </si>
  <si>
    <t xml:space="preserve">Andrea Cortes Correa </t>
  </si>
  <si>
    <t>No. FE 2269</t>
  </si>
  <si>
    <t>Ana María Cartagena Jiménez</t>
  </si>
  <si>
    <t>No. FE 2271</t>
  </si>
  <si>
    <t>No. FE 2272</t>
  </si>
  <si>
    <t>No. FE 2273</t>
  </si>
  <si>
    <t>No. FE 2274</t>
  </si>
  <si>
    <t xml:space="preserve">Clara marcela Rojas cifuentes
</t>
  </si>
  <si>
    <t>No. FE 2275</t>
  </si>
  <si>
    <t xml:space="preserve">Natalia Mejía
</t>
  </si>
  <si>
    <t>No. FE 2276</t>
  </si>
  <si>
    <t xml:space="preserve">Paula Mahecha
</t>
  </si>
  <si>
    <t>No. FE 2277</t>
  </si>
  <si>
    <t xml:space="preserve">Camila Ayala
</t>
  </si>
  <si>
    <t>No. FE 2278</t>
  </si>
  <si>
    <t>Liliana Monroy</t>
  </si>
  <si>
    <t>No. FE 2279</t>
  </si>
  <si>
    <t>No. FE 2280</t>
  </si>
  <si>
    <t xml:space="preserve">Alexander Castillo Lopez
</t>
  </si>
  <si>
    <t>No. FE 2281</t>
  </si>
  <si>
    <t>No. FE 2282</t>
  </si>
  <si>
    <t>No. FE 2283</t>
  </si>
  <si>
    <t xml:space="preserve">Vanessa Daza
</t>
  </si>
  <si>
    <t>No. FE 2284</t>
  </si>
  <si>
    <t>INSTAGRAM</t>
  </si>
  <si>
    <t xml:space="preserve">Liz Herrera
</t>
  </si>
  <si>
    <t>No. FE 2285</t>
  </si>
  <si>
    <t>No. FE 2286</t>
  </si>
  <si>
    <t xml:space="preserve">Alberto Domínguez
</t>
  </si>
  <si>
    <t>No. FE 2287</t>
  </si>
  <si>
    <t>No. FE 2288</t>
  </si>
  <si>
    <t>No. FE 2289</t>
  </si>
  <si>
    <t>No. FE 2290</t>
  </si>
  <si>
    <t>Monica Leonel</t>
  </si>
  <si>
    <t>No. FE 2291</t>
  </si>
  <si>
    <t>Viviana Cruz</t>
  </si>
  <si>
    <t>No. FE 2292</t>
  </si>
  <si>
    <t xml:space="preserve">Leonardo Guerrero
</t>
  </si>
  <si>
    <t>No. FE 2293</t>
  </si>
  <si>
    <t xml:space="preserve">David Gutiérrez
</t>
  </si>
  <si>
    <t>No. FE 2294</t>
  </si>
  <si>
    <t>No. FE 2295</t>
  </si>
  <si>
    <t>No. FE 2297</t>
  </si>
  <si>
    <t>No. FE 2303</t>
  </si>
  <si>
    <t>No. FE 2258</t>
  </si>
  <si>
    <t xml:space="preserve">María Lucía Duque Gomez
</t>
  </si>
  <si>
    <t>No. FE 2296</t>
  </si>
  <si>
    <t>No. FE 2298</t>
  </si>
  <si>
    <t xml:space="preserve">Santiago Macías
</t>
  </si>
  <si>
    <t>No. FE 2299</t>
  </si>
  <si>
    <t xml:space="preserve">María Fernanda Valbuena Hernandez
</t>
  </si>
  <si>
    <t>No. FE 2300</t>
  </si>
  <si>
    <t xml:space="preserve">Lina Ariza
</t>
  </si>
  <si>
    <t>No. FE 2301</t>
  </si>
  <si>
    <t xml:space="preserve">Laura Gamez
</t>
  </si>
  <si>
    <t>No. FE 2302</t>
  </si>
  <si>
    <t>Inversiones GSA SAS (Xilena bustos)</t>
  </si>
  <si>
    <t>No. FE 2304</t>
  </si>
  <si>
    <t>Pablo Mejía</t>
  </si>
  <si>
    <t>No. FE 2305</t>
  </si>
  <si>
    <t>No. FE 2307</t>
  </si>
  <si>
    <t>María Angélica Lacouture</t>
  </si>
  <si>
    <t>No. FE 2308</t>
  </si>
  <si>
    <t>Maria Paula correal</t>
  </si>
  <si>
    <t>No. FE 2309</t>
  </si>
  <si>
    <t>REFERID@</t>
  </si>
  <si>
    <t>No. FE 2310</t>
  </si>
  <si>
    <t>Juliana Correa Serna</t>
  </si>
  <si>
    <t>No. FE 2311</t>
  </si>
  <si>
    <t>No. FE 2312</t>
  </si>
  <si>
    <t xml:space="preserve">Camila Silva
</t>
  </si>
  <si>
    <t>No. FE 2313</t>
  </si>
  <si>
    <t xml:space="preserve">Beatriz Herrera
</t>
  </si>
  <si>
    <t>No. FE 2314</t>
  </si>
  <si>
    <t xml:space="preserve">Cristina Fajardo
</t>
  </si>
  <si>
    <t>No. FE 2315</t>
  </si>
  <si>
    <t xml:space="preserve">Andres Hernández
</t>
  </si>
  <si>
    <t>No. FE 2320</t>
  </si>
  <si>
    <t>Carolina Pedraza</t>
  </si>
  <si>
    <t>No. FE 2316</t>
  </si>
  <si>
    <t xml:space="preserve">Silvia Pulid
</t>
  </si>
  <si>
    <t>No. FE 2317</t>
  </si>
  <si>
    <t>No. FE 2306</t>
  </si>
  <si>
    <t>Daniela Ortiz Roldan</t>
  </si>
  <si>
    <t>No. FE 2318</t>
  </si>
  <si>
    <t xml:space="preserve">Alejandra Torres
</t>
  </si>
  <si>
    <t>No. FE 2319</t>
  </si>
  <si>
    <t xml:space="preserve">Alejandro Duque Mejía
</t>
  </si>
  <si>
    <t>No. FE 2321</t>
  </si>
  <si>
    <t>No. FE 2322</t>
  </si>
  <si>
    <t xml:space="preserve">Gloria Yamile Roncancio Alfonso
</t>
  </si>
  <si>
    <t>No. FE 2323</t>
  </si>
  <si>
    <t>Camilo Ladino</t>
  </si>
  <si>
    <t>No. FE 2324</t>
  </si>
  <si>
    <t xml:space="preserve">Crucelia Urquijo Cortes
</t>
  </si>
  <si>
    <t>No. FE 2325</t>
  </si>
  <si>
    <t xml:space="preserve">Diana Apache
</t>
  </si>
  <si>
    <t>No. FE 2327</t>
  </si>
  <si>
    <t xml:space="preserve">Constanza Forero Marin
</t>
  </si>
  <si>
    <t>No. FE 2328</t>
  </si>
  <si>
    <t xml:space="preserve">Mario Marroquin Sanchez
</t>
  </si>
  <si>
    <t>No. FE 2329</t>
  </si>
  <si>
    <t xml:space="preserve">Amparo Carvajal
</t>
  </si>
  <si>
    <t>No. FE 2330</t>
  </si>
  <si>
    <t xml:space="preserve">Luz Stella Rodriguez
</t>
  </si>
  <si>
    <t>No. FE 2331</t>
  </si>
  <si>
    <t xml:space="preserve">Diana Criales
</t>
  </si>
  <si>
    <t>No. FE 2332</t>
  </si>
  <si>
    <t xml:space="preserve">Isabella Ibáñez
</t>
  </si>
  <si>
    <t>No. FE 2333</t>
  </si>
  <si>
    <t>No. FE 2334</t>
  </si>
  <si>
    <t>No. FE 2335</t>
  </si>
  <si>
    <t xml:space="preserve">Arusiak Mardirousian
</t>
  </si>
  <si>
    <t>No. FE 2336</t>
  </si>
  <si>
    <t xml:space="preserve">Juan Sebastian Bohorquez Gallo
</t>
  </si>
  <si>
    <t>No. FE 2337</t>
  </si>
  <si>
    <t xml:space="preserve">Laura Benavides
</t>
  </si>
  <si>
    <t>No. FE 2338</t>
  </si>
  <si>
    <t xml:space="preserve">Gloria Arias Nieto
</t>
  </si>
  <si>
    <t>No. FE 2339</t>
  </si>
  <si>
    <t>Cleiva Aguilar</t>
  </si>
  <si>
    <t>No. FE 2340</t>
  </si>
  <si>
    <t xml:space="preserve">Rocío Pérez
</t>
  </si>
  <si>
    <t>No. FE 2341</t>
  </si>
  <si>
    <t xml:space="preserve">Santiago Ramirez
</t>
  </si>
  <si>
    <t>No. FE 2342</t>
  </si>
  <si>
    <t xml:space="preserve">Maria Fernanda Ortiz Baquero
</t>
  </si>
  <si>
    <t>No. FE 2343</t>
  </si>
  <si>
    <t xml:space="preserve">Daniel Zawadzki
</t>
  </si>
  <si>
    <t>No. FE 2344</t>
  </si>
  <si>
    <t>No. FE 2345</t>
  </si>
  <si>
    <t>No. FE 2346</t>
  </si>
  <si>
    <t>No. FE 2347</t>
  </si>
  <si>
    <t>No. FE 2348</t>
  </si>
  <si>
    <t xml:space="preserve">Michael Arias
</t>
  </si>
  <si>
    <t>No. FE 2349</t>
  </si>
  <si>
    <t>No. FE 2350</t>
  </si>
  <si>
    <t>No. FE 2351</t>
  </si>
  <si>
    <t xml:space="preserve">Rodrigo Jimenez 
</t>
  </si>
  <si>
    <t>No. FE 2352</t>
  </si>
  <si>
    <t>Martha Emilia Gómez Olarte</t>
  </si>
  <si>
    <t>No. FE 2361</t>
  </si>
  <si>
    <t>No. FE 2359</t>
  </si>
  <si>
    <t xml:space="preserve">Natalia Pupo 
</t>
  </si>
  <si>
    <t>No. FE 2357</t>
  </si>
  <si>
    <t xml:space="preserve">Paola Mancini
</t>
  </si>
  <si>
    <t>No. FE 2360</t>
  </si>
  <si>
    <t xml:space="preserve">Angelica Carvajal
</t>
  </si>
  <si>
    <t>No. FE 2326</t>
  </si>
  <si>
    <t>Juliana Archila</t>
  </si>
  <si>
    <t>No. FE 2363</t>
  </si>
  <si>
    <t>Alexandra sanclemente</t>
  </si>
  <si>
    <t>No. FE 2364</t>
  </si>
  <si>
    <t>Diana Sandoval</t>
  </si>
  <si>
    <t>No. FE 2365</t>
  </si>
  <si>
    <t>Manuela Cardozo Perez</t>
  </si>
  <si>
    <t>No. FE 2366</t>
  </si>
  <si>
    <t>Marisol Quiroga</t>
  </si>
  <si>
    <t>No. FE 2367</t>
  </si>
  <si>
    <t>No. FE 2358</t>
  </si>
  <si>
    <t>No. FE 2355</t>
  </si>
  <si>
    <t>Ana María Cuéllar Plaza</t>
  </si>
  <si>
    <t>No. FE 2368</t>
  </si>
  <si>
    <t>María aleida carmona Carmona</t>
  </si>
  <si>
    <t>No. FE 2369</t>
  </si>
  <si>
    <t xml:space="preserve">Sebastian Perez
</t>
  </si>
  <si>
    <t>No. FE 2354</t>
  </si>
  <si>
    <t>Karen Caceres</t>
  </si>
  <si>
    <t>No. FE 2370</t>
  </si>
  <si>
    <t xml:space="preserve">Angie Molano 
</t>
  </si>
  <si>
    <t>No. FE 2356</t>
  </si>
  <si>
    <t>No. FE 2362</t>
  </si>
  <si>
    <t>Lina Gallego</t>
  </si>
  <si>
    <t>No. FE 2353</t>
  </si>
  <si>
    <t>Maria Elvira Perez</t>
  </si>
  <si>
    <t>No. FE 2375</t>
  </si>
  <si>
    <t>Clara de Hernandez</t>
  </si>
  <si>
    <t>No. FE 2378</t>
  </si>
  <si>
    <t>No. FE 2371</t>
  </si>
  <si>
    <t xml:space="preserve">Lorena Neira
</t>
  </si>
  <si>
    <t>No. FE 2379</t>
  </si>
  <si>
    <t xml:space="preserve">Lucero Pinzon
</t>
  </si>
  <si>
    <t>No. FE 2374</t>
  </si>
  <si>
    <t>Angie perdomo</t>
  </si>
  <si>
    <t>No. FE 2376</t>
  </si>
  <si>
    <t>Matilde Orozco Galvis</t>
  </si>
  <si>
    <t>No. FE 2380</t>
  </si>
  <si>
    <t xml:space="preserve">Ana María Pérez </t>
  </si>
  <si>
    <t>No. FE 2372</t>
  </si>
  <si>
    <t>Carolina SICARD</t>
  </si>
  <si>
    <t>No. FE 2381</t>
  </si>
  <si>
    <t xml:space="preserve">Lucia Patrón Saade
</t>
  </si>
  <si>
    <t>No. FE 2382</t>
  </si>
  <si>
    <t>Beatriz Eugenia</t>
  </si>
  <si>
    <t>No. FE 2373</t>
  </si>
  <si>
    <t>Laura Ledesma</t>
  </si>
  <si>
    <t>No. FE 2383</t>
  </si>
  <si>
    <t>Margoth del pilar Ebratt</t>
  </si>
  <si>
    <t>No. FE 2377</t>
  </si>
  <si>
    <t>Paola gomez Puerta</t>
  </si>
  <si>
    <t>No. FE 2384</t>
  </si>
  <si>
    <t xml:space="preserve">Paola Bernardi
</t>
  </si>
  <si>
    <t>No. FE 2385</t>
  </si>
  <si>
    <t xml:space="preserve">Laura catalina silva villa
</t>
  </si>
  <si>
    <t>No. FE 2386</t>
  </si>
  <si>
    <r>
      <rPr>
        <sz val="12"/>
        <color theme="1"/>
        <rFont val="Calibri"/>
        <family val="2"/>
      </rPr>
      <t>Cristina Pérez Escobar (</t>
    </r>
    <r>
      <rPr>
        <b/>
        <sz val="12"/>
        <color theme="1"/>
        <rFont val="Calibri"/>
        <family val="2"/>
      </rPr>
      <t>María Eugenia Escobar</t>
    </r>
    <r>
      <rPr>
        <sz val="12"/>
        <color theme="1"/>
        <rFont val="Calibri"/>
        <family val="2"/>
      </rPr>
      <t>)</t>
    </r>
  </si>
  <si>
    <t>No. FE 2387</t>
  </si>
  <si>
    <t>No. FE 2388</t>
  </si>
  <si>
    <t>No. FE 2389</t>
  </si>
  <si>
    <t>No. FE 2390</t>
  </si>
  <si>
    <t>Catalina Cabezales</t>
  </si>
  <si>
    <t>No. FE 2391</t>
  </si>
  <si>
    <t>No. FE 2392</t>
  </si>
  <si>
    <t>No. FE 2393</t>
  </si>
  <si>
    <t xml:space="preserve">Liliana Silva
</t>
  </si>
  <si>
    <t>No. FE 2394</t>
  </si>
  <si>
    <t>No. FE 2395</t>
  </si>
  <si>
    <t>No. FE 2396</t>
  </si>
  <si>
    <t>No. FE 2397</t>
  </si>
  <si>
    <t xml:space="preserve">Valeria Rua
</t>
  </si>
  <si>
    <t>No. FE 2398</t>
  </si>
  <si>
    <t>No. FE 2399</t>
  </si>
  <si>
    <t xml:space="preserve">Laura Alarcón </t>
  </si>
  <si>
    <t>No. FE 2400</t>
  </si>
  <si>
    <t>No. FE 2403</t>
  </si>
  <si>
    <t>No. FE 2413</t>
  </si>
  <si>
    <t>No. FE 2401</t>
  </si>
  <si>
    <t>Jaime Niño</t>
  </si>
  <si>
    <t>No. FE 2402</t>
  </si>
  <si>
    <t xml:space="preserve">Antonieta Espinosa
</t>
  </si>
  <si>
    <t>No. FE 2404</t>
  </si>
  <si>
    <t xml:space="preserve">Cristina Mejía 
</t>
  </si>
  <si>
    <t>No. FE 2405</t>
  </si>
  <si>
    <t xml:space="preserve">Carolina Hernandez
</t>
  </si>
  <si>
    <t>No. FE 2406</t>
  </si>
  <si>
    <t xml:space="preserve">Daniel Correa
</t>
  </si>
  <si>
    <t>No. FE 2407</t>
  </si>
  <si>
    <t xml:space="preserve">Andrea Diaz
</t>
  </si>
  <si>
    <t>No. FE 2408</t>
  </si>
  <si>
    <t xml:space="preserve">Angelica Rodriguez
</t>
  </si>
  <si>
    <t>No. FE 2409</t>
  </si>
  <si>
    <t xml:space="preserve">Cristina Valencia
</t>
  </si>
  <si>
    <t>No. FE 2410</t>
  </si>
  <si>
    <t>No. FE 2411</t>
  </si>
  <si>
    <t xml:space="preserve">Erika Vanegas
</t>
  </si>
  <si>
    <t>No. FE 2412</t>
  </si>
  <si>
    <t>Alexandra Restrepo</t>
  </si>
  <si>
    <t>No. FE 2414</t>
  </si>
  <si>
    <t>No. FE 2415</t>
  </si>
  <si>
    <t xml:space="preserve">Lucero Pinzón
</t>
  </si>
  <si>
    <t>No. FE 2416</t>
  </si>
  <si>
    <t xml:space="preserve">Cindy Catalina Rozo
</t>
  </si>
  <si>
    <t>No. FE 2417</t>
  </si>
  <si>
    <t xml:space="preserve">Liliana Acosta
</t>
  </si>
  <si>
    <t>No. FE 2418</t>
  </si>
  <si>
    <t xml:space="preserve">Antonio Ramírez
</t>
  </si>
  <si>
    <t>No. FE 2419</t>
  </si>
  <si>
    <t xml:space="preserve">Alejandraú bohorquez
</t>
  </si>
  <si>
    <t>No. FE 2420</t>
  </si>
  <si>
    <t xml:space="preserve">Ximena Ospina
</t>
  </si>
  <si>
    <t>No. FE 2421</t>
  </si>
  <si>
    <t xml:space="preserve">Erika Moss
</t>
  </si>
  <si>
    <t>No. FE 2422</t>
  </si>
  <si>
    <t>No. FE 2423</t>
  </si>
  <si>
    <t xml:space="preserve">Ángela Miranda
</t>
  </si>
  <si>
    <t>No. FE 2424</t>
  </si>
  <si>
    <t xml:space="preserve">Vanessa Rodriguez
</t>
  </si>
  <si>
    <t>No. FE 2425</t>
  </si>
  <si>
    <t xml:space="preserve">Milena Fernandez
</t>
  </si>
  <si>
    <t>No. FE 2426</t>
  </si>
  <si>
    <t xml:space="preserve">Ángela María Bermúdez González
</t>
  </si>
  <si>
    <t>No. FE 2427</t>
  </si>
  <si>
    <t>No. FE 2428</t>
  </si>
  <si>
    <t>Lilian Torres Tobar</t>
  </si>
  <si>
    <t>No. FE 2429</t>
  </si>
  <si>
    <t>No. FE 2430</t>
  </si>
  <si>
    <t xml:space="preserve">Fabio Andrés Zúñiga Villota
</t>
  </si>
  <si>
    <t>No. FE 2431</t>
  </si>
  <si>
    <t xml:space="preserve">Andrea Romero
</t>
  </si>
  <si>
    <t>No. FE 2432</t>
  </si>
  <si>
    <t xml:space="preserve">María Mónica Ortiz
</t>
  </si>
  <si>
    <t>No. FE 2433</t>
  </si>
  <si>
    <t>No. FE 2434</t>
  </si>
  <si>
    <t>No. FE 2435</t>
  </si>
  <si>
    <t xml:space="preserve">Laura Sofia Habib Araujo
</t>
  </si>
  <si>
    <t>No. FE 2436</t>
  </si>
  <si>
    <t>No. FE 2437</t>
  </si>
  <si>
    <t>No. FE 2438</t>
  </si>
  <si>
    <t xml:space="preserve">Johanna Collins
</t>
  </si>
  <si>
    <t>No. FE 2450</t>
  </si>
  <si>
    <t xml:space="preserve">Ana María Mejía 
</t>
  </si>
  <si>
    <t>No. FE 2439</t>
  </si>
  <si>
    <t>REDES</t>
  </si>
  <si>
    <t xml:space="preserve">Veronica Uribe
</t>
  </si>
  <si>
    <t>No. FE 2440</t>
  </si>
  <si>
    <t>Schalma Díaz granados</t>
  </si>
  <si>
    <t>No. FE 2441</t>
  </si>
  <si>
    <t>Camila Valderrama</t>
  </si>
  <si>
    <t>No. FE 2442</t>
  </si>
  <si>
    <t>Sandra Patricia Visbal Agredo</t>
  </si>
  <si>
    <t>No. FE 2443</t>
  </si>
  <si>
    <t xml:space="preserve">Angie perdomo 
</t>
  </si>
  <si>
    <t>No. FE 2444</t>
  </si>
  <si>
    <t xml:space="preserve"> Fátima Caraballo </t>
  </si>
  <si>
    <t>No. FE 2445</t>
  </si>
  <si>
    <t>Maria Sandoval</t>
  </si>
  <si>
    <t>No. FE 2449</t>
  </si>
  <si>
    <t>Mónica Lizet Morales Neira</t>
  </si>
  <si>
    <t>No. FE 2447</t>
  </si>
  <si>
    <t>Gabriela Dominguez</t>
  </si>
  <si>
    <t>No. FE 2448</t>
  </si>
  <si>
    <t xml:space="preserve">Glendy Gutierrez
</t>
  </si>
  <si>
    <t>No. FE 2454</t>
  </si>
  <si>
    <t>No. FE 2475</t>
  </si>
  <si>
    <t>Mishell Ariana Guerra Baquero</t>
  </si>
  <si>
    <t>No. FE 2451</t>
  </si>
  <si>
    <t>No. FE 2452</t>
  </si>
  <si>
    <t>Pilar Meza</t>
  </si>
  <si>
    <t>No. FE 2453</t>
  </si>
  <si>
    <t>No. FE 2455</t>
  </si>
  <si>
    <t xml:space="preserve">Angela Iragorri
</t>
  </si>
  <si>
    <t>No. FE 2456</t>
  </si>
  <si>
    <t>No. FE 2457</t>
  </si>
  <si>
    <t>No. FE 2462</t>
  </si>
  <si>
    <t>Steephanie Contreras</t>
  </si>
  <si>
    <t>No. FE 2458</t>
  </si>
  <si>
    <t xml:space="preserve">Marie Kluge
</t>
  </si>
  <si>
    <t>No. FE 2460</t>
  </si>
  <si>
    <t>No. FE 2461</t>
  </si>
  <si>
    <t>No. FE 2463</t>
  </si>
  <si>
    <t>BANCOLOMBIA EFECTIVO</t>
  </si>
  <si>
    <t>No. FE 2464</t>
  </si>
  <si>
    <t>María Andrea Zuloaga</t>
  </si>
  <si>
    <t>No. FE 2446</t>
  </si>
  <si>
    <t>No. FE 2465</t>
  </si>
  <si>
    <t>Ethlyn Halley</t>
  </si>
  <si>
    <t>No. FE 2466</t>
  </si>
  <si>
    <t>No. FE 2467</t>
  </si>
  <si>
    <t>Paula López Domínguez</t>
  </si>
  <si>
    <t>No. FE 2468</t>
  </si>
  <si>
    <t>No. FE 2469</t>
  </si>
  <si>
    <t xml:space="preserve">Carolina Escobar
</t>
  </si>
  <si>
    <t>No. FE 2470</t>
  </si>
  <si>
    <t xml:space="preserve">Beatriz Salgado
</t>
  </si>
  <si>
    <t>No. FE 2480</t>
  </si>
  <si>
    <t>No. FE 2476</t>
  </si>
  <si>
    <t xml:space="preserve">Maria Alejandra Correa
</t>
  </si>
  <si>
    <t>No. FE 2459</t>
  </si>
  <si>
    <t>No. FE 2482</t>
  </si>
  <si>
    <t>No. FE 2481</t>
  </si>
  <si>
    <t>No. FE 2483</t>
  </si>
  <si>
    <t>Rosanna Abril</t>
  </si>
  <si>
    <t>No. FE 2474</t>
  </si>
  <si>
    <t>Carolina de la Torre</t>
  </si>
  <si>
    <t>No. FE 2472</t>
  </si>
  <si>
    <t>No. FE 2473</t>
  </si>
  <si>
    <t>Enrique Escobar</t>
  </si>
  <si>
    <t>No. FE 2478</t>
  </si>
  <si>
    <t>No. FE 2477</t>
  </si>
  <si>
    <t>No. FE 2479</t>
  </si>
  <si>
    <t>Alba Elena Rodriguez Guerra</t>
  </si>
  <si>
    <t>No. FE 2484</t>
  </si>
  <si>
    <t xml:space="preserve">Mónica Bonilla Young
</t>
  </si>
  <si>
    <t>No. FE 2485</t>
  </si>
  <si>
    <t xml:space="preserve">Adriana Díaz
</t>
  </si>
  <si>
    <t>No. FE 2486</t>
  </si>
  <si>
    <t xml:space="preserve">Cristina Vargas
</t>
  </si>
  <si>
    <t>No. FE 2487</t>
  </si>
  <si>
    <t xml:space="preserve">Omar Pulido
</t>
  </si>
  <si>
    <t>No. FE 2488</t>
  </si>
  <si>
    <t>Alvaro Pardo Rodríguez</t>
  </si>
  <si>
    <t>No. FE 2489</t>
  </si>
  <si>
    <t>No. FE 2490</t>
  </si>
  <si>
    <t>No. FE 2471</t>
  </si>
  <si>
    <t>Andrea García Gutiérrez</t>
  </si>
  <si>
    <t>No. FE 2491</t>
  </si>
  <si>
    <t>No. FE 2593</t>
  </si>
  <si>
    <t xml:space="preserve">Nathaly Guzman 
</t>
  </si>
  <si>
    <t>No. FE 2492</t>
  </si>
  <si>
    <t>No. FE 2493</t>
  </si>
  <si>
    <t xml:space="preserve">Natalia Malaver
</t>
  </si>
  <si>
    <t>No. FE 2548</t>
  </si>
  <si>
    <t xml:space="preserve">Maria Victoria Badran Tinoco
</t>
  </si>
  <si>
    <t>No. FE 2494</t>
  </si>
  <si>
    <t xml:space="preserve">Laura Muñoz
</t>
  </si>
  <si>
    <t>No. FE 2495</t>
  </si>
  <si>
    <t xml:space="preserve">Monica Carmona
</t>
  </si>
  <si>
    <t>No. FE 2496</t>
  </si>
  <si>
    <t>No. FE 2497</t>
  </si>
  <si>
    <t>Luis Quiñonez</t>
  </si>
  <si>
    <t>No. FE 2502</t>
  </si>
  <si>
    <t xml:space="preserve">Patricia Peña
</t>
  </si>
  <si>
    <t>No. FE 2503</t>
  </si>
  <si>
    <t xml:space="preserve">María José 
</t>
  </si>
  <si>
    <t>No. FE 2498</t>
  </si>
  <si>
    <t>Lorena Muñóz</t>
  </si>
  <si>
    <t>No. FE 2499</t>
  </si>
  <si>
    <t xml:space="preserve">Catalina Duque  (Jose pablo) </t>
  </si>
  <si>
    <t>No. FE 2500</t>
  </si>
  <si>
    <t>No. FE 2501</t>
  </si>
  <si>
    <t>Andrea Méndez</t>
  </si>
  <si>
    <t>No. FE 2504</t>
  </si>
  <si>
    <t xml:space="preserve">Ana Sofia carvajal pinzon
</t>
  </si>
  <si>
    <t>No. FE 2505</t>
  </si>
  <si>
    <t xml:space="preserve">Camila Andrea Granados
</t>
  </si>
  <si>
    <t>No. FE 2506</t>
  </si>
  <si>
    <t xml:space="preserve">Juliana Marulanda Zambrano
</t>
  </si>
  <si>
    <t>No. FE 2507</t>
  </si>
  <si>
    <t>Andrea Montealegre Sánchez</t>
  </si>
  <si>
    <t>No. FE 2508</t>
  </si>
  <si>
    <t xml:space="preserve">Nancy Arguello
</t>
  </si>
  <si>
    <t>No. FE 2509</t>
  </si>
  <si>
    <t>Javier Muñoz</t>
  </si>
  <si>
    <t>No. FE 2510</t>
  </si>
  <si>
    <t xml:space="preserve">Maite Hurtado Uriarte 
</t>
  </si>
  <si>
    <t>No. FE 2511</t>
  </si>
  <si>
    <t xml:space="preserve">Roxana Calvo
</t>
  </si>
  <si>
    <t>No. FE 2512</t>
  </si>
  <si>
    <t>No. FE 2513</t>
  </si>
  <si>
    <t>Laura Cortes</t>
  </si>
  <si>
    <t>No. FE 2514</t>
  </si>
  <si>
    <t xml:space="preserve">Natalia Aguilera
</t>
  </si>
  <si>
    <t>No. FE 2515</t>
  </si>
  <si>
    <t xml:space="preserve">Alberto Soler Aponte
</t>
  </si>
  <si>
    <t>No. FE 2516</t>
  </si>
  <si>
    <t xml:space="preserve">Vanessa Moyano
</t>
  </si>
  <si>
    <t>No. FE 2517</t>
  </si>
  <si>
    <t>Fernando Zarama</t>
  </si>
  <si>
    <t>No. FE 2518</t>
  </si>
  <si>
    <t>Natalia Bahamón</t>
  </si>
  <si>
    <t>No. FE 2519</t>
  </si>
  <si>
    <t>No. FE 2522</t>
  </si>
  <si>
    <t xml:space="preserve">Elizabeth Barbosa 
</t>
  </si>
  <si>
    <t>No. FE 2521</t>
  </si>
  <si>
    <t>No. FE 2523</t>
  </si>
  <si>
    <t>No. FE 2524</t>
  </si>
  <si>
    <t>No. FE 2525</t>
  </si>
  <si>
    <t>No. FE 2526</t>
  </si>
  <si>
    <t xml:space="preserve">Tatiana Sosa Avendaño  </t>
  </si>
  <si>
    <t>No. FE 2527</t>
  </si>
  <si>
    <t>No. FE 2528</t>
  </si>
  <si>
    <t>No. FE 2529</t>
  </si>
  <si>
    <t>No. FE 2530</t>
  </si>
  <si>
    <t>No. FE 2531</t>
  </si>
  <si>
    <t xml:space="preserve">Andrea Rangel 
</t>
  </si>
  <si>
    <t>No. FE 2532</t>
  </si>
  <si>
    <t>No. FE 2533</t>
  </si>
  <si>
    <t>No. FE 2534</t>
  </si>
  <si>
    <t>No. FE 2535</t>
  </si>
  <si>
    <t>Claudia Guerrero Laverde</t>
  </si>
  <si>
    <t>No. FE 2536</t>
  </si>
  <si>
    <t>No. FE 2537</t>
  </si>
  <si>
    <t>No. FE 2539</t>
  </si>
  <si>
    <t>No. FE 2540</t>
  </si>
  <si>
    <t xml:space="preserve">Nathalia Garcia
</t>
  </si>
  <si>
    <t>No. FE 2541</t>
  </si>
  <si>
    <t>No. FE 2542</t>
  </si>
  <si>
    <t>Cristína González</t>
  </si>
  <si>
    <t>No. FE 2543</t>
  </si>
  <si>
    <t>No. FE 2544</t>
  </si>
  <si>
    <t>No. FE 2545</t>
  </si>
  <si>
    <t xml:space="preserve">Marialin Leal
</t>
  </si>
  <si>
    <t>No. FE 2546</t>
  </si>
  <si>
    <t>No. FE 2547</t>
  </si>
  <si>
    <t xml:space="preserve">Zulma Ávila
</t>
  </si>
  <si>
    <t>No. FE 2538</t>
  </si>
  <si>
    <t>No. FE 2549</t>
  </si>
  <si>
    <t>No. FE 2550</t>
  </si>
  <si>
    <t xml:space="preserve">María Isabel Galeano
</t>
  </si>
  <si>
    <t>No. FE 2551</t>
  </si>
  <si>
    <t xml:space="preserve">Bernardo Huertas </t>
  </si>
  <si>
    <t>No. FE 2552</t>
  </si>
  <si>
    <t xml:space="preserve">Claudia Dominguez
</t>
  </si>
  <si>
    <t>No. FE 2553</t>
  </si>
  <si>
    <t>No. FE 2554</t>
  </si>
  <si>
    <t>No. FE 2555</t>
  </si>
  <si>
    <t>Jorge Quero</t>
  </si>
  <si>
    <t>No. FE 2556</t>
  </si>
  <si>
    <t>No. FE 2557</t>
  </si>
  <si>
    <t>No. FE 2558</t>
  </si>
  <si>
    <t>No. FE 2559</t>
  </si>
  <si>
    <t>No. FE 2560</t>
  </si>
  <si>
    <t>No. FE 2561</t>
  </si>
  <si>
    <r>
      <rPr>
        <sz val="12"/>
        <color theme="1"/>
        <rFont val="Calibri"/>
        <family val="2"/>
      </rPr>
      <t>Cristina Pérez Escobar (</t>
    </r>
    <r>
      <rPr>
        <b/>
        <sz val="12"/>
        <color theme="1"/>
        <rFont val="Calibri"/>
        <family val="2"/>
      </rPr>
      <t>María Eugenia Escobar</t>
    </r>
    <r>
      <rPr>
        <sz val="12"/>
        <color theme="1"/>
        <rFont val="Calibri"/>
        <family val="2"/>
      </rPr>
      <t>)</t>
    </r>
  </si>
  <si>
    <t>No. FE 2564</t>
  </si>
  <si>
    <t>No. FE 2563</t>
  </si>
  <si>
    <t xml:space="preserve">Ana Ardila 
</t>
  </si>
  <si>
    <t xml:space="preserve">BEATRIZ TIRADO (Valeria)
</t>
  </si>
  <si>
    <t>No. FE 2566</t>
  </si>
  <si>
    <t xml:space="preserve">Carlos Silva </t>
  </si>
  <si>
    <t>No. FE 2571</t>
  </si>
  <si>
    <t xml:space="preserve">David Triana
</t>
  </si>
  <si>
    <t>No. FE 2570</t>
  </si>
  <si>
    <t>Paola Calderon</t>
  </si>
  <si>
    <t>No. FE 2568</t>
  </si>
  <si>
    <t>No. FE 2567</t>
  </si>
  <si>
    <t>Andrea Sopho</t>
  </si>
  <si>
    <t>No. FE 2569</t>
  </si>
  <si>
    <t xml:space="preserve">Carlos Alberto Gamez Gamboa
</t>
  </si>
  <si>
    <t>No. FE 2572</t>
  </si>
  <si>
    <t>No. FE 2573</t>
  </si>
  <si>
    <t xml:space="preserve">Ana Lucía García
</t>
  </si>
  <si>
    <t>No. FE 2574</t>
  </si>
  <si>
    <t>No. FE 2575</t>
  </si>
  <si>
    <t xml:space="preserve">Maria Lucia Amador Mesa
</t>
  </si>
  <si>
    <t>No. FE 2576</t>
  </si>
  <si>
    <t>No. FE 2577</t>
  </si>
  <si>
    <t>No. FE 2578</t>
  </si>
  <si>
    <t>S.MARIA INES</t>
  </si>
  <si>
    <t>No. FE 2579</t>
  </si>
  <si>
    <t>Ilse Chavarriaga</t>
  </si>
  <si>
    <t>No. FE 2581</t>
  </si>
  <si>
    <t>No. FE 2580</t>
  </si>
  <si>
    <t xml:space="preserve">Angelica de la Torre </t>
  </si>
  <si>
    <t>No. FE 2582</t>
  </si>
  <si>
    <t xml:space="preserve">Liliana Nieto
</t>
  </si>
  <si>
    <t>No. FE 2583</t>
  </si>
  <si>
    <t>No. FE 2584</t>
  </si>
  <si>
    <t>Florencia Frech</t>
  </si>
  <si>
    <t>No. FE 2585</t>
  </si>
  <si>
    <t>María Elena Echeverry Zapata</t>
  </si>
  <si>
    <t>No. FE 2594</t>
  </si>
  <si>
    <t>No. FE 2586</t>
  </si>
  <si>
    <t>Verónica Acuña Navarro</t>
  </si>
  <si>
    <t>No. FE 2587</t>
  </si>
  <si>
    <t>No. FE 2588</t>
  </si>
  <si>
    <t xml:space="preserve">Lina María Gómez Pineda 
</t>
  </si>
  <si>
    <t>No. FE 2589</t>
  </si>
  <si>
    <t xml:space="preserve">Carolina castillo Florez
</t>
  </si>
  <si>
    <t>No. FE 2595</t>
  </si>
  <si>
    <t>Natalia Pérez Flórez</t>
  </si>
  <si>
    <t>No. FE 2596</t>
  </si>
  <si>
    <t>No. FE 2597</t>
  </si>
  <si>
    <t xml:space="preserve">Daniel Quintero
</t>
  </si>
  <si>
    <t>No. FE 2598</t>
  </si>
  <si>
    <t>Adriana Peña</t>
  </si>
  <si>
    <t>No. FE 2599</t>
  </si>
  <si>
    <t>No. FE 2600</t>
  </si>
  <si>
    <t xml:space="preserve">Andrés U Gonzalez
</t>
  </si>
  <si>
    <t>No. FE 2601</t>
  </si>
  <si>
    <t>No. FE 2602</t>
  </si>
  <si>
    <t xml:space="preserve">Jorge Avellaneda
</t>
  </si>
  <si>
    <t>No. FE 2603</t>
  </si>
  <si>
    <t xml:space="preserve">Jacobo Montero
</t>
  </si>
  <si>
    <t>No. FE 2604</t>
  </si>
  <si>
    <t xml:space="preserve">Ana Fernandez
</t>
  </si>
  <si>
    <t>No. FE 2605</t>
  </si>
  <si>
    <t>No. FE 2606</t>
  </si>
  <si>
    <t>No. FE 2607</t>
  </si>
  <si>
    <t>Victor Aparicio</t>
  </si>
  <si>
    <t>No. FE 2608</t>
  </si>
  <si>
    <t>María Claudia Rey</t>
  </si>
  <si>
    <t>No. FE 2609</t>
  </si>
  <si>
    <t>Martha Leonor Farah</t>
  </si>
  <si>
    <t>No. FE 2590</t>
  </si>
  <si>
    <t>Jaime Franco</t>
  </si>
  <si>
    <t>No. FE 2591</t>
  </si>
  <si>
    <t>No. FE 2592</t>
  </si>
  <si>
    <t>No. FE 2610</t>
  </si>
  <si>
    <t>No. FE 2620</t>
  </si>
  <si>
    <t xml:space="preserve">Rosana Musumeci
</t>
  </si>
  <si>
    <t>No. FE 2621</t>
  </si>
  <si>
    <t xml:space="preserve">Ivan Mejía
</t>
  </si>
  <si>
    <t>No. FE 2622</t>
  </si>
  <si>
    <t>No. FE 2623</t>
  </si>
  <si>
    <t>Misael Hidalgo</t>
  </si>
  <si>
    <t>No. FE 2611</t>
  </si>
  <si>
    <t>No. FE 2612</t>
  </si>
  <si>
    <t>No. FE 2613</t>
  </si>
  <si>
    <t>No. FE 2614</t>
  </si>
  <si>
    <t>No. FE 2615</t>
  </si>
  <si>
    <t>No. FE 2616</t>
  </si>
  <si>
    <t>Daniela Castillo</t>
  </si>
  <si>
    <t>No. FE 2617</t>
  </si>
  <si>
    <t>Juan Pablo García Pinas</t>
  </si>
  <si>
    <t>No. FE 2618</t>
  </si>
  <si>
    <t>Diana Alarcon</t>
  </si>
  <si>
    <t>No. FE 2619</t>
  </si>
  <si>
    <t xml:space="preserve">Stephania Gonzalez
</t>
  </si>
  <si>
    <t>No. FE 2624</t>
  </si>
  <si>
    <t>No. FE 2625</t>
  </si>
  <si>
    <t>No. FE 2626</t>
  </si>
  <si>
    <t>No. FE 2628</t>
  </si>
  <si>
    <t>No. FE 2629</t>
  </si>
  <si>
    <t>No. FE 2630</t>
  </si>
  <si>
    <t>No. FE 2631</t>
  </si>
  <si>
    <t>No. FE 2627</t>
  </si>
  <si>
    <t>No. FE 2638</t>
  </si>
  <si>
    <t xml:space="preserve">Maria Eyleen Suarez Ahumada
</t>
  </si>
  <si>
    <t>No. FE 2639</t>
  </si>
  <si>
    <t>No. FE 2640</t>
  </si>
  <si>
    <t xml:space="preserve">Gabriela Ruiz
</t>
  </si>
  <si>
    <t>No. FE 2641</t>
  </si>
  <si>
    <t xml:space="preserve">Karola Bernal
</t>
  </si>
  <si>
    <t>No. FE 2642</t>
  </si>
  <si>
    <t xml:space="preserve">Alejandra Vernaza
</t>
  </si>
  <si>
    <t>No. FE 2643</t>
  </si>
  <si>
    <t>No. FE 2644</t>
  </si>
  <si>
    <t xml:space="preserve">Isabella Jimenez
</t>
  </si>
  <si>
    <t>No. FE 2645</t>
  </si>
  <si>
    <t xml:space="preserve">Jose Estupinan (Ana Montero)
</t>
  </si>
  <si>
    <t>No. FE 2646</t>
  </si>
  <si>
    <t xml:space="preserve">Jose Antonio Chaparro
</t>
  </si>
  <si>
    <t>No. FE 2647</t>
  </si>
  <si>
    <t xml:space="preserve">Bibiana Lopez
</t>
  </si>
  <si>
    <t>No. FE 2648</t>
  </si>
  <si>
    <t xml:space="preserve">Alexandra Rodriguez
</t>
  </si>
  <si>
    <t>No. FE 2649</t>
  </si>
  <si>
    <t>Bibiana Berrío Olarte</t>
  </si>
  <si>
    <t>No. FE 2650</t>
  </si>
  <si>
    <t xml:space="preserve">Sarita Mar González
</t>
  </si>
  <si>
    <t>No. FE 2651</t>
  </si>
  <si>
    <t xml:space="preserve">Maria Carolina Espitia Becerra
</t>
  </si>
  <si>
    <t>No. FE 2652</t>
  </si>
  <si>
    <t>Carmen Martinez</t>
  </si>
  <si>
    <t>No. FE 2653</t>
  </si>
  <si>
    <t xml:space="preserve">Sandra Jimenez
</t>
  </si>
  <si>
    <t>No. FE 2654</t>
  </si>
  <si>
    <t xml:space="preserve">Lina Mora
</t>
  </si>
  <si>
    <t>No. FE 2655</t>
  </si>
  <si>
    <t xml:space="preserve">Juliana Mancera  (Yicel Perea)
</t>
  </si>
  <si>
    <t>No. FE 2633</t>
  </si>
  <si>
    <t>Angela López Villegas</t>
  </si>
  <si>
    <t>No. FE 2635</t>
  </si>
  <si>
    <t xml:space="preserve">Juliana Valencia
</t>
  </si>
  <si>
    <t>No. FE 2636</t>
  </si>
  <si>
    <t>No. FE 2632</t>
  </si>
  <si>
    <t xml:space="preserve">Sara Vidales
</t>
  </si>
  <si>
    <t>No. FE 2656</t>
  </si>
  <si>
    <t xml:space="preserve">Shenny Gonzalez
</t>
  </si>
  <si>
    <t>No. FE 2657</t>
  </si>
  <si>
    <t xml:space="preserve">Riccardo Gabrielli
</t>
  </si>
  <si>
    <t>No. FE 2658</t>
  </si>
  <si>
    <t>Viviana Varón Anacona</t>
  </si>
  <si>
    <t>No. FE 2659</t>
  </si>
  <si>
    <t>Claudia Romero River</t>
  </si>
  <si>
    <t>No. FE 2660</t>
  </si>
  <si>
    <t xml:space="preserve">Luis Aya
</t>
  </si>
  <si>
    <t>No. FE 2661</t>
  </si>
  <si>
    <t>No. FE 2637</t>
  </si>
  <si>
    <t>No. FE 2680</t>
  </si>
  <si>
    <t>No. FE 2688</t>
  </si>
  <si>
    <t xml:space="preserve">Carolina Santos
</t>
  </si>
  <si>
    <t>No. FE 2667</t>
  </si>
  <si>
    <t>Sonia Hortúa Romero</t>
  </si>
  <si>
    <t>No. FE 2662</t>
  </si>
  <si>
    <t>No. FE 2663</t>
  </si>
  <si>
    <t>Ana Quintero Vergara</t>
  </si>
  <si>
    <t>No. FE 2668</t>
  </si>
  <si>
    <t>No. FE 2669</t>
  </si>
  <si>
    <t xml:space="preserve">Olga Lucía Rivera Palacios
</t>
  </si>
  <si>
    <t>No. FE 2671</t>
  </si>
  <si>
    <t>Valentina Garcés</t>
  </si>
  <si>
    <t>No. FE 2672</t>
  </si>
  <si>
    <t xml:space="preserve">Javier Fernández
</t>
  </si>
  <si>
    <t>No. FE 2673</t>
  </si>
  <si>
    <t>No. FE 2674</t>
  </si>
  <si>
    <t xml:space="preserve">Alvaro Malaver rojas
</t>
  </si>
  <si>
    <t>No. FE 2675</t>
  </si>
  <si>
    <t xml:space="preserve">Wendy K. Diaz
</t>
  </si>
  <si>
    <t>No. FE 2676</t>
  </si>
  <si>
    <t xml:space="preserve">Claudia marcela Lopez gonzalez
</t>
  </si>
  <si>
    <t>No. FE 2677</t>
  </si>
  <si>
    <t xml:space="preserve">Sara Cuervo 
</t>
  </si>
  <si>
    <t>No. FE 2664</t>
  </si>
  <si>
    <t xml:space="preserve">Paula Garnica 
</t>
  </si>
  <si>
    <t>No. FE 2665</t>
  </si>
  <si>
    <t>No. FE 2666</t>
  </si>
  <si>
    <t xml:space="preserve">Maria Fernanda Melo
</t>
  </si>
  <si>
    <t>No. FE 2678</t>
  </si>
  <si>
    <t xml:space="preserve">Adriana Patricia Yepes Quintero
</t>
  </si>
  <si>
    <t>No. FE 2679</t>
  </si>
  <si>
    <t>No. FE 2682</t>
  </si>
  <si>
    <t>No. FE 2683</t>
  </si>
  <si>
    <t xml:space="preserve">Juan Sánchez
</t>
  </si>
  <si>
    <t>No. FE 2684</t>
  </si>
  <si>
    <t>No. FE 2685</t>
  </si>
  <si>
    <t xml:space="preserve">Nancy Barrera
</t>
  </si>
  <si>
    <t>No. FE 2681</t>
  </si>
  <si>
    <t>Maria Camila Azula Vasquez</t>
  </si>
  <si>
    <t>No. FE 2687</t>
  </si>
  <si>
    <t>Daniel Correa</t>
  </si>
  <si>
    <t>No. FE 2686</t>
  </si>
  <si>
    <t xml:space="preserve">NOVIEMBRE </t>
  </si>
  <si>
    <t xml:space="preserve">Angela María Restrepo
</t>
  </si>
  <si>
    <t>No. FE 2730</t>
  </si>
  <si>
    <t>No. FE 2731</t>
  </si>
  <si>
    <t>No. FE 2732</t>
  </si>
  <si>
    <t xml:space="preserve">Lorena Rodriguez
</t>
  </si>
  <si>
    <t>No. FE 2733</t>
  </si>
  <si>
    <t xml:space="preserve">Julieth Moreno
</t>
  </si>
  <si>
    <t>No. FE 2734</t>
  </si>
  <si>
    <t>No. FE 2691</t>
  </si>
  <si>
    <t xml:space="preserve">Gisela Toro
</t>
  </si>
  <si>
    <t>No. FE 2696</t>
  </si>
  <si>
    <t>No. FE 2692</t>
  </si>
  <si>
    <t>No. FE 2693</t>
  </si>
  <si>
    <t xml:space="preserve">Francisco Calero 
</t>
  </si>
  <si>
    <t>No. FE 2694</t>
  </si>
  <si>
    <t xml:space="preserve">Alejandro marquez
</t>
  </si>
  <si>
    <t>No. FE 2695</t>
  </si>
  <si>
    <t xml:space="preserve">Yacila Perea
</t>
  </si>
  <si>
    <t>No. FE 2697</t>
  </si>
  <si>
    <t xml:space="preserve">Catalina Estefania Gonzalez
</t>
  </si>
  <si>
    <t>No. FE 2698</t>
  </si>
  <si>
    <t xml:space="preserve">Yuranny Medina
</t>
  </si>
  <si>
    <t>No. FE 2699</t>
  </si>
  <si>
    <t xml:space="preserve">Tomas Posada
</t>
  </si>
  <si>
    <t>No. FE 2700</t>
  </si>
  <si>
    <t xml:space="preserve">María Arias Ochoa
</t>
  </si>
  <si>
    <t>No. FE 2701</t>
  </si>
  <si>
    <t xml:space="preserve">Carolina Sepúlveda
</t>
  </si>
  <si>
    <t>No. FE 2702</t>
  </si>
  <si>
    <t xml:space="preserve">PAGINA </t>
  </si>
  <si>
    <t xml:space="preserve">Laura Díaz Cruz
</t>
  </si>
  <si>
    <t>No. FE 2703</t>
  </si>
  <si>
    <t xml:space="preserve">Marta Tapia
</t>
  </si>
  <si>
    <t>No. FE 2704</t>
  </si>
  <si>
    <t xml:space="preserve">Carolina Garcia </t>
  </si>
  <si>
    <t>No. FE 2705</t>
  </si>
  <si>
    <t>Diana Carolina Gomez Castillo</t>
  </si>
  <si>
    <t>No. FE 2706</t>
  </si>
  <si>
    <t xml:space="preserve">Andrés Guzmán
</t>
  </si>
  <si>
    <t>No. FE 2707</t>
  </si>
  <si>
    <t xml:space="preserve">Catalina Albarracín
</t>
  </si>
  <si>
    <t>No. FE 2708</t>
  </si>
  <si>
    <t xml:space="preserve">Natalia Chica
</t>
  </si>
  <si>
    <t>No. FE 2709</t>
  </si>
  <si>
    <t xml:space="preserve">Viviana Cruz
</t>
  </si>
  <si>
    <t>No. FE 2710</t>
  </si>
  <si>
    <t xml:space="preserve">Tatiana Scarpetta
</t>
  </si>
  <si>
    <t>No. FE 2711</t>
  </si>
  <si>
    <t xml:space="preserve">Irene Parra
</t>
  </si>
  <si>
    <t>No. FE 2712</t>
  </si>
  <si>
    <t xml:space="preserve">Carmen Saavedrs
</t>
  </si>
  <si>
    <t>No. FE 2713</t>
  </si>
  <si>
    <t>No. FE 2714</t>
  </si>
  <si>
    <t xml:space="preserve">Andrés Moreno Gómez </t>
  </si>
  <si>
    <t>No. FE 2715</t>
  </si>
  <si>
    <t>No. FE 2716</t>
  </si>
  <si>
    <t xml:space="preserve">Veronica Gruber
</t>
  </si>
  <si>
    <t>No. FE 2717</t>
  </si>
  <si>
    <t xml:space="preserve">Angélica Garcia
</t>
  </si>
  <si>
    <t>No. FE 2718</t>
  </si>
  <si>
    <t xml:space="preserve">Julian Rodriguez
</t>
  </si>
  <si>
    <t>No. FE 2725</t>
  </si>
  <si>
    <t xml:space="preserve">Maria Elena Mesa Zuleta
</t>
  </si>
  <si>
    <t>No. FE 2726</t>
  </si>
  <si>
    <t>No. FE 2727</t>
  </si>
  <si>
    <t xml:space="preserve">Laura Zuluaga
</t>
  </si>
  <si>
    <t>No. FE 2728</t>
  </si>
  <si>
    <t xml:space="preserve">Ana Maria Diaz
</t>
  </si>
  <si>
    <t>No. FE 2729</t>
  </si>
  <si>
    <t xml:space="preserve">Daniel Loaiza
</t>
  </si>
  <si>
    <t>No. FE 2735</t>
  </si>
  <si>
    <t>Yolima Navarrete</t>
  </si>
  <si>
    <t>No. FE 2719</t>
  </si>
  <si>
    <t>No. FE 2720</t>
  </si>
  <si>
    <t>No. FE 2721</t>
  </si>
  <si>
    <t>No. FE 2722</t>
  </si>
  <si>
    <t xml:space="preserve">Carlos Guevara </t>
  </si>
  <si>
    <t>No. FE 2723</t>
  </si>
  <si>
    <t>No. FE 2724</t>
  </si>
  <si>
    <t>No. FE 2736</t>
  </si>
  <si>
    <t>No. FE 2743</t>
  </si>
  <si>
    <t>Juan Cabra</t>
  </si>
  <si>
    <t>No. FE 2744</t>
  </si>
  <si>
    <t>No. FE 2745</t>
  </si>
  <si>
    <t xml:space="preserve">Maria Sussmann Caicedo
</t>
  </si>
  <si>
    <t>No. FE 2746</t>
  </si>
  <si>
    <t xml:space="preserve">Juliana Arango
</t>
  </si>
  <si>
    <t>No. FE 2747</t>
  </si>
  <si>
    <t xml:space="preserve">Paola Andrea Suarez Obregon
</t>
  </si>
  <si>
    <t>No. FE 2748</t>
  </si>
  <si>
    <t>No. FE 2749</t>
  </si>
  <si>
    <t>No. FE 2750</t>
  </si>
  <si>
    <t>No. FE 2751</t>
  </si>
  <si>
    <t>No. FE 2737</t>
  </si>
  <si>
    <t>No. FE 2738</t>
  </si>
  <si>
    <t>No. FE 2740</t>
  </si>
  <si>
    <t>No. FE 2739</t>
  </si>
  <si>
    <t>Claudia Helena Vicaria</t>
  </si>
  <si>
    <t>No. FE 2741</t>
  </si>
  <si>
    <t>Jacqueline Goldstein</t>
  </si>
  <si>
    <t>No. FE 2742</t>
  </si>
  <si>
    <t xml:space="preserve">Livet Herrera
</t>
  </si>
  <si>
    <t>No. FE 2752</t>
  </si>
  <si>
    <t>No. FE 2753</t>
  </si>
  <si>
    <t>Asier Aguilar</t>
  </si>
  <si>
    <t>No. FE 2754</t>
  </si>
  <si>
    <t>No. FE 2755</t>
  </si>
  <si>
    <t>No. FE 2756</t>
  </si>
  <si>
    <t xml:space="preserve">Germán alberto Rodriguez orostegui
</t>
  </si>
  <si>
    <t>No. FE 2757</t>
  </si>
  <si>
    <t xml:space="preserve">Maria Camila Monroy
</t>
  </si>
  <si>
    <t>No. FE 2758</t>
  </si>
  <si>
    <t xml:space="preserve">Ernesto Ramirez
</t>
  </si>
  <si>
    <t>No. FE 2759</t>
  </si>
  <si>
    <t>Lina Williamson</t>
  </si>
  <si>
    <t>No. FE 2760</t>
  </si>
  <si>
    <t>No. FE 2761</t>
  </si>
  <si>
    <t xml:space="preserve">Ana Maria Onate Bello
</t>
  </si>
  <si>
    <t>No. FE 2768</t>
  </si>
  <si>
    <t>No. FE 2762</t>
  </si>
  <si>
    <t>Laura Ordóñez</t>
  </si>
  <si>
    <t>No. FE 2763</t>
  </si>
  <si>
    <t xml:space="preserve">Felipe Falla 
</t>
  </si>
  <si>
    <t>No. FE 2764</t>
  </si>
  <si>
    <t>No. FE 2765</t>
  </si>
  <si>
    <t>No. FE 2766</t>
  </si>
  <si>
    <t>No. FE 2767</t>
  </si>
  <si>
    <t>No. FE 2769</t>
  </si>
  <si>
    <t>No. FE 2770</t>
  </si>
  <si>
    <t xml:space="preserve">Ximena Tapias
</t>
  </si>
  <si>
    <t>No. FE 2771</t>
  </si>
  <si>
    <t xml:space="preserve">Andrés Castiblanco
</t>
  </si>
  <si>
    <t>No. FE 2772</t>
  </si>
  <si>
    <t>No. FE 2773</t>
  </si>
  <si>
    <t>Angela Paola Ramírez Rodríguez</t>
  </si>
  <si>
    <t>No. FE 2774</t>
  </si>
  <si>
    <t>No. FE 2775</t>
  </si>
  <si>
    <t xml:space="preserve">Claudia Patrcia  Acosta
</t>
  </si>
  <si>
    <t>No. FE 2777</t>
  </si>
  <si>
    <t>No. FE 2776</t>
  </si>
  <si>
    <t>Alfonso Tejada (XIMENA OSPINA)</t>
  </si>
  <si>
    <t>No. FE 2784</t>
  </si>
  <si>
    <t xml:space="preserve">Julie Torres
</t>
  </si>
  <si>
    <t>No. FE 2785</t>
  </si>
  <si>
    <t>No. FE 2786</t>
  </si>
  <si>
    <t xml:space="preserve">Johann Hofer
</t>
  </si>
  <si>
    <t>No. FE 2787</t>
  </si>
  <si>
    <t xml:space="preserve">Patricia Cuervo
</t>
  </si>
  <si>
    <t>No. FE 2788</t>
  </si>
  <si>
    <t>Alvaro Lara</t>
  </si>
  <si>
    <t>No. FE 2779</t>
  </si>
  <si>
    <t>Andrea Cortes Correa</t>
  </si>
  <si>
    <t>No. FE 2778</t>
  </si>
  <si>
    <t>No. FE 2789</t>
  </si>
  <si>
    <t>No. FE 2790</t>
  </si>
  <si>
    <t>Luis Gomez</t>
  </si>
  <si>
    <t>No. FE 2791</t>
  </si>
  <si>
    <t xml:space="preserve">Rene Baquero
</t>
  </si>
  <si>
    <t>No. FE 2792</t>
  </si>
  <si>
    <t>No. FE 2780</t>
  </si>
  <si>
    <t xml:space="preserve">Myriam Gomez (Pilar Meza)
</t>
  </si>
  <si>
    <t>No. FE 2793</t>
  </si>
  <si>
    <t>Juana Uribe (REGALO JOSE)</t>
  </si>
  <si>
    <t>No. FE 2781</t>
  </si>
  <si>
    <t>No. FE 2782</t>
  </si>
  <si>
    <t xml:space="preserve">Juan Ospina
</t>
  </si>
  <si>
    <t>No. FE 2794</t>
  </si>
  <si>
    <t xml:space="preserve">Ma Camila Bernal Bernal
</t>
  </si>
  <si>
    <t>No. FE 2795</t>
  </si>
  <si>
    <t xml:space="preserve">Diana Buitrago Jerez
</t>
  </si>
  <si>
    <t>No. FE 2796</t>
  </si>
  <si>
    <t xml:space="preserve">Sonia Verswyvel
</t>
  </si>
  <si>
    <t>No. FE 2797</t>
  </si>
  <si>
    <t xml:space="preserve">Johanna Maricela Lopez Velandia
</t>
  </si>
  <si>
    <t>No. FE 2798</t>
  </si>
  <si>
    <t>No. FE 2799</t>
  </si>
  <si>
    <t>No. FE 2800</t>
  </si>
  <si>
    <t>No. FE 2801</t>
  </si>
  <si>
    <t>No. FE 2802</t>
  </si>
  <si>
    <t xml:space="preserve">Diana Navarrera
</t>
  </si>
  <si>
    <t>No. FE 2803</t>
  </si>
  <si>
    <t xml:space="preserve">Catalina Villaveces Ronderos
</t>
  </si>
  <si>
    <t>No. FE 2804</t>
  </si>
  <si>
    <t>No. FE 2805</t>
  </si>
  <si>
    <t xml:space="preserve">Monica Pulido
</t>
  </si>
  <si>
    <t>No. FE 2806</t>
  </si>
  <si>
    <t xml:space="preserve">Elvia Gonzalez
</t>
  </si>
  <si>
    <t xml:space="preserve">2807 - 2808
</t>
  </si>
  <si>
    <t xml:space="preserve">Carolina Polanco
</t>
  </si>
  <si>
    <t>No. FE 2809</t>
  </si>
  <si>
    <t xml:space="preserve">Susana Loaiza
</t>
  </si>
  <si>
    <t>No. FE 2810</t>
  </si>
  <si>
    <t xml:space="preserve">Francisco Javier Calero Valenzuela
</t>
  </si>
  <si>
    <t>No. FE 2811</t>
  </si>
  <si>
    <t>No. FE 2812</t>
  </si>
  <si>
    <t xml:space="preserve">Lorena Hurtado
</t>
  </si>
  <si>
    <t>No. FE 2813</t>
  </si>
  <si>
    <t>No. FE 2817</t>
  </si>
  <si>
    <t>No. FE 2783</t>
  </si>
  <si>
    <t xml:space="preserve">Laura Jaramillo Restrepo 
</t>
  </si>
  <si>
    <t>No. FE 2814</t>
  </si>
  <si>
    <t>No. FE 2816</t>
  </si>
  <si>
    <t>No. FE 2818</t>
  </si>
  <si>
    <t>No. FE 2819</t>
  </si>
  <si>
    <t>No. FE 2821</t>
  </si>
  <si>
    <t>Catalina Tobón Hoyos</t>
  </si>
  <si>
    <t>No. FE 2820</t>
  </si>
  <si>
    <t>No. FE 2822</t>
  </si>
  <si>
    <t xml:space="preserve">Carlos Moreno Rodriguez
</t>
  </si>
  <si>
    <t>No. FE 2823</t>
  </si>
  <si>
    <t xml:space="preserve">Maria Fernanda Canencio Rodriguez
</t>
  </si>
  <si>
    <t>No. FE 2824</t>
  </si>
  <si>
    <t>No. FE 2825</t>
  </si>
  <si>
    <t xml:space="preserve">Sara Tovar
</t>
  </si>
  <si>
    <t>No. FE 2826</t>
  </si>
  <si>
    <t>No. FE 2815</t>
  </si>
  <si>
    <t xml:space="preserve">Daniela Romero Devis
</t>
  </si>
  <si>
    <t>No. FE 2827</t>
  </si>
  <si>
    <t>No. FE 2828</t>
  </si>
  <si>
    <t>No. FE 2829</t>
  </si>
  <si>
    <t>No. FE 2830</t>
  </si>
  <si>
    <t xml:space="preserve">Paola Calderon
</t>
  </si>
  <si>
    <t>No. FE 2831</t>
  </si>
  <si>
    <t xml:space="preserve">Maria Fernanda Londoño Mejia
</t>
  </si>
  <si>
    <t>No. FE 2832</t>
  </si>
  <si>
    <t xml:space="preserve">Nicolle Yapur
</t>
  </si>
  <si>
    <t>No. FE 2833</t>
  </si>
  <si>
    <t xml:space="preserve">Wendy Johanna Diaz Martinez
</t>
  </si>
  <si>
    <t>No. FE 2834</t>
  </si>
  <si>
    <t xml:space="preserve">Luis Felipe Milanés Reyes
</t>
  </si>
  <si>
    <t>No. FE 2835</t>
  </si>
  <si>
    <t xml:space="preserve">Catalina Ramírez
</t>
  </si>
  <si>
    <t>No. FE 2836</t>
  </si>
  <si>
    <t>No. FE 2845</t>
  </si>
  <si>
    <t>Carolina Benedetti</t>
  </si>
  <si>
    <t>No. FE 2846</t>
  </si>
  <si>
    <t>María Alejandra González</t>
  </si>
  <si>
    <t>No. FE 2847</t>
  </si>
  <si>
    <t xml:space="preserve">María José Borrero 
</t>
  </si>
  <si>
    <t>No. FE 2848</t>
  </si>
  <si>
    <t>No. FE 2837</t>
  </si>
  <si>
    <t xml:space="preserve">Melisa Machuret 
</t>
  </si>
  <si>
    <t>No. FE 2838</t>
  </si>
  <si>
    <t>No. FE 2839</t>
  </si>
  <si>
    <t>No. FE 2840</t>
  </si>
  <si>
    <t>No. FE 2841</t>
  </si>
  <si>
    <t xml:space="preserve">Monica Lena 
</t>
  </si>
  <si>
    <t>No. FE 2842</t>
  </si>
  <si>
    <t xml:space="preserve">Marcela Caicedo </t>
  </si>
  <si>
    <t>No. FE 2843</t>
  </si>
  <si>
    <t>No. FE 2844</t>
  </si>
  <si>
    <t xml:space="preserve">Lorena Barandica
</t>
  </si>
  <si>
    <t>No. FE 2849</t>
  </si>
  <si>
    <t>BANCOLOMBIA 2</t>
  </si>
  <si>
    <t xml:space="preserve">Alejandra De Valdenebro Garrido
</t>
  </si>
  <si>
    <t>No. FE 2850</t>
  </si>
  <si>
    <t xml:space="preserve">Ana Maria Cuellar Plaza
</t>
  </si>
  <si>
    <t>No. FE 2851</t>
  </si>
  <si>
    <t xml:space="preserve">Leidy Vera
</t>
  </si>
  <si>
    <t>No. FE 2852</t>
  </si>
  <si>
    <t>No. FE 2853</t>
  </si>
  <si>
    <t>No. FE 2854</t>
  </si>
  <si>
    <t xml:space="preserve">María Avendaño
</t>
  </si>
  <si>
    <t>No. FE 2855</t>
  </si>
  <si>
    <t xml:space="preserve">Juan Montoya
</t>
  </si>
  <si>
    <t>No. FE 2856</t>
  </si>
  <si>
    <t>Maria Monica Martinez Amaya</t>
  </si>
  <si>
    <t>No. FE 2857</t>
  </si>
  <si>
    <t>No. FE 2858</t>
  </si>
  <si>
    <t xml:space="preserve">Carolina Laverde
</t>
  </si>
  <si>
    <t>No. FE 2859</t>
  </si>
  <si>
    <t>No. FE 2860</t>
  </si>
  <si>
    <t>No. FE 2861</t>
  </si>
  <si>
    <t>Ana Oke</t>
  </si>
  <si>
    <t>No. FE 2863</t>
  </si>
  <si>
    <t xml:space="preserve">Natalia Diaz Diaz
</t>
  </si>
  <si>
    <t>No. FE 2864</t>
  </si>
  <si>
    <t>No. FE 2866</t>
  </si>
  <si>
    <t xml:space="preserve">María Elvira Pérez
</t>
  </si>
  <si>
    <t xml:space="preserve">JOHANNA COLLINS
</t>
  </si>
  <si>
    <t>No. FE 2867</t>
  </si>
  <si>
    <t xml:space="preserve">Ana María Oñate Bello
</t>
  </si>
  <si>
    <t>No. FE 2868</t>
  </si>
  <si>
    <t>No. FE 2869</t>
  </si>
  <si>
    <t xml:space="preserve">DANIELA CASTILLO
</t>
  </si>
  <si>
    <t>No. FE 2870</t>
  </si>
  <si>
    <t xml:space="preserve">Nicolas Gallo
</t>
  </si>
  <si>
    <t>No. FE 2871</t>
  </si>
  <si>
    <t xml:space="preserve">Adriana Pombo Pombo
</t>
  </si>
  <si>
    <t>No. FE 2872</t>
  </si>
  <si>
    <t xml:space="preserve">Angelica Cardenas ruge
</t>
  </si>
  <si>
    <t>No. FE 2873</t>
  </si>
  <si>
    <t xml:space="preserve">Camila Sierra
</t>
  </si>
  <si>
    <t>No. FE 2874</t>
  </si>
  <si>
    <t>No. FE 2875</t>
  </si>
  <si>
    <t xml:space="preserve">Natalia Barco
</t>
  </si>
  <si>
    <t>No. FE 2876</t>
  </si>
  <si>
    <t>Laura Real</t>
  </si>
  <si>
    <t>No. FE 2877</t>
  </si>
  <si>
    <t>No. FE 2882</t>
  </si>
  <si>
    <t xml:space="preserve">Katheryne García
</t>
  </si>
  <si>
    <t>No. FE 2884</t>
  </si>
  <si>
    <t xml:space="preserve">Maria Elvira Arango
</t>
  </si>
  <si>
    <t>No. FE 2878</t>
  </si>
  <si>
    <t>No. FE 2879</t>
  </si>
  <si>
    <t>No. FE 2880</t>
  </si>
  <si>
    <t>No. FE 2881</t>
  </si>
  <si>
    <t xml:space="preserve">Esteban Varela 
</t>
  </si>
  <si>
    <t>No. FE 2883</t>
  </si>
  <si>
    <t>No. FE 2885</t>
  </si>
  <si>
    <t xml:space="preserve">Diana Lucia Adrada
</t>
  </si>
  <si>
    <t>No. FE 2886</t>
  </si>
  <si>
    <t xml:space="preserve">Ligia Jacome
</t>
  </si>
  <si>
    <t>No. FE 2887</t>
  </si>
  <si>
    <t xml:space="preserve">Ana Maria Parra
</t>
  </si>
  <si>
    <t>No. FE 2888</t>
  </si>
  <si>
    <t xml:space="preserve">Santiago Carrillo Virguez
</t>
  </si>
  <si>
    <t>No. FE 2889</t>
  </si>
  <si>
    <t xml:space="preserve">Marcela Betancourt
</t>
  </si>
  <si>
    <t>No. FE 2890</t>
  </si>
  <si>
    <t xml:space="preserve">Maria Andrea Duque
</t>
  </si>
  <si>
    <t>No. FE 2891</t>
  </si>
  <si>
    <t>María Ruge</t>
  </si>
  <si>
    <t>No. FE 2892</t>
  </si>
  <si>
    <t xml:space="preserve">Juan Esteban Matallana
</t>
  </si>
  <si>
    <t>No. FE 2893</t>
  </si>
  <si>
    <t xml:space="preserve">Adriana Agudelo
</t>
  </si>
  <si>
    <t>No. FE 2894</t>
  </si>
  <si>
    <t>No. FE 2895</t>
  </si>
  <si>
    <t>Maryluz González Cano</t>
  </si>
  <si>
    <t>No. FE 2897</t>
  </si>
  <si>
    <t>No. FE 2898</t>
  </si>
  <si>
    <t>Paola Bonilla</t>
  </si>
  <si>
    <t>No. FE 2899</t>
  </si>
  <si>
    <t xml:space="preserve">Diana Ramirez
</t>
  </si>
  <si>
    <t>No. FE 2900</t>
  </si>
  <si>
    <t xml:space="preserve">Londres Davies
</t>
  </si>
  <si>
    <t>No. FE 2901</t>
  </si>
  <si>
    <t>Sandra Sánchez</t>
  </si>
  <si>
    <t>No. FE 2902</t>
  </si>
  <si>
    <t xml:space="preserve">Erika De Bedout
</t>
  </si>
  <si>
    <t>No. FE 2903</t>
  </si>
  <si>
    <t xml:space="preserve">Karen Mendoza
</t>
  </si>
  <si>
    <t>No. FE 2904</t>
  </si>
  <si>
    <t>No. FE 2905</t>
  </si>
  <si>
    <t xml:space="preserve">Amparo De Torres
</t>
  </si>
  <si>
    <t>No. FE 2906</t>
  </si>
  <si>
    <t xml:space="preserve">Luis alejandro
</t>
  </si>
  <si>
    <t>No. FE 2907</t>
  </si>
  <si>
    <t xml:space="preserve">Carolina Morales
</t>
  </si>
  <si>
    <t>No. FE 2908</t>
  </si>
  <si>
    <t xml:space="preserve">Silvia Benitez
</t>
  </si>
  <si>
    <t>No. FE 2909</t>
  </si>
  <si>
    <t xml:space="preserve">Sofia Meza
</t>
  </si>
  <si>
    <t>No. FE 2910</t>
  </si>
  <si>
    <t xml:space="preserve">Diego Cano
</t>
  </si>
  <si>
    <t>No. FE 2911</t>
  </si>
  <si>
    <t xml:space="preserve">Dayana Leon
</t>
  </si>
  <si>
    <t>No. FE 2912</t>
  </si>
  <si>
    <t xml:space="preserve">Nathalie Baron
</t>
  </si>
  <si>
    <t>No. FE 2913</t>
  </si>
  <si>
    <t>No. FE 2914</t>
  </si>
  <si>
    <t xml:space="preserve">Jonathan Quimbay
</t>
  </si>
  <si>
    <t>No. FE 2915</t>
  </si>
  <si>
    <t xml:space="preserve">Viviana Sánchez
</t>
  </si>
  <si>
    <t>No. FE 2916</t>
  </si>
  <si>
    <t xml:space="preserve">Laura Catalina Cardona Cruz
</t>
  </si>
  <si>
    <t>No. FE 2918</t>
  </si>
  <si>
    <t xml:space="preserve">Maria Andrea Zuloaga
</t>
  </si>
  <si>
    <t>No. FE 2919</t>
  </si>
  <si>
    <t xml:space="preserve">María Alejandra Serna Guzmán
</t>
  </si>
  <si>
    <t>No. FE 2920</t>
  </si>
  <si>
    <t xml:space="preserve">Daniela villamizar
</t>
  </si>
  <si>
    <t>No. FE 2921</t>
  </si>
  <si>
    <t xml:space="preserve">Ana Cristina Bustamante Escobar
</t>
  </si>
  <si>
    <t>No. FE 2922</t>
  </si>
  <si>
    <t xml:space="preserve">Jessica Velez
</t>
  </si>
  <si>
    <t>No. FE 2923</t>
  </si>
  <si>
    <t xml:space="preserve">Ana María Rico Mejía
</t>
  </si>
  <si>
    <t>No. FE 2924</t>
  </si>
  <si>
    <t xml:space="preserve">Liliana Ladino
</t>
  </si>
  <si>
    <t>No. FE 2925</t>
  </si>
  <si>
    <t>No. FE 2926</t>
  </si>
  <si>
    <t xml:space="preserve">Francesco Maresca
</t>
  </si>
  <si>
    <t>No. FE 2927</t>
  </si>
  <si>
    <t xml:space="preserve">Greis Romero Cruz
</t>
  </si>
  <si>
    <t>No. FE 2928</t>
  </si>
  <si>
    <t>No. FE 2929</t>
  </si>
  <si>
    <t>Diego Cano (CALERA )</t>
  </si>
  <si>
    <t>No. FE 2930</t>
  </si>
  <si>
    <t>No. FE 2931</t>
  </si>
  <si>
    <t>No. FE 2932</t>
  </si>
  <si>
    <t>Adriana Carrillo Men</t>
  </si>
  <si>
    <t>No. FE 2933</t>
  </si>
  <si>
    <t>No. FE 2934</t>
  </si>
  <si>
    <t>No. FE 2935</t>
  </si>
  <si>
    <t xml:space="preserve">Maria Camila Moreno </t>
  </si>
  <si>
    <t>No. FE 2936</t>
  </si>
  <si>
    <t>No. FE 2937</t>
  </si>
  <si>
    <t xml:space="preserve">Camila Forero Perilla
</t>
  </si>
  <si>
    <t>No. FE 2938</t>
  </si>
  <si>
    <t>No. FE 2939</t>
  </si>
  <si>
    <t>No. FE 2940</t>
  </si>
  <si>
    <t xml:space="preserve">Carola Rojas
</t>
  </si>
  <si>
    <t>No. FE 2941</t>
  </si>
  <si>
    <t xml:space="preserve">Ana Bonilla
</t>
  </si>
  <si>
    <t>No. FE 2942</t>
  </si>
  <si>
    <t xml:space="preserve">Laura Lian
</t>
  </si>
  <si>
    <t>No. FE 2943</t>
  </si>
  <si>
    <t>Armando Bueno</t>
  </si>
  <si>
    <t>No. FE 2944</t>
  </si>
  <si>
    <t xml:space="preserve">Lorena Barragan
</t>
  </si>
  <si>
    <t>No. FE 2945</t>
  </si>
  <si>
    <t xml:space="preserve">Beatriz Eugenia Rojas
</t>
  </si>
  <si>
    <t>No. FE 2946</t>
  </si>
  <si>
    <t xml:space="preserve">María del Pilar gallego
</t>
  </si>
  <si>
    <t>No. FE 2947</t>
  </si>
  <si>
    <t xml:space="preserve">Beatriz Eugenia Bustillo
</t>
  </si>
  <si>
    <t>No. FE 2948</t>
  </si>
  <si>
    <t>Marisol Buitrago</t>
  </si>
  <si>
    <t>No. FE 2949</t>
  </si>
  <si>
    <t>Aura Pimiento</t>
  </si>
  <si>
    <t>No. FE 2950</t>
  </si>
  <si>
    <t>No. FE 2951</t>
  </si>
  <si>
    <t xml:space="preserve">Silvana Escobar </t>
  </si>
  <si>
    <t>No. FE 2952</t>
  </si>
  <si>
    <t xml:space="preserve">Stella Silva </t>
  </si>
  <si>
    <t>No. FE 2953</t>
  </si>
  <si>
    <t>Victoria Echeverry</t>
  </si>
  <si>
    <t>No. FE 2954</t>
  </si>
  <si>
    <t>No. FE 2955</t>
  </si>
  <si>
    <t xml:space="preserve">Lina Castaño </t>
  </si>
  <si>
    <t>No. FE 2956</t>
  </si>
  <si>
    <t>Sandra Visbal</t>
  </si>
  <si>
    <t>No. FE 2957</t>
  </si>
  <si>
    <t xml:space="preserve">Paola Cristancho
</t>
  </si>
  <si>
    <t>No. FE 2962</t>
  </si>
  <si>
    <t xml:space="preserve">Jose Pablo Reyes
</t>
  </si>
  <si>
    <t>No. FE 2963</t>
  </si>
  <si>
    <t>Maria fernanda Peñuela</t>
  </si>
  <si>
    <t>No. FE 2964</t>
  </si>
  <si>
    <t xml:space="preserve">Marisol Martinez
</t>
  </si>
  <si>
    <t>No. FE 2965</t>
  </si>
  <si>
    <t>No. FE 2958</t>
  </si>
  <si>
    <t>No. FE 2959</t>
  </si>
  <si>
    <t xml:space="preserve">Soluciones Medicas
</t>
  </si>
  <si>
    <t>No. FE 2966</t>
  </si>
  <si>
    <t>No. FE 2960</t>
  </si>
  <si>
    <t>Alan Solano</t>
  </si>
  <si>
    <t>No. FE 2961</t>
  </si>
  <si>
    <t xml:space="preserve">Catalina Munoz
</t>
  </si>
  <si>
    <t>No. FE 2967</t>
  </si>
  <si>
    <t xml:space="preserve">Natalia Gamba Sanchez
</t>
  </si>
  <si>
    <t>No. FE 2968</t>
  </si>
  <si>
    <t xml:space="preserve">María Alejandra Garcia
</t>
  </si>
  <si>
    <t>No. FE 2969</t>
  </si>
  <si>
    <t xml:space="preserve">Lino Rojas Hermida
</t>
  </si>
  <si>
    <t>No. FE 2970</t>
  </si>
  <si>
    <t xml:space="preserve">Katya Buluy
</t>
  </si>
  <si>
    <t>No. FE 2971</t>
  </si>
  <si>
    <t>No. FE 2974</t>
  </si>
  <si>
    <t>Mónica Silva González</t>
  </si>
  <si>
    <t>No. FE 2972</t>
  </si>
  <si>
    <t>Maria Buenaventura</t>
  </si>
  <si>
    <t>No. FE 2979</t>
  </si>
  <si>
    <t xml:space="preserve">Mateo Ferrer
</t>
  </si>
  <si>
    <t>No. FE 2980</t>
  </si>
  <si>
    <t xml:space="preserve">Diana Quimbayo
</t>
  </si>
  <si>
    <t>No. FE 2981</t>
  </si>
  <si>
    <t>Astrid Valero</t>
  </si>
  <si>
    <t>No. FE 2982</t>
  </si>
  <si>
    <t>Jairo Ricon</t>
  </si>
  <si>
    <t>No. FE 2983</t>
  </si>
  <si>
    <t>Bibiana Lucas</t>
  </si>
  <si>
    <t>No. FE 2973</t>
  </si>
  <si>
    <t>Francesco Maresca</t>
  </si>
  <si>
    <t>No. FE 2984</t>
  </si>
  <si>
    <t>Eliana Rueda</t>
  </si>
  <si>
    <t>No. FE 2985</t>
  </si>
  <si>
    <t>No. FE 2986</t>
  </si>
  <si>
    <t>No. FE 2975</t>
  </si>
  <si>
    <t>Isabela Tenorio Obando</t>
  </si>
  <si>
    <t>No. FE 2978</t>
  </si>
  <si>
    <t>BANCOLOMBIA X 2</t>
  </si>
  <si>
    <t>Jeannette Galan</t>
  </si>
  <si>
    <t>No. FE 2976</t>
  </si>
  <si>
    <t>Mario Arellano</t>
  </si>
  <si>
    <t>No. FE 2977</t>
  </si>
  <si>
    <t>No. FE 2987</t>
  </si>
  <si>
    <t>Snayder Acero</t>
  </si>
  <si>
    <t>No. FE 2988</t>
  </si>
  <si>
    <t>Maria Elena Mesa Zuleta</t>
  </si>
  <si>
    <t>No. FE 2989</t>
  </si>
  <si>
    <t>Marcos Pineda</t>
  </si>
  <si>
    <t>No. FE 2990</t>
  </si>
  <si>
    <t>No. FE 2991</t>
  </si>
  <si>
    <t>Diana Ramirez Navarro</t>
  </si>
  <si>
    <t>No. FE 2992</t>
  </si>
  <si>
    <t>Monica Sanclemente</t>
  </si>
  <si>
    <t>No. FE 2993</t>
  </si>
  <si>
    <t>No. FE 2994</t>
  </si>
  <si>
    <t>Mónica Machuca</t>
  </si>
  <si>
    <t>No. FE 2995</t>
  </si>
  <si>
    <t>No. FE 2996</t>
  </si>
  <si>
    <t>No. FE 2997</t>
  </si>
  <si>
    <t>No. FE 2998</t>
  </si>
  <si>
    <t>No. FE 2999</t>
  </si>
  <si>
    <t>No. FE 3000</t>
  </si>
  <si>
    <t>Paola Gomez Gomez</t>
  </si>
  <si>
    <t>No. FE 3001</t>
  </si>
  <si>
    <t>Andrea Collante</t>
  </si>
  <si>
    <t>No. FE 3002</t>
  </si>
  <si>
    <t>Roxana Calvo</t>
  </si>
  <si>
    <t>No. FE 3003</t>
  </si>
  <si>
    <t>Maria Jaramillo</t>
  </si>
  <si>
    <t>No. FE 3004</t>
  </si>
  <si>
    <t>Yolanda Ortega</t>
  </si>
  <si>
    <t>No. FE 3005</t>
  </si>
  <si>
    <t>No. FE 3006</t>
  </si>
  <si>
    <t>Nicolle Yapur</t>
  </si>
  <si>
    <t>No. FE 3007</t>
  </si>
  <si>
    <t>Luz Adriana Urazan Patino</t>
  </si>
  <si>
    <t>No. FE 3008</t>
  </si>
  <si>
    <t>Paula Bretz</t>
  </si>
  <si>
    <t>No. FE 3009</t>
  </si>
  <si>
    <t>Sofia Arango Cadavid</t>
  </si>
  <si>
    <t>No. FE 3010</t>
  </si>
  <si>
    <t>Maria Jimena Daza Martínez</t>
  </si>
  <si>
    <t>No. FE 3011</t>
  </si>
  <si>
    <t>Maria Alejandra Munoz Rodriguez</t>
  </si>
  <si>
    <t>No. FE 3012</t>
  </si>
  <si>
    <t>Sarita Mar González</t>
  </si>
  <si>
    <t>No. FE 3013</t>
  </si>
  <si>
    <t>Santiago Pinzon Alvarado</t>
  </si>
  <si>
    <t>No. FE 3014</t>
  </si>
  <si>
    <t>No. FE 3015</t>
  </si>
  <si>
    <t>No. FE 3016</t>
  </si>
  <si>
    <t>No. FE 3017</t>
  </si>
  <si>
    <t>No. FE 3018</t>
  </si>
  <si>
    <t>No. FE 3019</t>
  </si>
  <si>
    <t>No. FE 3020</t>
  </si>
  <si>
    <t xml:space="preserve">Alejandra Lozano 
</t>
  </si>
  <si>
    <t>No. FE 3021</t>
  </si>
  <si>
    <t>Kathryn Martínez</t>
  </si>
  <si>
    <t>No. FE 3022</t>
  </si>
  <si>
    <t>No. FE 3023</t>
  </si>
  <si>
    <t xml:space="preserve">Christian Garavito
</t>
  </si>
  <si>
    <t>No. FE 3025</t>
  </si>
  <si>
    <t xml:space="preserve">Amparo Florián
</t>
  </si>
  <si>
    <t>No. FE 3026</t>
  </si>
  <si>
    <t xml:space="preserve">Gustavo Ortega
</t>
  </si>
  <si>
    <t>No. FE 3027</t>
  </si>
  <si>
    <t>Diana Criales</t>
  </si>
  <si>
    <t>No. FE 3028</t>
  </si>
  <si>
    <t>Claudia Restrepo</t>
  </si>
  <si>
    <t>No. FE 3029</t>
  </si>
  <si>
    <t>No. FE 3030</t>
  </si>
  <si>
    <t>No. FE 3031</t>
  </si>
  <si>
    <t xml:space="preserve">Clara Rey
</t>
  </si>
  <si>
    <t>No. FE 3032</t>
  </si>
  <si>
    <t>Santiago Velandia</t>
  </si>
  <si>
    <t>No. FE 3033</t>
  </si>
  <si>
    <t>Paula Cubides</t>
  </si>
  <si>
    <t>No. FE 3048</t>
  </si>
  <si>
    <t xml:space="preserve">Ana Valero
</t>
  </si>
  <si>
    <t>No. FE 3041</t>
  </si>
  <si>
    <t xml:space="preserve"> Alfonso Tejada
</t>
  </si>
  <si>
    <t>No. FE 3034</t>
  </si>
  <si>
    <t>Camila Gómez Bernal</t>
  </si>
  <si>
    <t>No. FE 3035</t>
  </si>
  <si>
    <t>No. FE 3036</t>
  </si>
  <si>
    <t>No. FE 3037</t>
  </si>
  <si>
    <t>No. FE 3038</t>
  </si>
  <si>
    <t>Luisa Fernanda Vallecilla Giraldo</t>
  </si>
  <si>
    <t>No. FE 3039</t>
  </si>
  <si>
    <t>No. FE 3040</t>
  </si>
  <si>
    <t>No. FE 3042</t>
  </si>
  <si>
    <t xml:space="preserve">María Paula Quitian R
</t>
  </si>
  <si>
    <t>No. FE 3049</t>
  </si>
  <si>
    <t>No. FE 3043</t>
  </si>
  <si>
    <t>No. FE 3044</t>
  </si>
  <si>
    <t>Victoria Perez</t>
  </si>
  <si>
    <t>No. FE 3045</t>
  </si>
  <si>
    <t>Marisella Medina</t>
  </si>
  <si>
    <t>No. FE 3050</t>
  </si>
  <si>
    <t>Ariadna Tovar Tovar Ramírez</t>
  </si>
  <si>
    <t>No. FE 3051</t>
  </si>
  <si>
    <t>Daniel Galvis</t>
  </si>
  <si>
    <t>No. FE 3052</t>
  </si>
  <si>
    <t>No. FE 3046</t>
  </si>
  <si>
    <t>No. FE 3047</t>
  </si>
  <si>
    <t>No. FE 3053</t>
  </si>
  <si>
    <t>No. FE 3055</t>
  </si>
  <si>
    <t>No. FE 3056</t>
  </si>
  <si>
    <t>No. FE 3057</t>
  </si>
  <si>
    <t>No. FE 3058</t>
  </si>
  <si>
    <t>No. FE 3062</t>
  </si>
  <si>
    <t xml:space="preserve">Jeison Casas 
</t>
  </si>
  <si>
    <t>No. FE 3059</t>
  </si>
  <si>
    <t xml:space="preserve">Liseth Avellaneda 
</t>
  </si>
  <si>
    <t>No. FE 3060</t>
  </si>
  <si>
    <t>Catalina Llano</t>
  </si>
  <si>
    <t>No. FE 3063</t>
  </si>
  <si>
    <t>Daniela González</t>
  </si>
  <si>
    <t>No. FE 3064</t>
  </si>
  <si>
    <t xml:space="preserve">Elvira Torres
</t>
  </si>
  <si>
    <t>No. FE 3065</t>
  </si>
  <si>
    <t>Crucelia Urquijo</t>
  </si>
  <si>
    <t>No. FE 3066</t>
  </si>
  <si>
    <t xml:space="preserve">Jennifer Mancera
</t>
  </si>
  <si>
    <t>No. FE 3067</t>
  </si>
  <si>
    <t>Maria Fernanda Melo</t>
  </si>
  <si>
    <t>No. FE 3068</t>
  </si>
  <si>
    <t xml:space="preserve">Angélica Perilla
</t>
  </si>
  <si>
    <t>No. FE 3069</t>
  </si>
  <si>
    <t>No. FE 3070</t>
  </si>
  <si>
    <t>No. FE 3073</t>
  </si>
  <si>
    <t>Ana María Herrera</t>
  </si>
  <si>
    <t>No. FE 3071</t>
  </si>
  <si>
    <t>Hilda Ballesteros</t>
  </si>
  <si>
    <t>No. FE 3072</t>
  </si>
  <si>
    <t xml:space="preserve">Anita Giraldo
</t>
  </si>
  <si>
    <t>No. FE 3074</t>
  </si>
  <si>
    <t>No. FE 3075</t>
  </si>
  <si>
    <t>No. FE 3079</t>
  </si>
  <si>
    <t>Ana María Castro</t>
  </si>
  <si>
    <t>No. FE 3077</t>
  </si>
  <si>
    <t>No. FE 3078</t>
  </si>
  <si>
    <t>Nicolás Mendoza</t>
  </si>
  <si>
    <t>No. FE 3082</t>
  </si>
  <si>
    <t xml:space="preserve">Alejandra Maldonado Rivera
</t>
  </si>
  <si>
    <t>No. FE 3083</t>
  </si>
  <si>
    <t>No. FE 3084</t>
  </si>
  <si>
    <t xml:space="preserve">Jessica Pinilla
</t>
  </si>
  <si>
    <t>No. FE 3085</t>
  </si>
  <si>
    <t>Silvia Benitez</t>
  </si>
  <si>
    <t>No. FE 3086</t>
  </si>
  <si>
    <t xml:space="preserve">Johanna Moreno
</t>
  </si>
  <si>
    <t>No. FE 3087</t>
  </si>
  <si>
    <t xml:space="preserve">Paulina Villamil
</t>
  </si>
  <si>
    <t>No. FE 3090</t>
  </si>
  <si>
    <t xml:space="preserve">Viviana Saaibi
</t>
  </si>
  <si>
    <t>No. FE 3091</t>
  </si>
  <si>
    <t>Erika De Bedout</t>
  </si>
  <si>
    <t>No. FE 3092</t>
  </si>
  <si>
    <t xml:space="preserve">Lorena Del Castillo Ortega
</t>
  </si>
  <si>
    <t>No. FE 3093</t>
  </si>
  <si>
    <t>Ximena Ospina</t>
  </si>
  <si>
    <t>No. FE 3094</t>
  </si>
  <si>
    <t>No. FE 3080</t>
  </si>
  <si>
    <t>Stella Silva</t>
  </si>
  <si>
    <t>No. FE 3081</t>
  </si>
  <si>
    <t>No. FE 3089</t>
  </si>
  <si>
    <t xml:space="preserve">Natalia Mejia
</t>
  </si>
  <si>
    <t>No. FE 3098</t>
  </si>
  <si>
    <t xml:space="preserve">Laura Bonnet
</t>
  </si>
  <si>
    <t>No. FE 3099</t>
  </si>
  <si>
    <t>No. FE 3095</t>
  </si>
  <si>
    <t>Marcela Granada Faith</t>
  </si>
  <si>
    <t>No. FE 3096</t>
  </si>
  <si>
    <t xml:space="preserve">Juliana Mancera  
</t>
  </si>
  <si>
    <t>No. FE 3097</t>
  </si>
  <si>
    <t>Laura Forero Sierra</t>
  </si>
  <si>
    <t>No. FE 3100</t>
  </si>
  <si>
    <t>No. FE 3101</t>
  </si>
  <si>
    <t xml:space="preserve">Clara Mor de Hernandez
</t>
  </si>
  <si>
    <t>No. FE 3102</t>
  </si>
  <si>
    <t>DICIEMBRE</t>
  </si>
  <si>
    <t xml:space="preserve">Camila Granados Rodriguez
</t>
  </si>
  <si>
    <t>No. FE 3105</t>
  </si>
  <si>
    <t xml:space="preserve">Stephany Guarin
</t>
  </si>
  <si>
    <t>No. FE 3106</t>
  </si>
  <si>
    <t xml:space="preserve">Nicolas Espitia
</t>
  </si>
  <si>
    <t>No. FE 3107</t>
  </si>
  <si>
    <t xml:space="preserve">Diana Carolina JIMENEZ
</t>
  </si>
  <si>
    <t>No. FE 3108</t>
  </si>
  <si>
    <t>Juan Garzon</t>
  </si>
  <si>
    <t>No. FE 3109</t>
  </si>
  <si>
    <t xml:space="preserve">German Garcia
</t>
  </si>
  <si>
    <t>No. FE 3111</t>
  </si>
  <si>
    <t>No. FE 3112</t>
  </si>
  <si>
    <t xml:space="preserve">Paola Gómez
</t>
  </si>
  <si>
    <t>No. FE 3113</t>
  </si>
  <si>
    <t xml:space="preserve">Alejandra De Valdenebro
</t>
  </si>
  <si>
    <t>No. FE 3114</t>
  </si>
  <si>
    <t xml:space="preserve">Jaime Becerra
</t>
  </si>
  <si>
    <t>No. FE 3115</t>
  </si>
  <si>
    <t xml:space="preserve">German alberto Rodriguez orostegui
</t>
  </si>
  <si>
    <t>No. FE 3116</t>
  </si>
  <si>
    <t>Andrés U</t>
  </si>
  <si>
    <t>No. FE 3117</t>
  </si>
  <si>
    <t xml:space="preserve">María Alejandra Serna Guzmán
</t>
  </si>
  <si>
    <t>No. FE 3118</t>
  </si>
  <si>
    <t xml:space="preserve">Juan Carlos Afanador Carrasco
</t>
  </si>
  <si>
    <t>No. FE 3119</t>
  </si>
  <si>
    <t>Diana Palacios</t>
  </si>
  <si>
    <t>No. FE 3120</t>
  </si>
  <si>
    <t xml:space="preserve">Andres Prieto
</t>
  </si>
  <si>
    <t>No. FE 3121</t>
  </si>
  <si>
    <t xml:space="preserve">Catalina Ramirez
</t>
  </si>
  <si>
    <t>No. FE 3122</t>
  </si>
  <si>
    <t xml:space="preserve">Claudia Gutierrez
</t>
  </si>
  <si>
    <t>No. FE 3123</t>
  </si>
  <si>
    <t>No. FE 3103</t>
  </si>
  <si>
    <t>Fernando Sierra Vargas</t>
  </si>
  <si>
    <t>No. FE 3104</t>
  </si>
  <si>
    <t>Manuela Ortegón Escobar</t>
  </si>
  <si>
    <t>No. FE 3142</t>
  </si>
  <si>
    <t>Dayana Leon</t>
  </si>
  <si>
    <t>No. FE 3143</t>
  </si>
  <si>
    <t>Carolina Sáenz</t>
  </si>
  <si>
    <t>Cristobal Castrillon Balcazar</t>
  </si>
  <si>
    <t>No. FE 3145</t>
  </si>
  <si>
    <t xml:space="preserve">Darío Rozo Buendía ROCIO ROMERO
</t>
  </si>
  <si>
    <t>No. FE 3146</t>
  </si>
  <si>
    <t xml:space="preserve">Juan ignacio Vivas
</t>
  </si>
  <si>
    <t>No. FE 3147</t>
  </si>
  <si>
    <t>No. FE 3148</t>
  </si>
  <si>
    <t>Viviana Sánchez</t>
  </si>
  <si>
    <t>No. FE 3149</t>
  </si>
  <si>
    <t>Fátima Esparz Calderón</t>
  </si>
  <si>
    <t>No. FE 3125</t>
  </si>
  <si>
    <t>No. FE 3126</t>
  </si>
  <si>
    <t>No. FE 3127</t>
  </si>
  <si>
    <t>No. FE 3128</t>
  </si>
  <si>
    <t>Mónica Aguirre Martínez</t>
  </si>
  <si>
    <t>No. FE 3129</t>
  </si>
  <si>
    <t>Nicole Freydel</t>
  </si>
  <si>
    <t>No. FE 3130</t>
  </si>
  <si>
    <t xml:space="preserve">Petra Novackova </t>
  </si>
  <si>
    <t>No. FE 3131</t>
  </si>
  <si>
    <t>No. FE 3132</t>
  </si>
  <si>
    <t>No. FE 3133</t>
  </si>
  <si>
    <t>No. FE 3135</t>
  </si>
  <si>
    <t>No. FE 3151</t>
  </si>
  <si>
    <t>Mariana Hernandez</t>
  </si>
  <si>
    <t>No. FE 3150</t>
  </si>
  <si>
    <t>No. FE 3134</t>
  </si>
  <si>
    <t>No. FE 3160</t>
  </si>
  <si>
    <t>Fabiana Rodriguez</t>
  </si>
  <si>
    <t>No. FE 3161</t>
  </si>
  <si>
    <t>LINK BANCOLOMBIA</t>
  </si>
  <si>
    <t>Juanita Uribe londoño</t>
  </si>
  <si>
    <t>No. FE 3162</t>
  </si>
  <si>
    <t>Maria Claudia Cardenas</t>
  </si>
  <si>
    <t>No. FE 3163</t>
  </si>
  <si>
    <t>No. FE 3164</t>
  </si>
  <si>
    <t>Carolina Escobar</t>
  </si>
  <si>
    <t>No. FE 3165</t>
  </si>
  <si>
    <t>Johnathan Maldonado</t>
  </si>
  <si>
    <t>No. FE 3166</t>
  </si>
  <si>
    <t>Nicolas Aceveso</t>
  </si>
  <si>
    <t>No. FE 3167</t>
  </si>
  <si>
    <t>Stefanny Vanessa Vargas Naicipa</t>
  </si>
  <si>
    <t>No. FE 3168</t>
  </si>
  <si>
    <t>Yuliana Cortés Munar</t>
  </si>
  <si>
    <t>No. FE 3169</t>
  </si>
  <si>
    <t>No. FE 3170</t>
  </si>
  <si>
    <t>No. FE 3153</t>
  </si>
  <si>
    <t xml:space="preserve">Alejandra Germano </t>
  </si>
  <si>
    <t xml:space="preserve">No. FE 3154-3158
</t>
  </si>
  <si>
    <t>No. FE 3155</t>
  </si>
  <si>
    <t>No. FE 3156</t>
  </si>
  <si>
    <t xml:space="preserve">Mariana Camacho
</t>
  </si>
  <si>
    <t>No. FE 3157</t>
  </si>
  <si>
    <t>No. FE 3159</t>
  </si>
  <si>
    <t>Juliana Concha</t>
  </si>
  <si>
    <t>No. FE 3178</t>
  </si>
  <si>
    <t>Sandra Tache</t>
  </si>
  <si>
    <t>No. FE 3179</t>
  </si>
  <si>
    <t>No. FE 3171</t>
  </si>
  <si>
    <t>No. FE 3172</t>
  </si>
  <si>
    <t>No. FE 3173</t>
  </si>
  <si>
    <t>Esperanza Montañez Reina</t>
  </si>
  <si>
    <t>No. FE 3174</t>
  </si>
  <si>
    <t xml:space="preserve">Natalia Díaz Díaz
</t>
  </si>
  <si>
    <t>No. FE 3175</t>
  </si>
  <si>
    <t>Emily Jimenez Roca</t>
  </si>
  <si>
    <t>No. FE 3186</t>
  </si>
  <si>
    <t>Mónica Leal Kallmann (Marco Rojas)</t>
  </si>
  <si>
    <t>No. FE 3180</t>
  </si>
  <si>
    <t>No. FE 3181</t>
  </si>
  <si>
    <t>No. FE 3182</t>
  </si>
  <si>
    <t>No. FE 3187</t>
  </si>
  <si>
    <t>Carolina Tinajero</t>
  </si>
  <si>
    <t>No. FE 3185</t>
  </si>
  <si>
    <t>Daniela Romero Devis</t>
  </si>
  <si>
    <t>No. FE 3194</t>
  </si>
  <si>
    <t>Elvia Gonzalez</t>
  </si>
  <si>
    <t>No. FE 3195</t>
  </si>
  <si>
    <t>No. FE 3198</t>
  </si>
  <si>
    <t>No. FE 3199</t>
  </si>
  <si>
    <t>Zora Jurin</t>
  </si>
  <si>
    <t>No. FE 3188</t>
  </si>
  <si>
    <t>No. FE 3189</t>
  </si>
  <si>
    <t>No. FE 3190</t>
  </si>
  <si>
    <t xml:space="preserve">Santiago Losada
</t>
  </si>
  <si>
    <t>No. FE 3200</t>
  </si>
  <si>
    <t>Paola Barrios</t>
  </si>
  <si>
    <t>No. FE 3201</t>
  </si>
  <si>
    <t>Silvia Riaño Salazar</t>
  </si>
  <si>
    <t>No. FE 3202</t>
  </si>
  <si>
    <t>No. FE 3203</t>
  </si>
  <si>
    <t>Maria Andrea Zuloaga</t>
  </si>
  <si>
    <t>No. FE 3204</t>
  </si>
  <si>
    <t>Silvana Aroca</t>
  </si>
  <si>
    <t>No. FE 3205</t>
  </si>
  <si>
    <t>Liliana Jaramillo Mutis</t>
  </si>
  <si>
    <t>No. FE 3206</t>
  </si>
  <si>
    <t>Eduardo Rodriguez</t>
  </si>
  <si>
    <t>No. FE 3207</t>
  </si>
  <si>
    <t xml:space="preserve">Laura Angel
</t>
  </si>
  <si>
    <t>No. FE 3208</t>
  </si>
  <si>
    <t>Javier Daza</t>
  </si>
  <si>
    <t>No. FE 3209</t>
  </si>
  <si>
    <t xml:space="preserve">Maria Velasquez
</t>
  </si>
  <si>
    <t>No. FE 3211</t>
  </si>
  <si>
    <t xml:space="preserve">Daniela Amador
</t>
  </si>
  <si>
    <t>No. FE 3212</t>
  </si>
  <si>
    <t xml:space="preserve">Santiago Lezama Espinosa
</t>
  </si>
  <si>
    <t>No. FE 3213</t>
  </si>
  <si>
    <t>Ana Maria Fonseca</t>
  </si>
  <si>
    <t>No. FE 3214</t>
  </si>
  <si>
    <t xml:space="preserve">Lorena Del Castillo
</t>
  </si>
  <si>
    <t>No. FE 3215</t>
  </si>
  <si>
    <t>Angela Pesántez Hoyos</t>
  </si>
  <si>
    <t>No. FE 3216</t>
  </si>
  <si>
    <t>No. FE 3217</t>
  </si>
  <si>
    <t>No. FE 3218</t>
  </si>
  <si>
    <t xml:space="preserve">Diana ROA
</t>
  </si>
  <si>
    <t>No. FE 3219</t>
  </si>
  <si>
    <t>No. FE 3220</t>
  </si>
  <si>
    <t>No. FE 3191</t>
  </si>
  <si>
    <t>No. FE 3221</t>
  </si>
  <si>
    <t>No. FE 3222</t>
  </si>
  <si>
    <t>Jocellyn Jay</t>
  </si>
  <si>
    <t>No. FE 3228</t>
  </si>
  <si>
    <t xml:space="preserve">Victoria eugenia Tribín echeverry 
</t>
  </si>
  <si>
    <t>No. FE 3223</t>
  </si>
  <si>
    <t>No. FE 3224</t>
  </si>
  <si>
    <t>Eleonora de Lucca</t>
  </si>
  <si>
    <t>No. FE 3225</t>
  </si>
  <si>
    <t xml:space="preserve">Catalina López 
</t>
  </si>
  <si>
    <t>No. FE 3226</t>
  </si>
  <si>
    <t>No. FE 3227</t>
  </si>
  <si>
    <t>No. FE 3124</t>
  </si>
  <si>
    <t>Juan Pablo Ordóñez</t>
  </si>
  <si>
    <t>Maria Pinilla</t>
  </si>
  <si>
    <t>No. FE 3231</t>
  </si>
  <si>
    <t>Lina Castaño</t>
  </si>
  <si>
    <t>No. FE 3232</t>
  </si>
  <si>
    <t xml:space="preserve">Sara Avila
</t>
  </si>
  <si>
    <t>No. FE 3233</t>
  </si>
  <si>
    <t>Maria Camila Viteri</t>
  </si>
  <si>
    <t>No. FE 3234</t>
  </si>
  <si>
    <t>No. FE 3235</t>
  </si>
  <si>
    <t xml:space="preserve">Maria Camila Azula
</t>
  </si>
  <si>
    <t>No. FE 3236</t>
  </si>
  <si>
    <t>Carolina Laverde</t>
  </si>
  <si>
    <t>No. FE 3237</t>
  </si>
  <si>
    <t xml:space="preserve">Laura Quintero (Luis Aya)
</t>
  </si>
  <si>
    <t>No. FE 3238</t>
  </si>
  <si>
    <t>No. FE 3239</t>
  </si>
  <si>
    <t>Carolina Sepúlveda</t>
  </si>
  <si>
    <t>No. FE 3240</t>
  </si>
  <si>
    <t>Janeth Ramos Pardo</t>
  </si>
  <si>
    <t>No. FE 3241</t>
  </si>
  <si>
    <t>No. FE 3242</t>
  </si>
  <si>
    <t xml:space="preserve">Maria Alejandra Munoz Rodriguez
</t>
  </si>
  <si>
    <t>No. FE 3243</t>
  </si>
  <si>
    <t xml:space="preserve">Francisco Gaona
</t>
  </si>
  <si>
    <t>No. FE 3244</t>
  </si>
  <si>
    <t xml:space="preserve">Andrea Trujillo
</t>
  </si>
  <si>
    <t>No. FE 3245</t>
  </si>
  <si>
    <t>No. FE 3246</t>
  </si>
  <si>
    <t>Paola Pachon</t>
  </si>
  <si>
    <t>No. FE 3247</t>
  </si>
  <si>
    <t>Diana Díaz Rodríguez (Diana Diaz)</t>
  </si>
  <si>
    <t>No. FE 3248</t>
  </si>
  <si>
    <t>Ana Murcia</t>
  </si>
  <si>
    <t>No. FE 3249</t>
  </si>
  <si>
    <t>Jeanntte Velez</t>
  </si>
  <si>
    <t>No. FE 3250</t>
  </si>
  <si>
    <t xml:space="preserve">Edith Prieto Buenaventura 
</t>
  </si>
  <si>
    <t>No. FE 3251</t>
  </si>
  <si>
    <t xml:space="preserve">Claudia Urdaneta
</t>
  </si>
  <si>
    <t>No. FE 3254</t>
  </si>
  <si>
    <t>Cristóbal Castrillón</t>
  </si>
  <si>
    <t>No. FE 3255</t>
  </si>
  <si>
    <t>No. FE 3256</t>
  </si>
  <si>
    <t>No. FE 3257</t>
  </si>
  <si>
    <t>No. FE 3258</t>
  </si>
  <si>
    <t>No. FE 3259</t>
  </si>
  <si>
    <t xml:space="preserve">Natalie Ordoñez Kandia
</t>
  </si>
  <si>
    <t>No. FE 3260</t>
  </si>
  <si>
    <t>No. FE 3269</t>
  </si>
  <si>
    <t>Camila Del Valle</t>
  </si>
  <si>
    <t>No. FE 3268</t>
  </si>
  <si>
    <t>No. FE 3265</t>
  </si>
  <si>
    <t>No. FE 3267</t>
  </si>
  <si>
    <t>Juan Sánchez</t>
  </si>
  <si>
    <t>No. FE 3270</t>
  </si>
  <si>
    <t>No. FE 3271</t>
  </si>
  <si>
    <t xml:space="preserve">Santiago Carrillo
</t>
  </si>
  <si>
    <t>No. FE 3272</t>
  </si>
  <si>
    <t>Karen Mendoza</t>
  </si>
  <si>
    <t>No. FE 3273</t>
  </si>
  <si>
    <t>No. FE 3276</t>
  </si>
  <si>
    <t>Myriam Gomez(PILAR MESA)</t>
  </si>
  <si>
    <t>No. FE 3282</t>
  </si>
  <si>
    <t>No. FE 3283</t>
  </si>
  <si>
    <t>Laura Gomez</t>
  </si>
  <si>
    <t>No. FE 3286</t>
  </si>
  <si>
    <t>Yolima Mendivelso</t>
  </si>
  <si>
    <t>No. FE 3287</t>
  </si>
  <si>
    <t xml:space="preserve">Alejandra Fuquen
</t>
  </si>
  <si>
    <t>No. FE 3288</t>
  </si>
  <si>
    <t>No. FE 3289</t>
  </si>
  <si>
    <t xml:space="preserve">René Baquero
</t>
  </si>
  <si>
    <t>No. FE 3290</t>
  </si>
  <si>
    <t>Jorge Corchuelo</t>
  </si>
  <si>
    <t>No. FE 3291</t>
  </si>
  <si>
    <t xml:space="preserve">Daniela Mejia
</t>
  </si>
  <si>
    <t>No. FE 3292</t>
  </si>
  <si>
    <t>No. FE 3293</t>
  </si>
  <si>
    <t>No. FE 3285</t>
  </si>
  <si>
    <t>No. FE 3300</t>
  </si>
  <si>
    <t>No. FE 3302</t>
  </si>
  <si>
    <t>Marcela Montejo Nossa</t>
  </si>
  <si>
    <t>No. FE 3306</t>
  </si>
  <si>
    <t>Diana Díaz Rodríguez(LUIS JORGE GARAY SALAMANCA)</t>
  </si>
  <si>
    <t>No. FE 3307</t>
  </si>
  <si>
    <t>No. FE 3308</t>
  </si>
  <si>
    <t>Diana Betancour</t>
  </si>
  <si>
    <t>No. FE 3322</t>
  </si>
  <si>
    <t>Maria Elvira Perez ( MONICA OTERO)</t>
  </si>
  <si>
    <t>No. FE 3323</t>
  </si>
  <si>
    <t>Marta Isabella Sierra</t>
  </si>
  <si>
    <t>No. FE 3324</t>
  </si>
  <si>
    <t xml:space="preserve">Helga Torres (Alfonso Cabarcas)
</t>
  </si>
  <si>
    <t>No. FE 3325</t>
  </si>
  <si>
    <t>No. FE 3326</t>
  </si>
  <si>
    <t>María Penarete</t>
  </si>
  <si>
    <t>No. FE 3327</t>
  </si>
  <si>
    <t>Maria Velasquez</t>
  </si>
  <si>
    <t>No. FE 3328</t>
  </si>
  <si>
    <t>Juan Gabriel Cendales</t>
  </si>
  <si>
    <t>Valeria Acosta</t>
  </si>
  <si>
    <t>No. FE 3313</t>
  </si>
  <si>
    <t>No. FE 3314</t>
  </si>
  <si>
    <t>No. FE 3315</t>
  </si>
  <si>
    <t>No. FE 3316</t>
  </si>
  <si>
    <t>No. FE 3317</t>
  </si>
  <si>
    <t>No. FE 3318</t>
  </si>
  <si>
    <t xml:space="preserve">Diana Paola diaz aya </t>
  </si>
  <si>
    <t>No. FE 3319</t>
  </si>
  <si>
    <t xml:space="preserve">DUDU FARINE ZUNDEL
</t>
  </si>
  <si>
    <t>No. FE 3320</t>
  </si>
  <si>
    <t xml:space="preserve">Carolina Navas 
</t>
  </si>
  <si>
    <t>No. FE 3321</t>
  </si>
  <si>
    <t>Nicolas Muñoz Alvarez</t>
  </si>
  <si>
    <t>No. FE 3329</t>
  </si>
  <si>
    <t>No. FE 3330</t>
  </si>
  <si>
    <t>No. FE 3331</t>
  </si>
  <si>
    <t>victor LEFF AVIVI</t>
  </si>
  <si>
    <t>No. FE 3332</t>
  </si>
  <si>
    <t>Veronica molina</t>
  </si>
  <si>
    <t>No. FE 3333</t>
  </si>
  <si>
    <t xml:space="preserve">Cristobal Castrillon Balcazar
</t>
  </si>
  <si>
    <t>No. FE 3334</t>
  </si>
  <si>
    <t>No. FE 3335</t>
  </si>
  <si>
    <t>No. FE 3353</t>
  </si>
  <si>
    <t>No. FE 3354</t>
  </si>
  <si>
    <t>No. FE 3355</t>
  </si>
  <si>
    <t>No. FE 3356</t>
  </si>
  <si>
    <t>Vanesa Barrera Forero</t>
  </si>
  <si>
    <t>No. FE 3357</t>
  </si>
  <si>
    <t>No. FE 3361</t>
  </si>
  <si>
    <t>Luisa Fernanda Salazar</t>
  </si>
  <si>
    <t>No. FE 3362</t>
  </si>
  <si>
    <t>JOHANNA COLLINS</t>
  </si>
  <si>
    <t>No. FE 3367</t>
  </si>
  <si>
    <t xml:space="preserve">Lina garces
</t>
  </si>
  <si>
    <t>No. FE 3368</t>
  </si>
  <si>
    <t xml:space="preserve">Maria Quintero
</t>
  </si>
  <si>
    <t>No. FE 3369</t>
  </si>
  <si>
    <t>Eleonora De Luca</t>
  </si>
  <si>
    <t>No. FE 3370</t>
  </si>
  <si>
    <t xml:space="preserve">dith Prieto Buenaventura </t>
  </si>
  <si>
    <t>No. FE 3359</t>
  </si>
  <si>
    <t>Luz Adriana Urazan Patiño</t>
  </si>
  <si>
    <t>No. FE 3371</t>
  </si>
  <si>
    <t>Liliana Díaz Rodríguez</t>
  </si>
  <si>
    <t>No. FE 3372</t>
  </si>
  <si>
    <t>No. FE 3358</t>
  </si>
  <si>
    <t>Diana Quimbayo</t>
  </si>
  <si>
    <t>No. FE 3395</t>
  </si>
  <si>
    <t>No. FE 3396</t>
  </si>
  <si>
    <t>No. FE 3374</t>
  </si>
  <si>
    <t>No. FE 3375</t>
  </si>
  <si>
    <t>No. FE 3376</t>
  </si>
  <si>
    <t>No. FE 3377</t>
  </si>
  <si>
    <t xml:space="preserve">Emily Jiménez Roca
</t>
  </si>
  <si>
    <t>No. FE 3397</t>
  </si>
  <si>
    <t>No. FE 3391</t>
  </si>
  <si>
    <t>No. FE 3392</t>
  </si>
  <si>
    <t>Mauricio León Latorre</t>
  </si>
  <si>
    <t>No. FE 3393</t>
  </si>
  <si>
    <t>Sergio Sarasti</t>
  </si>
  <si>
    <t>No. FE 3398</t>
  </si>
  <si>
    <t>No. FE 3394</t>
  </si>
  <si>
    <t>Alejandra Fuquen</t>
  </si>
  <si>
    <t>No. FE 3418</t>
  </si>
  <si>
    <t>Parroquia Santa Mariana de Jesús</t>
  </si>
  <si>
    <t>No. FE 3419</t>
  </si>
  <si>
    <t>No. FE 3420</t>
  </si>
  <si>
    <t>No. FE 3421</t>
  </si>
  <si>
    <t>No. FE 3422</t>
  </si>
  <si>
    <t>Adriana Umaña</t>
  </si>
  <si>
    <t>No. FE 3423</t>
  </si>
  <si>
    <t>No. FE 3424</t>
  </si>
  <si>
    <t>No. FE 3425</t>
  </si>
  <si>
    <t>No. FE 3426</t>
  </si>
  <si>
    <t xml:space="preserve">Lilia maria velez
</t>
  </si>
  <si>
    <t>No. FE 3461</t>
  </si>
  <si>
    <t>Adriana Torres Castañeda</t>
  </si>
  <si>
    <t>No. FE 3462</t>
  </si>
  <si>
    <t>Maria Rugeles</t>
  </si>
  <si>
    <t>No. FE 3463</t>
  </si>
  <si>
    <t>No. FE 3464</t>
  </si>
  <si>
    <t>Monica Otero</t>
  </si>
  <si>
    <t>No. FE 3465</t>
  </si>
  <si>
    <t>Javier Peña</t>
  </si>
  <si>
    <t>No. FE 3466</t>
  </si>
  <si>
    <t xml:space="preserve">Valentina Salas
</t>
  </si>
  <si>
    <t>No. FE 3467</t>
  </si>
  <si>
    <t>Nelcy León</t>
  </si>
  <si>
    <t>No. FE 3430</t>
  </si>
  <si>
    <t>Maria Jose Gutiérrez Cabral</t>
  </si>
  <si>
    <t>No. FE 3468</t>
  </si>
  <si>
    <t>Angela Martinez</t>
  </si>
  <si>
    <t>No. FE 3469</t>
  </si>
  <si>
    <t>Ana Carolina Moreno Rueda</t>
  </si>
  <si>
    <t>No. FE 3470</t>
  </si>
  <si>
    <t>Nicolas Acevedo</t>
  </si>
  <si>
    <t>No. FE 3471</t>
  </si>
  <si>
    <t xml:space="preserve">Ana Alba
</t>
  </si>
  <si>
    <t>No. FE 3472</t>
  </si>
  <si>
    <t>Jaime Guerrero</t>
  </si>
  <si>
    <t>No. FE 3473</t>
  </si>
  <si>
    <t>Patricia Cuervo</t>
  </si>
  <si>
    <t>No. FE 3443</t>
  </si>
  <si>
    <t>Yvonne Suárez</t>
  </si>
  <si>
    <t>No. FE 3444</t>
  </si>
  <si>
    <t xml:space="preserve">Diana Paola diaz aya 
</t>
  </si>
  <si>
    <t>No. FE 3445</t>
  </si>
  <si>
    <t>Francina Izquierdo</t>
  </si>
  <si>
    <t>No. FE 3446</t>
  </si>
  <si>
    <t>Jose Polanco</t>
  </si>
  <si>
    <t>No. FE 3474</t>
  </si>
  <si>
    <t>No. FE 3475</t>
  </si>
  <si>
    <t>No. FE 3456</t>
  </si>
  <si>
    <t>No. FE 3457</t>
  </si>
  <si>
    <t>Manuela Valencia Valbuena</t>
  </si>
  <si>
    <t>No. FE 3458</t>
  </si>
  <si>
    <t>No. FE 3459</t>
  </si>
  <si>
    <t>Luisa Mariño</t>
  </si>
  <si>
    <t>No. FE 3460</t>
  </si>
  <si>
    <t>Carolina Morales</t>
  </si>
  <si>
    <t>No. FE 3476</t>
  </si>
  <si>
    <t>Maria Duque</t>
  </si>
  <si>
    <t>No. FE 3477</t>
  </si>
  <si>
    <t>Amalia Munoz</t>
  </si>
  <si>
    <t>No. FE 3478</t>
  </si>
  <si>
    <t>Juliana Aparicio MARIA INES APARICIO</t>
  </si>
  <si>
    <t>No. FE 3479</t>
  </si>
  <si>
    <t>Mauricio Rodriguez Andrade</t>
  </si>
  <si>
    <t>No. FE 3480</t>
  </si>
  <si>
    <t>Isabel Castillo</t>
  </si>
  <si>
    <t>No. FE 3481</t>
  </si>
  <si>
    <t>No. FE 3483</t>
  </si>
  <si>
    <t>Maria Fernanda Gomez</t>
  </si>
  <si>
    <t>No. FE 3485</t>
  </si>
  <si>
    <t xml:space="preserve">Ana María Quintero
</t>
  </si>
  <si>
    <t>No. FE 3482</t>
  </si>
  <si>
    <t>Angela Henao</t>
  </si>
  <si>
    <t>No. FE 3487</t>
  </si>
  <si>
    <t>No. FE 3488</t>
  </si>
  <si>
    <t>Melissa Rincon</t>
  </si>
  <si>
    <t>No. FE 3489</t>
  </si>
  <si>
    <t xml:space="preserve">Laura Joachim
</t>
  </si>
  <si>
    <t>No. FE 3490</t>
  </si>
  <si>
    <t>No. FE 3491</t>
  </si>
  <si>
    <t>María Fernanda Prieto</t>
  </si>
  <si>
    <t>No. FE 3492</t>
  </si>
  <si>
    <t>No. FE 3493</t>
  </si>
  <si>
    <t>No. FE 3494</t>
  </si>
  <si>
    <t>No. FE 3495</t>
  </si>
  <si>
    <t>No. FE 3496</t>
  </si>
  <si>
    <t>No. FE 3497</t>
  </si>
  <si>
    <t>No. FE 3500</t>
  </si>
  <si>
    <t>No. FE 3502</t>
  </si>
  <si>
    <t>CATALINA LOPEZ MACIA</t>
  </si>
  <si>
    <t>No. FE 3503</t>
  </si>
  <si>
    <r>
      <rPr>
        <sz val="10"/>
        <color rgb="FF303030"/>
        <rFont val="Arial"/>
        <family val="2"/>
        <scheme val="minor"/>
      </rPr>
      <t xml:space="preserve">María Elvira Pérez </t>
    </r>
    <r>
      <rPr>
        <b/>
        <sz val="10"/>
        <color rgb="FF303030"/>
        <rFont val="Arial"/>
        <family val="2"/>
        <scheme val="minor"/>
      </rPr>
      <t>monica otero</t>
    </r>
  </si>
  <si>
    <t>No. FE 3504</t>
  </si>
  <si>
    <t>Miguel Saavedra</t>
  </si>
  <si>
    <t>No. FE 3505</t>
  </si>
  <si>
    <t>Daniela Forero</t>
  </si>
  <si>
    <t>No. FE 3506</t>
  </si>
  <si>
    <t>Juliana Duran Sarmiento</t>
  </si>
  <si>
    <t>No. FE 3507</t>
  </si>
  <si>
    <t>No. FE 3508</t>
  </si>
  <si>
    <t>Andrea Gutiérrez Hinojosa</t>
  </si>
  <si>
    <t>Cr. 18 # 85 - 70</t>
  </si>
  <si>
    <t>Vanina Valenzuela</t>
  </si>
  <si>
    <t>Cr. 5 # 80 - 72</t>
  </si>
  <si>
    <t>María Alejandra Torres Morales</t>
  </si>
  <si>
    <t>Cr. 11 # 140 - 56</t>
  </si>
  <si>
    <t>Tr. 2</t>
  </si>
  <si>
    <t>Lina Olano Botero</t>
  </si>
  <si>
    <t>Transv 54 # 114 - 51</t>
  </si>
  <si>
    <t>INT. 3</t>
  </si>
  <si>
    <t>Amparo Murillo</t>
  </si>
  <si>
    <t>Cr. 15 # 31 - 50</t>
  </si>
  <si>
    <t>María Angelica Cortés Lara</t>
  </si>
  <si>
    <t>Cr. 69 # 12 A-42</t>
  </si>
  <si>
    <t>Carlos Ospina</t>
  </si>
  <si>
    <t>Cl. 122 # 11 B-51</t>
  </si>
  <si>
    <t>Diana Serrato Prada</t>
  </si>
  <si>
    <t>Cl. 137 # 12 B-70</t>
  </si>
  <si>
    <t>Tr. 1</t>
  </si>
  <si>
    <t>Adriana Quintero García</t>
  </si>
  <si>
    <t>Cr. 21 # 137 - 70</t>
  </si>
  <si>
    <t>Gladys Catan</t>
  </si>
  <si>
    <t>Cr. 11B Bis # 124 A-15</t>
  </si>
  <si>
    <t>Daniela Camargo Camacho</t>
  </si>
  <si>
    <t>Cl. 108 # 15 A-37</t>
  </si>
  <si>
    <t>Diane de Wasseige</t>
  </si>
  <si>
    <t>Cl. 110 A # 6 - 07</t>
  </si>
  <si>
    <t>Edificio Santa Ana</t>
  </si>
  <si>
    <t>Maritza Méndez Reina</t>
  </si>
  <si>
    <t>Cr. 7 # 2 - 38</t>
  </si>
  <si>
    <t>Valeria Sanint Londoño</t>
  </si>
  <si>
    <t>Cra 13 A # 89 - 31</t>
  </si>
  <si>
    <t xml:space="preserve">No le interesa nuestros productos </t>
  </si>
  <si>
    <t>Gloria Rojas de Rueda</t>
  </si>
  <si>
    <t>Cr. 11 # 113-10</t>
  </si>
  <si>
    <t>Julio Aparicio Plata</t>
  </si>
  <si>
    <t>Cr. 47 # 124-47</t>
  </si>
  <si>
    <t>Juan Guillermo Santacruz</t>
  </si>
  <si>
    <t>Cr. 7 A # 124-29</t>
  </si>
  <si>
    <t>Daniela Garzón</t>
  </si>
  <si>
    <t>Cl. 93 Bis # 19 - 77</t>
  </si>
  <si>
    <t>Luz Marina Vanegas López</t>
  </si>
  <si>
    <t>Av Cr. 11 # 112-17</t>
  </si>
  <si>
    <t>Connie Ortegón Martínez</t>
  </si>
  <si>
    <t>Cl. 105 A Bis # 13 A - 47</t>
  </si>
  <si>
    <t>Barbara Welton Carrillo</t>
  </si>
  <si>
    <t>Cr. 50 #150a - 45</t>
  </si>
  <si>
    <t>Tr. 5</t>
  </si>
  <si>
    <t>Adriana Bolívar Rincón</t>
  </si>
  <si>
    <t>Cr. 20 A # 74-55</t>
  </si>
  <si>
    <t>Angie Montenegro Quiroz</t>
  </si>
  <si>
    <t>Cr. 116B # 74A - 90</t>
  </si>
  <si>
    <t>Int. 2</t>
  </si>
  <si>
    <t>Lilian Luque</t>
  </si>
  <si>
    <t>Cr. 4 # 66 - 55</t>
  </si>
  <si>
    <t>Clara Inés Díaz Vargas</t>
  </si>
  <si>
    <t>Trv. 86 # 99 - 35</t>
  </si>
  <si>
    <t>Tr. 3</t>
  </si>
  <si>
    <t>María Paulina Franco</t>
  </si>
  <si>
    <t>Cl. 95 #9-63</t>
  </si>
  <si>
    <t>Ana María Montoya</t>
  </si>
  <si>
    <t>Cl. 134 # 5A - 18</t>
  </si>
  <si>
    <t>María Andrea Valencia Rodríguez</t>
  </si>
  <si>
    <t>Cl. 122 # 21 - 55</t>
  </si>
  <si>
    <t>Ana María González González</t>
  </si>
  <si>
    <t>Cr. 16 # 96 -30</t>
  </si>
  <si>
    <t>Carla Marcela Papagayo</t>
  </si>
  <si>
    <t>Cl. 131 A # 9-20</t>
  </si>
  <si>
    <t>Jose Salomon Meneses Meneses</t>
  </si>
  <si>
    <t>Cr. 71 # 2A-66</t>
  </si>
  <si>
    <t>Bl. 3</t>
  </si>
  <si>
    <t>49 1511 1144291</t>
  </si>
  <si>
    <t>Cristína Téllez Manrique</t>
  </si>
  <si>
    <t>Cl. 160 # 64-11</t>
  </si>
  <si>
    <t>Tr. 6</t>
  </si>
  <si>
    <t>Diana Sánchez Correa</t>
  </si>
  <si>
    <t>Cl. 28A # 16A - 22</t>
  </si>
  <si>
    <t>María Cristína Patino</t>
  </si>
  <si>
    <t>Cr. 10 # 135 A - 46</t>
  </si>
  <si>
    <t>Andres Ballesteros</t>
  </si>
  <si>
    <t>Cr. 9 # 86 - 50</t>
  </si>
  <si>
    <t>Leonor Mercedes Córdoba</t>
  </si>
  <si>
    <t>Cl. 145 # 7 F-60</t>
  </si>
  <si>
    <t>Natalia Wilches</t>
  </si>
  <si>
    <t>Cr. 10 # 82-66</t>
  </si>
  <si>
    <t>María Quijano</t>
  </si>
  <si>
    <t>Cl. 152 B # 73 B-51</t>
  </si>
  <si>
    <t>Marta Fernández</t>
  </si>
  <si>
    <t xml:space="preserve">Cl. 144 # 7-31 </t>
  </si>
  <si>
    <t>Mónica Rozo</t>
  </si>
  <si>
    <t>Cr. 13 A # 104-61</t>
  </si>
  <si>
    <t>Mónica Hernández</t>
  </si>
  <si>
    <t>Trv. 56 # 106 A-59</t>
  </si>
  <si>
    <t>Natalia Salcedo</t>
  </si>
  <si>
    <t>Cl. 105 # 23-30</t>
  </si>
  <si>
    <t>Edf. Fortuna Park</t>
  </si>
  <si>
    <t>Natalia Wilches Papas</t>
  </si>
  <si>
    <t>Cl. 116 # 9-37</t>
  </si>
  <si>
    <t>Rocio Vivas</t>
  </si>
  <si>
    <t xml:space="preserve">Cr. 14 # 151 -60 </t>
  </si>
  <si>
    <t xml:space="preserve">Tr. 1 </t>
  </si>
  <si>
    <t>Santiago Jiménez</t>
  </si>
  <si>
    <t>Cr. 7 # 130-50</t>
  </si>
  <si>
    <t>Sebastián Palomares</t>
  </si>
  <si>
    <t>Cr. 18 # 93 A-57</t>
  </si>
  <si>
    <t>Susana Laserna</t>
  </si>
  <si>
    <t>Cl. 92 # 16-30</t>
  </si>
  <si>
    <t>Verónica González Buendía</t>
  </si>
  <si>
    <t>Cl. 121 # 3 A-20</t>
  </si>
  <si>
    <t>Verónica Abreu</t>
  </si>
  <si>
    <t>Cr. 17 # 93 A-12-38</t>
  </si>
  <si>
    <t>María Inés Martínez</t>
  </si>
  <si>
    <t>Av. Cr. 30 # 48-30</t>
  </si>
  <si>
    <t>Portal de Belalcázar</t>
  </si>
  <si>
    <t>Javier Santander</t>
  </si>
  <si>
    <t>Cr. 18 C # 122-40</t>
  </si>
  <si>
    <t>María de la Espriella</t>
  </si>
  <si>
    <t>Cr. 18 # 119 A-26</t>
  </si>
  <si>
    <t>Laura Sánchez</t>
  </si>
  <si>
    <t>Cr. 14 # 106 A-89</t>
  </si>
  <si>
    <t>Pilar Estupiñán</t>
  </si>
  <si>
    <t>Cl. 109 # 13-45</t>
  </si>
  <si>
    <t>José Angel</t>
  </si>
  <si>
    <t>Cl. 145 # 7 B-83</t>
  </si>
  <si>
    <t>Isabel Aarón</t>
  </si>
  <si>
    <t>Cr. 9 Bis # 97-19</t>
  </si>
  <si>
    <t>Renata Durán</t>
  </si>
  <si>
    <t>Cr. 10 # 113-76</t>
  </si>
  <si>
    <t>Enrique Pons</t>
  </si>
  <si>
    <t>Cr. 14 A # 127 A-36</t>
  </si>
  <si>
    <t>Andrés Montoya</t>
  </si>
  <si>
    <t>Av Cr. 9 # 110-51</t>
  </si>
  <si>
    <t>Santiago Aljure</t>
  </si>
  <si>
    <t>Cl.70 # 5-60</t>
  </si>
  <si>
    <t>Liliana Bieiri</t>
  </si>
  <si>
    <t>Luisa Calvo</t>
  </si>
  <si>
    <t xml:space="preserve">Av Suba # 119-30 </t>
  </si>
  <si>
    <t>Valentina Zuluaga</t>
  </si>
  <si>
    <t>Cr. 14 A # 118-21</t>
  </si>
  <si>
    <t>Catalina Guzmán Duque</t>
  </si>
  <si>
    <t xml:space="preserve">Cl. 95 # 20-27 </t>
  </si>
  <si>
    <t xml:space="preserve">Cr. 7 # 85-40 </t>
  </si>
  <si>
    <t>Edf. Torre 85</t>
  </si>
  <si>
    <t>Clara Fernanda Soto</t>
  </si>
  <si>
    <t xml:space="preserve">Cl. 74 # 1-85 </t>
  </si>
  <si>
    <t>Magdalena Núñez Restrepo</t>
  </si>
  <si>
    <t xml:space="preserve">Cl. 131 A # 9-80 </t>
  </si>
  <si>
    <t>Bl. 1</t>
  </si>
  <si>
    <t>Jose Luis Rueda</t>
  </si>
  <si>
    <t>Cr. 56 A # 125 A-40</t>
  </si>
  <si>
    <t>Tr. 7</t>
  </si>
  <si>
    <t>Caterina Arias</t>
  </si>
  <si>
    <t>Cr. 51 #  56 B-41</t>
  </si>
  <si>
    <t xml:space="preserve">Bl.  A9 </t>
  </si>
  <si>
    <t>Carlos Obando</t>
  </si>
  <si>
    <t xml:space="preserve">Cr. 49 A # 100-03 </t>
  </si>
  <si>
    <t>Citofono 22</t>
  </si>
  <si>
    <t>Paula Sinisterra</t>
  </si>
  <si>
    <t>Cr 1 A # 75-18</t>
  </si>
  <si>
    <t>Edf. Los Pinos</t>
  </si>
  <si>
    <t>Natalia Hernández Benincore</t>
  </si>
  <si>
    <t>Cl. 109 Bis # 2 -86 Este</t>
  </si>
  <si>
    <t>Edf. Terracota</t>
  </si>
  <si>
    <t>Silvia Munóz</t>
  </si>
  <si>
    <t>Cl. 71 # 2 Este-66</t>
  </si>
  <si>
    <t>Arriba de la Circunvalar Costado Norte. Entrando por edificio Mirador de la cañada al fondo</t>
  </si>
  <si>
    <t>3105594789 / 6012487686</t>
  </si>
  <si>
    <t>Cristína Camacho Gandini</t>
  </si>
  <si>
    <t>Cl 127 A Bis # 15-31</t>
  </si>
  <si>
    <t>Carolina Angel</t>
  </si>
  <si>
    <t>Cl. 82 # 9-66</t>
  </si>
  <si>
    <t>Tifany Bernal</t>
  </si>
  <si>
    <t xml:space="preserve">Cl. 62 # 4 A-24 </t>
  </si>
  <si>
    <t>María Mercedes Agudelo</t>
  </si>
  <si>
    <t>Cl. 94 # 9 - 09</t>
  </si>
  <si>
    <t>Federico González Morales</t>
  </si>
  <si>
    <t xml:space="preserve">Cr. 6 # 86-30 </t>
  </si>
  <si>
    <t>María Helena Giraldo</t>
  </si>
  <si>
    <t>Cl. 118 # 11 C-79</t>
  </si>
  <si>
    <t>Edf. MPH</t>
  </si>
  <si>
    <t>Mariana Posse</t>
  </si>
  <si>
    <t>Cr. 9 # 86-50</t>
  </si>
  <si>
    <t>Mónica Sarmiento</t>
  </si>
  <si>
    <t>Cr. 18 # 94 A-25</t>
  </si>
  <si>
    <t>Juliana Mayorga</t>
  </si>
  <si>
    <t>Trv. 21 # 94 A-15</t>
  </si>
  <si>
    <t>María Teresa Latorre</t>
  </si>
  <si>
    <t>Cr. 1 Este # 70 A-13</t>
  </si>
  <si>
    <t>Fiorella Donado</t>
  </si>
  <si>
    <t>Cl. 127 A Bis # 15-85</t>
  </si>
  <si>
    <t>Carolina Duque</t>
  </si>
  <si>
    <t>Cl. 127 # 87-51</t>
  </si>
  <si>
    <t>Torre 3</t>
  </si>
  <si>
    <t>Olga Lucía Gómez</t>
  </si>
  <si>
    <t>Cl. 112 # 1-28</t>
  </si>
  <si>
    <t>Balcones Santa Barbara</t>
  </si>
  <si>
    <t>Camila Cometa García</t>
  </si>
  <si>
    <t xml:space="preserve">Cl. 140 # 6-57 </t>
  </si>
  <si>
    <t>Port. 3 Tr. 1</t>
  </si>
  <si>
    <t>Usaquén</t>
  </si>
  <si>
    <t>Carolina Celis</t>
  </si>
  <si>
    <t>Cl. 86 # 19 C-23</t>
  </si>
  <si>
    <t xml:space="preserve">Torre 1 </t>
  </si>
  <si>
    <t>Walter Duque</t>
  </si>
  <si>
    <t>Cr. 1 # 77-37</t>
  </si>
  <si>
    <t>Edificio Cima 77</t>
  </si>
  <si>
    <t>Eleonora Cepeda</t>
  </si>
  <si>
    <t>Cl. 74 # 10-33</t>
  </si>
  <si>
    <t>Edificio Mirador del Morderno</t>
  </si>
  <si>
    <t>Jorge Zanabria</t>
  </si>
  <si>
    <t xml:space="preserve">Cr. 55 # 151-90 </t>
  </si>
  <si>
    <t>Edificio Masuren 11</t>
  </si>
  <si>
    <t>Carolina Muñóz</t>
  </si>
  <si>
    <t>Cl. 127 A Bis A # 15-37</t>
  </si>
  <si>
    <t>Clara Inés Restrepo</t>
  </si>
  <si>
    <t>Cl. 65 #7-68</t>
  </si>
  <si>
    <t>Ana Cecilia Uribe</t>
  </si>
  <si>
    <t>Cr. 12 # 125 A-20</t>
  </si>
  <si>
    <t>PER5SONA NO VIVI EN COLOMBIA</t>
  </si>
  <si>
    <t>Olivia Zea</t>
  </si>
  <si>
    <t>Cr. 19 C # 86-23</t>
  </si>
  <si>
    <t xml:space="preserve"> </t>
  </si>
  <si>
    <t>Lucas Chávez</t>
  </si>
  <si>
    <t>Cr. 8 A # 97-09</t>
  </si>
  <si>
    <t>María Inés Umaña</t>
  </si>
  <si>
    <t>Papas Cl. 76 # 8-56</t>
  </si>
  <si>
    <t>Jorge Restrepo</t>
  </si>
  <si>
    <t>Cl. 77 # 7-61</t>
  </si>
  <si>
    <t>Edficio Secoia</t>
  </si>
  <si>
    <t>Lucía Avellaneda</t>
  </si>
  <si>
    <t xml:space="preserve">Cl. 138 # 58 D-01 </t>
  </si>
  <si>
    <t>Edificio 3</t>
  </si>
  <si>
    <t>Nidia Flórez</t>
  </si>
  <si>
    <t>Cl. 107 A # 7 A-81</t>
  </si>
  <si>
    <t xml:space="preserve">Torre 2 </t>
  </si>
  <si>
    <t>Clemencia Jiménez</t>
  </si>
  <si>
    <t>Cr. 7 # 73-42</t>
  </si>
  <si>
    <t>Federico Rivas</t>
  </si>
  <si>
    <t xml:space="preserve">Cl. 70 # 7 A-60 </t>
  </si>
  <si>
    <t>Ana María Bernal</t>
  </si>
  <si>
    <t>Cl. 96 # 9 A-43</t>
  </si>
  <si>
    <t>Ofelia Cubillos</t>
  </si>
  <si>
    <t xml:space="preserve">Cl. 157 # 13 B-20 </t>
  </si>
  <si>
    <t>Casa 55</t>
  </si>
  <si>
    <t>Conjunto Almeria</t>
  </si>
  <si>
    <t>Alejandra Mariño</t>
  </si>
  <si>
    <t xml:space="preserve">Trv.  5 C # 127-70 </t>
  </si>
  <si>
    <t>Torre 1</t>
  </si>
  <si>
    <t>Julián Ordóñez Murra</t>
  </si>
  <si>
    <t>Cr. 13 # 101-67</t>
  </si>
  <si>
    <t>Catalina Córdoba</t>
  </si>
  <si>
    <t>Cr. 74 # 160 -25</t>
  </si>
  <si>
    <t>Torre 4</t>
  </si>
  <si>
    <t>Maritza Tirado</t>
  </si>
  <si>
    <t>Cr. 21 # 128 D-50</t>
  </si>
  <si>
    <t>Adriana Amaris</t>
  </si>
  <si>
    <t>Cr. 17 # 93-40</t>
  </si>
  <si>
    <t>Alejandro Largacha</t>
  </si>
  <si>
    <t>Cl. 95 # 16-23</t>
  </si>
  <si>
    <t>Laura Ponce</t>
  </si>
  <si>
    <t>Trv.  5 # 86-33</t>
  </si>
  <si>
    <t>Margarita García</t>
  </si>
  <si>
    <t xml:space="preserve">Cr. 6 # 80-43 </t>
  </si>
  <si>
    <t>Claudia Lastra</t>
  </si>
  <si>
    <t>Cr. 21 # 106 B-13</t>
  </si>
  <si>
    <t>Tatiana Fonnegra</t>
  </si>
  <si>
    <t xml:space="preserve">Cr. 5 # 108 A-53 </t>
  </si>
  <si>
    <t>Casa 3</t>
  </si>
  <si>
    <t>Manuela Bustos</t>
  </si>
  <si>
    <t>Cr. 53 # 103 B-70</t>
  </si>
  <si>
    <t>Melany Avella</t>
  </si>
  <si>
    <t>Cl. 116 # 11-35</t>
  </si>
  <si>
    <t>Daniel Montes</t>
  </si>
  <si>
    <t>Cl. 96 # 21-86</t>
  </si>
  <si>
    <t>Angélica Rodríguez</t>
  </si>
  <si>
    <t>Cl 50 # 16-26</t>
  </si>
  <si>
    <t>Marta Lucía Franco</t>
  </si>
  <si>
    <t>Cr. 56 A # 137 B-60</t>
  </si>
  <si>
    <t>Lina Echeverri Páez</t>
  </si>
  <si>
    <t>Cll 108a # 1E - 59</t>
  </si>
  <si>
    <t>La Herradura Norte</t>
  </si>
  <si>
    <t>Felipe Mantilla Merizalde</t>
  </si>
  <si>
    <t>Cl. 127 A # 19-58</t>
  </si>
  <si>
    <t>apto</t>
  </si>
  <si>
    <t>María Cristína Arboleda</t>
  </si>
  <si>
    <t xml:space="preserve">Cl. 109 # 11 A-47 </t>
  </si>
  <si>
    <t>Julia Arboleda</t>
  </si>
  <si>
    <t>Cl. 111 # 13 A -44</t>
  </si>
  <si>
    <t>Elsa Palomares</t>
  </si>
  <si>
    <t>Cr. 17 # 90-50</t>
  </si>
  <si>
    <t>Mariana Sánchez</t>
  </si>
  <si>
    <t>Cl. 111 # 4 -70</t>
  </si>
  <si>
    <t>Casa</t>
  </si>
  <si>
    <t>Adriana Pardo</t>
  </si>
  <si>
    <t xml:space="preserve">Trv. 3 # 85-10 </t>
  </si>
  <si>
    <t>Tr. G</t>
  </si>
  <si>
    <t>Luisa Meléndez</t>
  </si>
  <si>
    <t>Cl. 72 # 1-65</t>
  </si>
  <si>
    <t>Felipe Afanador</t>
  </si>
  <si>
    <t>Cr. 6 # 125-40</t>
  </si>
  <si>
    <t>tr. 4 Serramonte</t>
  </si>
  <si>
    <t>Laura Suárez</t>
  </si>
  <si>
    <t>Cr. 16 # 127-81</t>
  </si>
  <si>
    <t>Helena Pradilla</t>
  </si>
  <si>
    <t xml:space="preserve">Cr. 17 # 90-50 </t>
  </si>
  <si>
    <t>Andrés Duque</t>
  </si>
  <si>
    <t>Cl. 127 A # 14-10</t>
  </si>
  <si>
    <t>Alexandra Isaza</t>
  </si>
  <si>
    <t>Cr. 9 bis # 96-50</t>
  </si>
  <si>
    <t xml:space="preserve">María Valenzuela  </t>
  </si>
  <si>
    <t xml:space="preserve">Cr. 3 # 91 A-40  </t>
  </si>
  <si>
    <t>Casa 1</t>
  </si>
  <si>
    <t xml:space="preserve">María Clemencia Afanador  </t>
  </si>
  <si>
    <t xml:space="preserve">Cr. 16 # 112-06 </t>
  </si>
  <si>
    <t>Marta Calderón</t>
  </si>
  <si>
    <t>Cl. 103 # 13-02</t>
  </si>
  <si>
    <t>Jorge Bonilla</t>
  </si>
  <si>
    <t>Cr. 14 A # 109-55</t>
  </si>
  <si>
    <t>Alejandra Cuberos</t>
  </si>
  <si>
    <t>Cr. 1 Este # 72 A-12</t>
  </si>
  <si>
    <t>Gabriel Carrasquilla</t>
  </si>
  <si>
    <t>Dg. 76 # 1 A-39</t>
  </si>
  <si>
    <t>Gloria Vega</t>
  </si>
  <si>
    <t>Cl. 79 b # 5 - 02</t>
  </si>
  <si>
    <t>Laura Román</t>
  </si>
  <si>
    <t>Cr. 8 # 96-47</t>
  </si>
  <si>
    <t>María José Gnecco</t>
  </si>
  <si>
    <t>Trv. 1 A # 69-24</t>
  </si>
  <si>
    <t xml:space="preserve"> (Accesos unicamente por la Cr. 4 con Cl. 69)</t>
  </si>
  <si>
    <t>María Paula Monroy</t>
  </si>
  <si>
    <t>Cl. 125 # 11 B-31</t>
  </si>
  <si>
    <t>Marcela Bernal</t>
  </si>
  <si>
    <t xml:space="preserve">Cl. 80 # 9-39 </t>
  </si>
  <si>
    <t>Mariana Tamayo</t>
  </si>
  <si>
    <t>Cl. 92 # 13-68</t>
  </si>
  <si>
    <t>Gabriel Melo</t>
  </si>
  <si>
    <t>Dg. 75 # 2-36</t>
  </si>
  <si>
    <t>Angela Ruiz</t>
  </si>
  <si>
    <t xml:space="preserve">Cr. 7 # 72-92 </t>
  </si>
  <si>
    <t>Juan García</t>
  </si>
  <si>
    <t>Cr. 8 A # 95-33</t>
  </si>
  <si>
    <t>Lina Gómez</t>
  </si>
  <si>
    <t>Cl. 128 A Bis # 58 A-96</t>
  </si>
  <si>
    <t>Mary Loboguerrero</t>
  </si>
  <si>
    <t>Cl.110 # 15-11</t>
  </si>
  <si>
    <t>Emma Pinilla</t>
  </si>
  <si>
    <t>Cl. 65 # 4 A-63</t>
  </si>
  <si>
    <t>Natalia Chavarro</t>
  </si>
  <si>
    <t>Cl. 127 A # 5 C-41</t>
  </si>
  <si>
    <t>Isabela Torres</t>
  </si>
  <si>
    <t>Cr. 4 # 73-25</t>
  </si>
  <si>
    <t>Adriana Arias</t>
  </si>
  <si>
    <t>Cl. 94 A # 16-36</t>
  </si>
  <si>
    <t>Dilia Echeverry</t>
  </si>
  <si>
    <t>Cl. 128 B # 78-90</t>
  </si>
  <si>
    <t>Casa 2</t>
  </si>
  <si>
    <t>Arboretto</t>
  </si>
  <si>
    <t>Adriana Salcedo</t>
  </si>
  <si>
    <t>Cl. 145 # 57-36</t>
  </si>
  <si>
    <t>Interior 9</t>
  </si>
  <si>
    <t>Diego Rodríguez</t>
  </si>
  <si>
    <t>Cr. 14 # 108-25</t>
  </si>
  <si>
    <t>María Cristína Galindo</t>
  </si>
  <si>
    <t>Cl. 145 # 7 F-89</t>
  </si>
  <si>
    <t>Edf. Torre Belmira</t>
  </si>
  <si>
    <t>María José Vanegas</t>
  </si>
  <si>
    <t>Cl. 69 # 7 A-32</t>
  </si>
  <si>
    <t>Edificio Bonaire</t>
  </si>
  <si>
    <t>Clarita García</t>
  </si>
  <si>
    <t>Cr. 11 # 79-52</t>
  </si>
  <si>
    <t>Piso 7</t>
  </si>
  <si>
    <t>María Angélica Aparicio</t>
  </si>
  <si>
    <t>Cr. 13 # 101-45</t>
  </si>
  <si>
    <t>Lina Echeverry</t>
  </si>
  <si>
    <t>Cr. 17 # 103-56</t>
  </si>
  <si>
    <t>Juan Camilo Castro</t>
  </si>
  <si>
    <t>Cr. 13 # 106-65</t>
  </si>
  <si>
    <t>Guillermo Martínez</t>
  </si>
  <si>
    <t>Cl. 114 # 19 A-36</t>
  </si>
  <si>
    <t>Andrés De Vivero</t>
  </si>
  <si>
    <t>Cr. 20 # 122-74</t>
  </si>
  <si>
    <t xml:space="preserve">Tr. 3 </t>
  </si>
  <si>
    <t>Alejandra Lobo</t>
  </si>
  <si>
    <t>Cr. 16 #  93 A-43</t>
  </si>
  <si>
    <t xml:space="preserve"> Balcony 93</t>
  </si>
  <si>
    <t>Juan Sebastián Páez</t>
  </si>
  <si>
    <t>Cr. 15 A # 106-41</t>
  </si>
  <si>
    <t>María Juliana Posada</t>
  </si>
  <si>
    <t>Cr. 10 # 90-13</t>
  </si>
  <si>
    <t>Tr. B</t>
  </si>
  <si>
    <t>Laura Umaña</t>
  </si>
  <si>
    <t xml:space="preserve">Trv 3 # 85 - 10 </t>
  </si>
  <si>
    <t>Felipe Solano</t>
  </si>
  <si>
    <t>Cr. 1 Este # 76 A-13</t>
  </si>
  <si>
    <t>Juliana Reyes</t>
  </si>
  <si>
    <t>Cl. 152 B # 55-45</t>
  </si>
  <si>
    <t>Tr. 3 Portal Versalles</t>
  </si>
  <si>
    <t>Laura León</t>
  </si>
  <si>
    <t xml:space="preserve">Cl. 141 # 7 B-50 </t>
  </si>
  <si>
    <t>Jose Luis Carulla</t>
  </si>
  <si>
    <t>Cr. 1 # 110-12</t>
  </si>
  <si>
    <t>Santa Ana Oriental</t>
  </si>
  <si>
    <t>Ana Isabel Sierra</t>
  </si>
  <si>
    <t>Cl 24 # 2 este00</t>
  </si>
  <si>
    <t>FINCA LOS SAUCES VEREDA BOJACA</t>
  </si>
  <si>
    <t>CHIA</t>
  </si>
  <si>
    <t>Daniela Díaz</t>
  </si>
  <si>
    <t>Cl. 112 # 16-09</t>
  </si>
  <si>
    <t xml:space="preserve">Torre A </t>
  </si>
  <si>
    <t>María Paulina Baena</t>
  </si>
  <si>
    <t>Cl. 42 # 8 A-79</t>
  </si>
  <si>
    <t>No hay porteria</t>
  </si>
  <si>
    <t>María Serrano</t>
  </si>
  <si>
    <t>Cl. 137 # 55 42</t>
  </si>
  <si>
    <t>Torre 2</t>
  </si>
  <si>
    <t>María Claudia Cárdenas</t>
  </si>
  <si>
    <t>Cl 94 # 11 A- 55</t>
  </si>
  <si>
    <t>Patricia Galán</t>
  </si>
  <si>
    <t>Cl. 108 # 1-55 Este</t>
  </si>
  <si>
    <t>Alejandra Sosa</t>
  </si>
  <si>
    <t xml:space="preserve">Cr. 7 G # 146-70 </t>
  </si>
  <si>
    <t>Edi Istambul</t>
  </si>
  <si>
    <t>Inés Elvira Iregui</t>
  </si>
  <si>
    <t>Cr. 10 # 128 - 60</t>
  </si>
  <si>
    <t>Daniela Herrera</t>
  </si>
  <si>
    <t xml:space="preserve">Cl. 105 A # 14-30 </t>
  </si>
  <si>
    <t>Juan Pablo García Munévar</t>
  </si>
  <si>
    <t>Cl. 82 # 9-41</t>
  </si>
  <si>
    <t>-</t>
  </si>
  <si>
    <t>Carolina Viancha</t>
  </si>
  <si>
    <t>Cl. 23 # 31 - 74</t>
  </si>
  <si>
    <t>Edi. Antares</t>
  </si>
  <si>
    <t>Daniel Ceceres</t>
  </si>
  <si>
    <t xml:space="preserve">Call 136 #74 65 </t>
  </si>
  <si>
    <t>Gratamira</t>
  </si>
  <si>
    <t>Rosana Romero Angarita</t>
  </si>
  <si>
    <t>Cl. 107 # 52-08</t>
  </si>
  <si>
    <t>Tr. 2 Edf. Vival 107</t>
  </si>
  <si>
    <t>Angela Zarama</t>
  </si>
  <si>
    <t xml:space="preserve">Cl. 95 #8a 35 </t>
  </si>
  <si>
    <t>Edi Azahares</t>
  </si>
  <si>
    <t>Mabel González</t>
  </si>
  <si>
    <t xml:space="preserve">Cr. 8 # 74c - 19 </t>
  </si>
  <si>
    <t>Esteban Márquez</t>
  </si>
  <si>
    <t>Cr. 18C # 118 - 60</t>
  </si>
  <si>
    <t>Angela Restrepo</t>
  </si>
  <si>
    <t>Cl. 125 #18a 22</t>
  </si>
  <si>
    <t>Carolina Carmona</t>
  </si>
  <si>
    <t xml:space="preserve">Cl. 104a #19a 42 </t>
  </si>
  <si>
    <t>Camilo Perdomo</t>
  </si>
  <si>
    <t>Cl. 119 #11b 40</t>
  </si>
  <si>
    <t>Ximena García</t>
  </si>
  <si>
    <t>Cl. 145 # 17 - 75</t>
  </si>
  <si>
    <t>MarianaAgudelo</t>
  </si>
  <si>
    <t>La Calera</t>
  </si>
  <si>
    <t>Laura Martínez Moncanut</t>
  </si>
  <si>
    <t xml:space="preserve">Cr. 7d #127c 86 </t>
  </si>
  <si>
    <t>Edi. Reserva Bella Suiza</t>
  </si>
  <si>
    <t>María Angelica Salgado</t>
  </si>
  <si>
    <t xml:space="preserve">Cl. 128 # 18 - 80 </t>
  </si>
  <si>
    <t>Edi. Calabria</t>
  </si>
  <si>
    <t>Juliana Chinchilla</t>
  </si>
  <si>
    <t>Cl. 147 #7b - 92</t>
  </si>
  <si>
    <t>Laura Florez</t>
  </si>
  <si>
    <t>Cr. 45 #22 - 44</t>
  </si>
  <si>
    <t>Torre C</t>
  </si>
  <si>
    <t>Laura Largo</t>
  </si>
  <si>
    <t xml:space="preserve">Cl. 54 # 10 - 46 </t>
  </si>
  <si>
    <t>Edi. Cetralle</t>
  </si>
  <si>
    <t>Andrea Zanabria</t>
  </si>
  <si>
    <t>Dg. 115a # 70d - 95</t>
  </si>
  <si>
    <t>E03</t>
  </si>
  <si>
    <t xml:space="preserve">Torre 4 </t>
  </si>
  <si>
    <t>Laura Gómez Gómez</t>
  </si>
  <si>
    <t xml:space="preserve">Cl. 73 # 58 - 50 </t>
  </si>
  <si>
    <t>Valentina Pino</t>
  </si>
  <si>
    <t>Cl. 91 # 13a - 33</t>
  </si>
  <si>
    <t>Daniela Cardozo</t>
  </si>
  <si>
    <t>Cr. 7 Bis # 106 - 38</t>
  </si>
  <si>
    <t>Andrés Meza</t>
  </si>
  <si>
    <t>Cl. 69 #9 - 73</t>
  </si>
  <si>
    <t>Angélica Santacoloma</t>
  </si>
  <si>
    <t>Cr. 6 #80 - 43</t>
  </si>
  <si>
    <t>Mónica Echeverry</t>
  </si>
  <si>
    <t>Cr. 5 # 92 A-41</t>
  </si>
  <si>
    <t>Edf. Chicó Alto</t>
  </si>
  <si>
    <t>Fabiola Ogliastre</t>
  </si>
  <si>
    <t>Cl. 116 #14a - 64</t>
  </si>
  <si>
    <t>Edi Montecarlo</t>
  </si>
  <si>
    <t>Ximena Gutiérrez Quezada</t>
  </si>
  <si>
    <t>Cl. 122 # 45a - 11</t>
  </si>
  <si>
    <t>Catalina Arciniegas Alzate</t>
  </si>
  <si>
    <t xml:space="preserve">Cl. 53 # 3 - 27 </t>
  </si>
  <si>
    <t xml:space="preserve">Torre 7 </t>
  </si>
  <si>
    <t>Horacio Rodríguez</t>
  </si>
  <si>
    <t>Cl. 69 # 7-51</t>
  </si>
  <si>
    <t>Alvaro Triana</t>
  </si>
  <si>
    <t>Cl. 98 # 9 - 61</t>
  </si>
  <si>
    <t>Gustavo Londoño</t>
  </si>
  <si>
    <t>Cl. 125 #18b - 14</t>
  </si>
  <si>
    <t>Edi. Lares 125</t>
  </si>
  <si>
    <t>Sandra Milena Otero</t>
  </si>
  <si>
    <t>Cl. 152 #12c - 12</t>
  </si>
  <si>
    <t>Edi Entre Cedros</t>
  </si>
  <si>
    <t>Alejandra Mumo</t>
  </si>
  <si>
    <t>Cl. 43 # 27 A-29</t>
  </si>
  <si>
    <t>Isabel Rico</t>
  </si>
  <si>
    <t>Cr. 4 # 6 D-46</t>
  </si>
  <si>
    <t>Edf. Altos del Samay</t>
  </si>
  <si>
    <t>Andrea Valenzuela</t>
  </si>
  <si>
    <t>Cl. 33 A # 19 - 20</t>
  </si>
  <si>
    <t>Edi. Duo 33</t>
  </si>
  <si>
    <t>Omar Pinzón</t>
  </si>
  <si>
    <t xml:space="preserve">Cr. 69 # 47 - 50 </t>
  </si>
  <si>
    <t xml:space="preserve">Torre 6 </t>
  </si>
  <si>
    <t>Paulina Carreño Acosta</t>
  </si>
  <si>
    <t>Cr. 5 #55 - 19</t>
  </si>
  <si>
    <t>Edi. Cr. Quinta</t>
  </si>
  <si>
    <t>Natalia García Montoya</t>
  </si>
  <si>
    <t>Cr. 9 # 110-51</t>
  </si>
  <si>
    <t>Catherine Mora</t>
  </si>
  <si>
    <t>Cl. 145 #15 45</t>
  </si>
  <si>
    <t>Carolina Narváez</t>
  </si>
  <si>
    <t>Cr. 26 #71b 62</t>
  </si>
  <si>
    <t>Edi. Hub 72</t>
  </si>
  <si>
    <t>Sofía Poveda Carvajal</t>
  </si>
  <si>
    <t>Cl. 125 # 53a 87</t>
  </si>
  <si>
    <t>Daniela Echavarría Segovia</t>
  </si>
  <si>
    <t>Cr. 19b #86a 63</t>
  </si>
  <si>
    <t>Edi. Balcones del Virrey</t>
  </si>
  <si>
    <t>Juanita Díaz</t>
  </si>
  <si>
    <t>Cra 23 # 100 - 69</t>
  </si>
  <si>
    <t>Luisa Gómez Arango</t>
  </si>
  <si>
    <t>Cl. 95 # 21-27</t>
  </si>
  <si>
    <t>María Fernanda Lara</t>
  </si>
  <si>
    <t xml:space="preserve">Cr. 52 # 22 - 30 </t>
  </si>
  <si>
    <t>Carlos Alberto Jiménez</t>
  </si>
  <si>
    <t>Cr. 19 # 86A 48</t>
  </si>
  <si>
    <t>Edi. Camino del Virrey</t>
  </si>
  <si>
    <t>María Elvira Durán</t>
  </si>
  <si>
    <t>Cr. 17a # 116 - 69</t>
  </si>
  <si>
    <t>Laura López Torres</t>
  </si>
  <si>
    <t>Dg. 117 # 45 - 81</t>
  </si>
  <si>
    <t>Edi. San Sebastian</t>
  </si>
  <si>
    <t>Juliana Figueroa</t>
  </si>
  <si>
    <t>Cr. 69D # 25- 50</t>
  </si>
  <si>
    <t>Andrés Felipe Rivera Díaz</t>
  </si>
  <si>
    <t>Cl. 175 # 6-60</t>
  </si>
  <si>
    <t xml:space="preserve">Torre 14 </t>
  </si>
  <si>
    <t>Adriana Angel</t>
  </si>
  <si>
    <t>Cr. 15 # 110-84</t>
  </si>
  <si>
    <t>Edi. Canaveral</t>
  </si>
  <si>
    <t>Catherine Monterrosa</t>
  </si>
  <si>
    <t>Cl. 162 # 55 C-40</t>
  </si>
  <si>
    <t>Edi. Portico de la Colina</t>
  </si>
  <si>
    <t>Lucía Baquero Sastre</t>
  </si>
  <si>
    <t xml:space="preserve">Cr. 7 F # 147-18 </t>
  </si>
  <si>
    <t>Juliana Jaramillo Olmos</t>
  </si>
  <si>
    <t>Cr. 4 A # 66-14</t>
  </si>
  <si>
    <t>María José Donoso</t>
  </si>
  <si>
    <t>Cl. 110 A # 7 C-77</t>
  </si>
  <si>
    <t>Helen Clausen</t>
  </si>
  <si>
    <t>Cr. 13 A # 127 B-87</t>
  </si>
  <si>
    <t>Santiago Rizo</t>
  </si>
  <si>
    <t>Cl. 127 C Bis # 7-20</t>
  </si>
  <si>
    <t>Pilar Gaitán Carrizosa</t>
  </si>
  <si>
    <t>Dg. 183 A # 20-80</t>
  </si>
  <si>
    <t>Interio 4</t>
  </si>
  <si>
    <t>Valentina Gutiérrez Sokoloff</t>
  </si>
  <si>
    <t>Cr. 13 bis # 109-11</t>
  </si>
  <si>
    <t>Lina Garcés Díaz</t>
  </si>
  <si>
    <t>Cl. 108 # 17 A-86</t>
  </si>
  <si>
    <t>Camila Gutiérrez Correa</t>
  </si>
  <si>
    <t>Trv 21 # 95 -63</t>
  </si>
  <si>
    <t>NO VIVI EN COLOMBIA</t>
  </si>
  <si>
    <t>Irma Espinosa Villareal</t>
  </si>
  <si>
    <t>Cl. 155 # 9 - 45</t>
  </si>
  <si>
    <t>Edi. Icata</t>
  </si>
  <si>
    <t>Cristína Ahumada Manjarrés</t>
  </si>
  <si>
    <t>Cl. 137 # 19 - 70</t>
  </si>
  <si>
    <t>Alejandra Palacios Peña</t>
  </si>
  <si>
    <t>Cl. 75 # 7 - 61</t>
  </si>
  <si>
    <t>Andrea Chacón Rico</t>
  </si>
  <si>
    <t>Cr. 11 A # 119-69</t>
  </si>
  <si>
    <t>Paola López Espitia</t>
  </si>
  <si>
    <t>Cr. 18 # 113 - 55</t>
  </si>
  <si>
    <t>Lucía Avellaneda Rodríguez</t>
  </si>
  <si>
    <t>Cl. 56 # 6-31</t>
  </si>
  <si>
    <t>Edith Vergara</t>
  </si>
  <si>
    <t>Cr. 15 # 134 - 65</t>
  </si>
  <si>
    <t>Frank Chavarriaga</t>
  </si>
  <si>
    <t>Cr. 56 A # 130 A-61</t>
  </si>
  <si>
    <t>Bloque 9 Edi. Iberia 29</t>
  </si>
  <si>
    <t>Mónica Peñuela</t>
  </si>
  <si>
    <t>Cl. 86 # 10 - 68</t>
  </si>
  <si>
    <t>Mariana Lozano</t>
  </si>
  <si>
    <t>Cr. 15 # 143 - 07</t>
  </si>
  <si>
    <t>Lina Bonilla Flórez</t>
  </si>
  <si>
    <t xml:space="preserve">Cr. 51 # 122-35 </t>
  </si>
  <si>
    <t>Edi. Trento Batan</t>
  </si>
  <si>
    <t>Laura Avila</t>
  </si>
  <si>
    <t xml:space="preserve">Cl. 19 A # 88- 66 </t>
  </si>
  <si>
    <t>Lucía Amaya Martínez</t>
  </si>
  <si>
    <t>Cr. 1 # 70 - 35</t>
  </si>
  <si>
    <t>Edi. Andalucia</t>
  </si>
  <si>
    <t>Patricia Angel Moreno</t>
  </si>
  <si>
    <t xml:space="preserve">Cr. 8 Bis A # 148-31 </t>
  </si>
  <si>
    <t>Con. Cedro Madeira V</t>
  </si>
  <si>
    <t>Salvador Camacho Koppel</t>
  </si>
  <si>
    <t>Cl. 129 # 7 B-46</t>
  </si>
  <si>
    <t>Angela Clavijo Rodríguez</t>
  </si>
  <si>
    <t xml:space="preserve">Cr. 18 # 93 A-57 </t>
  </si>
  <si>
    <t>Juan Pablo Hoyos</t>
  </si>
  <si>
    <t xml:space="preserve">Dg. 75 # 4-76 </t>
  </si>
  <si>
    <t>Edi. Altos de Rosales</t>
  </si>
  <si>
    <t>Maribel Duarte</t>
  </si>
  <si>
    <t>Cr. 16 # 127 - 31</t>
  </si>
  <si>
    <t>Edi  Torre 3 Santa Clra</t>
  </si>
  <si>
    <t>Catalina Rogelis Leal</t>
  </si>
  <si>
    <t xml:space="preserve">Cr. 37 # 57A-20 </t>
  </si>
  <si>
    <t>Martha de Londoño</t>
  </si>
  <si>
    <t>Vivian Gómez Collazos</t>
  </si>
  <si>
    <t>Cl. 116 # 55c-40</t>
  </si>
  <si>
    <t>Edi. Bora Bora</t>
  </si>
  <si>
    <t>María José Gómez</t>
  </si>
  <si>
    <t>Cl. 77 # 12-03</t>
  </si>
  <si>
    <t>Celen Gutiérrez</t>
  </si>
  <si>
    <t>Cl. 151 # 55 - 37</t>
  </si>
  <si>
    <t xml:space="preserve">Con. Montecarlo 1  </t>
  </si>
  <si>
    <t>Lina Quintero</t>
  </si>
  <si>
    <t>Cl. 86 # 7 -87</t>
  </si>
  <si>
    <t>Ana María Iregui</t>
  </si>
  <si>
    <t>Cra 10 # 128-70</t>
  </si>
  <si>
    <t>Torre 1. Edi portales del Country</t>
  </si>
  <si>
    <t>Laura Posada Saravia</t>
  </si>
  <si>
    <t>Cl. 118 # 16-09</t>
  </si>
  <si>
    <t>Yaneth Saez</t>
  </si>
  <si>
    <t xml:space="preserve">Dg. 23 C Bis # 88 B-10 </t>
  </si>
  <si>
    <t>Int 11</t>
  </si>
  <si>
    <t>Silvana Vargas Hurtado</t>
  </si>
  <si>
    <t>Cl. 9 Sur # 37 B-18</t>
  </si>
  <si>
    <t>Ciudad Montes</t>
  </si>
  <si>
    <t>Angélica Reyes Muñóz</t>
  </si>
  <si>
    <t>Cl. 131 A # 53 B-91</t>
  </si>
  <si>
    <t>Elsa Rodríguez Peña</t>
  </si>
  <si>
    <t>Cl. 125 # 16-31</t>
  </si>
  <si>
    <t>Yolima Martínez Guerrero</t>
  </si>
  <si>
    <t>Trv. 52 A Bis # 1-10</t>
  </si>
  <si>
    <t>Adriana Milena Maldonado</t>
  </si>
  <si>
    <t>Cr. 31 C # 4 A-88</t>
  </si>
  <si>
    <t>Alejandra Botero Jaramillo</t>
  </si>
  <si>
    <t>Cl. 72 A # 1-83</t>
  </si>
  <si>
    <t>Viviana Jaraba</t>
  </si>
  <si>
    <t>Cl. 146 # 12 A-40</t>
  </si>
  <si>
    <t xml:space="preserve"> Almeria1</t>
  </si>
  <si>
    <t>Rosario Guerrero Castellanos</t>
  </si>
  <si>
    <t>Cr. 33 A # 29 A-45</t>
  </si>
  <si>
    <t>Victoria Noguera</t>
  </si>
  <si>
    <t>Cr. 13 A # 102-56</t>
  </si>
  <si>
    <t>Camila Duarte Martínez</t>
  </si>
  <si>
    <t>Cl. 158 # 93 A-37</t>
  </si>
  <si>
    <t>Mónica Mendóza Gómez</t>
  </si>
  <si>
    <t xml:space="preserve">Cl. 156 # 8f - 15 </t>
  </si>
  <si>
    <t xml:space="preserve">Int 4 </t>
  </si>
  <si>
    <t>Marta Beatríz Rojas</t>
  </si>
  <si>
    <t xml:space="preserve">Cl. 128b #77 - 31 </t>
  </si>
  <si>
    <t>Edf. Torre de Palo Alto</t>
  </si>
  <si>
    <t>Claudia Avellaneda Gaitán</t>
  </si>
  <si>
    <t>Av Cl. 80 # 68 H-39</t>
  </si>
  <si>
    <t>Of. Admón</t>
  </si>
  <si>
    <t>Laura Rodríguez Eslava</t>
  </si>
  <si>
    <t>Cl. 95 # 71-45</t>
  </si>
  <si>
    <t xml:space="preserve">Etapa 1. Tr. 4 </t>
  </si>
  <si>
    <t>Lorena Polo Torres</t>
  </si>
  <si>
    <t>Cl. 41 # 21 - 29</t>
  </si>
  <si>
    <t>Diana Catalina Bernal</t>
  </si>
  <si>
    <t>Edf. Eva 108</t>
  </si>
  <si>
    <t>Angela Ballén</t>
  </si>
  <si>
    <t>Cl. 166 # 9 - 24</t>
  </si>
  <si>
    <t>Lindsay Alvares Pomar</t>
  </si>
  <si>
    <t>calle 66 # 57b - 30</t>
  </si>
  <si>
    <t>Adriana Wilches Poto</t>
  </si>
  <si>
    <t>Cr. 74 B # 51 A-50</t>
  </si>
  <si>
    <t>Piso 2</t>
  </si>
  <si>
    <t>Diego Arbeláez M</t>
  </si>
  <si>
    <t xml:space="preserve">Cr. 14 B # 161-89 </t>
  </si>
  <si>
    <t>Int 3</t>
  </si>
  <si>
    <t>Juliana Pérez Mejía</t>
  </si>
  <si>
    <t>Cl. 140 # 9-70</t>
  </si>
  <si>
    <t>Edi. Burano</t>
  </si>
  <si>
    <t>Katherine González Granados</t>
  </si>
  <si>
    <t xml:space="preserve">Cl. 126 # 7a - 10 </t>
  </si>
  <si>
    <t xml:space="preserve">Edi W126 </t>
  </si>
  <si>
    <t>Carlos Ramón Mejía</t>
  </si>
  <si>
    <t>Cl. 97 # 19 A - 80</t>
  </si>
  <si>
    <t>Andrea Camacho Lancheros</t>
  </si>
  <si>
    <t xml:space="preserve">Cl. 159 A # 13 A- 46 </t>
  </si>
  <si>
    <t>Int 9</t>
  </si>
  <si>
    <t>Marysol Torres Ramírez</t>
  </si>
  <si>
    <t>Cl. 160 # 73-78</t>
  </si>
  <si>
    <t>Casa 24</t>
  </si>
  <si>
    <t>Edf. Santa María Del Campo 3</t>
  </si>
  <si>
    <t>Claudia Barragán Castellanos</t>
  </si>
  <si>
    <t>Cr. 65 # 22 A-43</t>
  </si>
  <si>
    <t>Martha Bejarano Quintero</t>
  </si>
  <si>
    <t xml:space="preserve">Cr. 53 # 104 B-23 </t>
  </si>
  <si>
    <t>Edf. Portal 104</t>
  </si>
  <si>
    <t>Catalina Zapata Ocampo</t>
  </si>
  <si>
    <t>Cl. 87 # 8 -17</t>
  </si>
  <si>
    <t>Juanita Soehlke</t>
  </si>
  <si>
    <t>Cl. 183#78-35</t>
  </si>
  <si>
    <t>Casa 11</t>
  </si>
  <si>
    <t>Con. La Lomita Centro Ecuestre</t>
  </si>
  <si>
    <t>Luzmila Cruz</t>
  </si>
  <si>
    <t>Cr. 5 # 2 A-54 Sur</t>
  </si>
  <si>
    <t>Casa 66</t>
  </si>
  <si>
    <t xml:space="preserve"> Cajica - Villa de los sauces </t>
  </si>
  <si>
    <t>Juliana González Fajardo</t>
  </si>
  <si>
    <t>Cl. 110 # 15 - 35</t>
  </si>
  <si>
    <t>Edi. Lares 110</t>
  </si>
  <si>
    <t>Catalina Donado Rubiano</t>
  </si>
  <si>
    <t>Cl. 102 A # 46-12</t>
  </si>
  <si>
    <t>Cristína Garizábalo Forero</t>
  </si>
  <si>
    <t>Cr. 35 #53 -78</t>
  </si>
  <si>
    <t>Patricia Galindo Eslava</t>
  </si>
  <si>
    <t>Cl. 152 B # 72 - 91</t>
  </si>
  <si>
    <t xml:space="preserve"> Gratamira campestre 1</t>
  </si>
  <si>
    <t>Ana Karina Peña</t>
  </si>
  <si>
    <t>Cr. 10 # 93-86</t>
  </si>
  <si>
    <t>Pilar Vesga Encizo</t>
  </si>
  <si>
    <t xml:space="preserve">Cl. 8 C # 87 B-75 </t>
  </si>
  <si>
    <t>Casa 8</t>
  </si>
  <si>
    <t>Etapa 6 Nueva Castilla.</t>
  </si>
  <si>
    <t>Nancy Moreno García</t>
  </si>
  <si>
    <t>Cl. 161 # 54-87</t>
  </si>
  <si>
    <t>Samira Hassan León</t>
  </si>
  <si>
    <t>Cr. 7 # 57 - 05</t>
  </si>
  <si>
    <t>Edf. Atlantis</t>
  </si>
  <si>
    <t>(+54) 9 11 6357-1633</t>
  </si>
  <si>
    <t>Catalina Romero Acosta</t>
  </si>
  <si>
    <t>Cr. 74 # 163 - 33</t>
  </si>
  <si>
    <t>Lida María Robelto</t>
  </si>
  <si>
    <t>Cr. 32A # 25b -75</t>
  </si>
  <si>
    <t>Mauricio Daza</t>
  </si>
  <si>
    <t>Cl. 79 B # 5-72</t>
  </si>
  <si>
    <t>Edf. Tamarindo</t>
  </si>
  <si>
    <t>Karen Lozada Herrera</t>
  </si>
  <si>
    <t xml:space="preserve">Cl. 97 # 70 - 89 </t>
  </si>
  <si>
    <t>Int. 1</t>
  </si>
  <si>
    <t>Paola Castillo Murillo</t>
  </si>
  <si>
    <t>Trv. 19 A # 96-08</t>
  </si>
  <si>
    <t>Angela Burgos Chamucero</t>
  </si>
  <si>
    <t>Cr. 55 A # 187-51</t>
  </si>
  <si>
    <t xml:space="preserve"> Torre 3. Conjunto  San Pedro plaza 1.</t>
  </si>
  <si>
    <t>Adriana Pérez Ruiz</t>
  </si>
  <si>
    <t>Cr. 53 C # 130-49</t>
  </si>
  <si>
    <t>Int. 7</t>
  </si>
  <si>
    <t>Auto Norte # 94-72</t>
  </si>
  <si>
    <t>Claudia Arango Jaramíllo</t>
  </si>
  <si>
    <t>Cl. 80 # 9-91</t>
  </si>
  <si>
    <t>Marta Linero</t>
  </si>
  <si>
    <t>Dg. 107 # 6-90</t>
  </si>
  <si>
    <t>Edi Rondón</t>
  </si>
  <si>
    <t>Libia Vélez Latorre</t>
  </si>
  <si>
    <t xml:space="preserve">Cl. 51 # 3 - 52 </t>
  </si>
  <si>
    <t>Edi. Cl. 51</t>
  </si>
  <si>
    <t>Alejandra Ramírez López</t>
  </si>
  <si>
    <t>Cl. 127 # 46-71</t>
  </si>
  <si>
    <t>Angela Cedeño López</t>
  </si>
  <si>
    <t>Simone Catalani</t>
  </si>
  <si>
    <t>Cl. 104 # 21-51</t>
  </si>
  <si>
    <t>Anyela Medin Alvarez</t>
  </si>
  <si>
    <t xml:space="preserve">Cl. 151 # 13 A-50 </t>
  </si>
  <si>
    <t>María de Los Angeles Larrotta</t>
  </si>
  <si>
    <t>Cr. 21 # 35-42</t>
  </si>
  <si>
    <t>Edi. Lienzo</t>
  </si>
  <si>
    <t>Camila Forero Ardila</t>
  </si>
  <si>
    <t>Cl. 127 B # 13 A-36</t>
  </si>
  <si>
    <t>Claudia Alarcón</t>
  </si>
  <si>
    <t>Cr. 16 # 143-94</t>
  </si>
  <si>
    <t>Claudia Henao Villada</t>
  </si>
  <si>
    <t>Cr. 8 # 84 A-72</t>
  </si>
  <si>
    <t>Edi. Mirador de la Cabrera</t>
  </si>
  <si>
    <t>Laura Trujillo Muñóz</t>
  </si>
  <si>
    <t>Cl. 91 # 13 A-33</t>
  </si>
  <si>
    <t>Edi. Eucalipto 91</t>
  </si>
  <si>
    <t>Biviana Valencia Londoño</t>
  </si>
  <si>
    <t>Cr. 18 A # 105-35</t>
  </si>
  <si>
    <t>Estefanía Paz Bedoya</t>
  </si>
  <si>
    <t>Cl. 19 # 4-56</t>
  </si>
  <si>
    <t>Alejandra Rangel Palomino</t>
  </si>
  <si>
    <t>Cl. 92 # 11 A- 56</t>
  </si>
  <si>
    <t>Johanna Cordovez Amador</t>
  </si>
  <si>
    <t>Cl. 89 # 19 A-17</t>
  </si>
  <si>
    <t>Liliana Núñez Caicedo</t>
  </si>
  <si>
    <t>Cr. 54 D # 135-06</t>
  </si>
  <si>
    <t>Lina Manchola Muñóz</t>
  </si>
  <si>
    <t xml:space="preserve">Cr. 98 # 136-88 </t>
  </si>
  <si>
    <t>Conj. Cercanias</t>
  </si>
  <si>
    <t>Rocío Carbonell</t>
  </si>
  <si>
    <t xml:space="preserve">Cl.  116 # 50 A-09 </t>
  </si>
  <si>
    <t>Eliana López Vásquez</t>
  </si>
  <si>
    <t>Cl. 81 # 11-08</t>
  </si>
  <si>
    <t>P.11</t>
  </si>
  <si>
    <t>11 llamar  para que baje a reclamar</t>
  </si>
  <si>
    <t>Marcela Bernal Gualteros</t>
  </si>
  <si>
    <t>Cl. 147 C # 97-20</t>
  </si>
  <si>
    <t>Suba Campina</t>
  </si>
  <si>
    <t>Julian Ordóñez Murra</t>
  </si>
  <si>
    <t xml:space="preserve">Cr. 22 # 120 - 69 </t>
  </si>
  <si>
    <t>Cll 109A 18 94</t>
  </si>
  <si>
    <t>Damaris Pineda Clavijo</t>
  </si>
  <si>
    <t>Trv. 71 B # 9 D-90</t>
  </si>
  <si>
    <t>Bloque 3</t>
  </si>
  <si>
    <t>Diana Gomez García</t>
  </si>
  <si>
    <t>Cl. 131 # 19 - 31</t>
  </si>
  <si>
    <t>Edi. Macahuba del Country</t>
  </si>
  <si>
    <t>Jose Luis Rodríguez</t>
  </si>
  <si>
    <t>Cr. 19 # 39b-43</t>
  </si>
  <si>
    <t>Valentina Franco Sánchez</t>
  </si>
  <si>
    <t>Cl. 92 # 17-31</t>
  </si>
  <si>
    <t>Edi. Torre la Toscana</t>
  </si>
  <si>
    <t>Lola Duarte</t>
  </si>
  <si>
    <t>Cr. 57 # 125B - 46</t>
  </si>
  <si>
    <t>Camila Morales Calderón</t>
  </si>
  <si>
    <t xml:space="preserve">Cr. 58 # 119 A-98 </t>
  </si>
  <si>
    <t>Torre 7</t>
  </si>
  <si>
    <t>Provenza Campestre</t>
  </si>
  <si>
    <t>Carolina Vergara Ospina</t>
  </si>
  <si>
    <t>Cl. 41 # 27a - 14</t>
  </si>
  <si>
    <t>Mónica Canecio Daza</t>
  </si>
  <si>
    <t>Cr. 10b # 134b - 61</t>
  </si>
  <si>
    <t>Catherine Lizeth Castellanos</t>
  </si>
  <si>
    <t>Cl. 63f # 68g -24</t>
  </si>
  <si>
    <t>Claudia Rozo Ramos</t>
  </si>
  <si>
    <t>Cl 53 # 36 A-76</t>
  </si>
  <si>
    <t>Edf. Federmán</t>
  </si>
  <si>
    <t>Paula Martínez Rojas</t>
  </si>
  <si>
    <t>Cl. 141 # 9 - 48</t>
  </si>
  <si>
    <t>Cristína Hernández Martínez</t>
  </si>
  <si>
    <t>Cr. 59 # 129b -63</t>
  </si>
  <si>
    <t>Con. Ciudad Jardin</t>
  </si>
  <si>
    <t>Melissa Morales Cano</t>
  </si>
  <si>
    <t>Cr. 36A # 63c - 70</t>
  </si>
  <si>
    <t>Guillermina Ortiz</t>
  </si>
  <si>
    <t xml:space="preserve">Carrrera 10 # 113-25 </t>
  </si>
  <si>
    <t>Edi. Galeon</t>
  </si>
  <si>
    <t>MarianaZuluaga Mejía</t>
  </si>
  <si>
    <t>Cr. 18 # 94 - 46</t>
  </si>
  <si>
    <t>(52) 1 55 6066 7705</t>
  </si>
  <si>
    <t>Adriana Galeano Arenas</t>
  </si>
  <si>
    <t>Cl. 97 # 70c - 69</t>
  </si>
  <si>
    <t>Catalina Sierra Duran</t>
  </si>
  <si>
    <t>Cl. 44c · 45 - 53</t>
  </si>
  <si>
    <t>Int 1</t>
  </si>
  <si>
    <t>Paola Giraldo Cala</t>
  </si>
  <si>
    <t>Trv 5 # 86 - 91</t>
  </si>
  <si>
    <t>Olga Castañeda</t>
  </si>
  <si>
    <t>RECOGE</t>
  </si>
  <si>
    <t>N.A</t>
  </si>
  <si>
    <t>Natalia Zapata Gil</t>
  </si>
  <si>
    <t>Cl. 136 # 59A-43</t>
  </si>
  <si>
    <t>Paola Pérez Díaz</t>
  </si>
  <si>
    <t>Cl. 147 # 21-04</t>
  </si>
  <si>
    <t>Torre H</t>
  </si>
  <si>
    <t>María Del Pilar Perdomo</t>
  </si>
  <si>
    <t>Trv 56 # 104b - 33</t>
  </si>
  <si>
    <t>Mónica Martínez Mendóza</t>
  </si>
  <si>
    <t>Cl. 103a # 19a - 63</t>
  </si>
  <si>
    <t>Andrea Sánchez Lesmes</t>
  </si>
  <si>
    <t>Cl 18 # 86-55</t>
  </si>
  <si>
    <t>Tr.8 Parque de Ostende</t>
  </si>
  <si>
    <t>Carolina Sarmiento Sánchez</t>
  </si>
  <si>
    <t>Cl. 109a # 17 - 33</t>
  </si>
  <si>
    <t>Luisa Fernanda Pérez Luna</t>
  </si>
  <si>
    <t>Cl. 22b # 58 - 21</t>
  </si>
  <si>
    <t>Brigitte Albarracín Veloza</t>
  </si>
  <si>
    <t>Cr. 54 # 41 - 84 sur</t>
  </si>
  <si>
    <t>Clara Inés Rey Canal</t>
  </si>
  <si>
    <t>Dg. 91 # 4a-71</t>
  </si>
  <si>
    <t>César Hoyos</t>
  </si>
  <si>
    <t>Cl. 101 # 11b - 04</t>
  </si>
  <si>
    <t>Ana María Vargas Reyes</t>
  </si>
  <si>
    <t>Cl. 94 A # 7 A-73</t>
  </si>
  <si>
    <t>Yamile Durán Moreno</t>
  </si>
  <si>
    <t>Trv. 44 # 52 - 40 sur</t>
  </si>
  <si>
    <t>Viviana Herrera Quiroga</t>
  </si>
  <si>
    <t>Avenida Cr. 68 # 1-63</t>
  </si>
  <si>
    <t>Isabel Higuera Villarraga</t>
  </si>
  <si>
    <t>Cr. 70h #122 - 23</t>
  </si>
  <si>
    <t>Zulma Velandia Velandia</t>
  </si>
  <si>
    <t xml:space="preserve">Cr. 9 # 164a -20 </t>
  </si>
  <si>
    <t>Llamar No hay timbre</t>
  </si>
  <si>
    <t>Melissa Tascón Duarte</t>
  </si>
  <si>
    <t>Cr. 4 # 79b - 36</t>
  </si>
  <si>
    <t>Adriana Castañeda Ruiz</t>
  </si>
  <si>
    <t>Cl. 95#71-75</t>
  </si>
  <si>
    <t>Clara Rodríguez Gómez</t>
  </si>
  <si>
    <t>Cl. 43 # 7 - 52</t>
  </si>
  <si>
    <t>Fiorella Bula</t>
  </si>
  <si>
    <t>Cr. 45 # 128 D - 60</t>
  </si>
  <si>
    <t>Yuly León Torres</t>
  </si>
  <si>
    <t>Cl. 25 # 68a - 52</t>
  </si>
  <si>
    <t>Yineth Mendez Mirquez</t>
  </si>
  <si>
    <t xml:space="preserve">Cr. 70b # 3-34 </t>
  </si>
  <si>
    <t>Olga Parra Hernández</t>
  </si>
  <si>
    <t>Cl. 12a #71b - 40</t>
  </si>
  <si>
    <t>Tr. 12</t>
  </si>
  <si>
    <t>Eliana González Figueredo</t>
  </si>
  <si>
    <t>Cr. 101 #70-40</t>
  </si>
  <si>
    <t>Linda Squivel Ortíz</t>
  </si>
  <si>
    <t xml:space="preserve">Cl. 142 # 13 - 83 </t>
  </si>
  <si>
    <t>Carolina Gómez Prado</t>
  </si>
  <si>
    <t>Cr. 23 # 100 - 62</t>
  </si>
  <si>
    <t>Liliana Mejía Rivera</t>
  </si>
  <si>
    <t>Cr. 6 # 151 - 79</t>
  </si>
  <si>
    <t>Paola Tovar Niño</t>
  </si>
  <si>
    <t>Trv 23 # 93 -37</t>
  </si>
  <si>
    <t>María Isabel Mora Vergara</t>
  </si>
  <si>
    <t>Cr. 69j # 64d - 01</t>
  </si>
  <si>
    <t>Tienda Esquina</t>
  </si>
  <si>
    <t xml:space="preserve">Dejar en la tienda </t>
  </si>
  <si>
    <t>Liliana Lozano Almario</t>
  </si>
  <si>
    <t>Cr. 55 # 152B - 68</t>
  </si>
  <si>
    <t>Int. 6</t>
  </si>
  <si>
    <t>Liliana Támara Múrcia</t>
  </si>
  <si>
    <t>Cr. 21 # 134-61</t>
  </si>
  <si>
    <t>Hilda De Rodríguez</t>
  </si>
  <si>
    <t>Cr. 14A # 151A - 06</t>
  </si>
  <si>
    <t>Viviana Alvarez Díez</t>
  </si>
  <si>
    <t>Call 94#16-06</t>
  </si>
  <si>
    <t xml:space="preserve">Edificio Promacos </t>
  </si>
  <si>
    <t>María Jimena Díaz</t>
  </si>
  <si>
    <t>Cl. 82 # 7-42</t>
  </si>
  <si>
    <t>Yanneth León González</t>
  </si>
  <si>
    <t>Cr. 12C # 152 - 88</t>
  </si>
  <si>
    <t xml:space="preserve">Cedral 9 </t>
  </si>
  <si>
    <t>Fernanda Domínguez</t>
  </si>
  <si>
    <t>Cl. 116 # 9 - 37</t>
  </si>
  <si>
    <t>Andrea Martínez Llanos</t>
  </si>
  <si>
    <t>Cr. 7 # 126-30</t>
  </si>
  <si>
    <t>Erika González Valderrama</t>
  </si>
  <si>
    <t>Cl. 119 # 50-72</t>
  </si>
  <si>
    <t>María Paula Jaramillo Palacio</t>
  </si>
  <si>
    <t>Cr. 49 B # 102 A-37</t>
  </si>
  <si>
    <t>Paulina Bedoya Ruiz</t>
  </si>
  <si>
    <t>Cl. 135 # 7-42</t>
  </si>
  <si>
    <t>César López Jáuregui</t>
  </si>
  <si>
    <t>Cl. 127C # 9 - 73</t>
  </si>
  <si>
    <t>Martha Saavedra Melo</t>
  </si>
  <si>
    <t>Cl. 125 # 11B - 94</t>
  </si>
  <si>
    <t>Tr. 11</t>
  </si>
  <si>
    <t>Julieta Olarte Espitia</t>
  </si>
  <si>
    <t>Cl. 61 # 4 - 52</t>
  </si>
  <si>
    <t>María Fernanda Zambrano Carrillo</t>
  </si>
  <si>
    <t>Cl. 166 # 9 - 45</t>
  </si>
  <si>
    <t>Paola Barrios Guarín</t>
  </si>
  <si>
    <t>Cl. 119 A # 18 - 14</t>
  </si>
  <si>
    <t>Hernán Saldarriaga</t>
  </si>
  <si>
    <t>Luz Marina Figueroa Salgado</t>
  </si>
  <si>
    <t>Cl. 123 # 7B-67</t>
  </si>
  <si>
    <t>Adriana Lizalde Gutiérrez</t>
  </si>
  <si>
    <t>Cr. 7 B Bis # 128-33</t>
  </si>
  <si>
    <t>María José Ospino Pérez</t>
  </si>
  <si>
    <t>Cl. 65 # 5-01</t>
  </si>
  <si>
    <t>Edf. Loma de la Cruz</t>
  </si>
  <si>
    <t>Diana Sánchez García</t>
  </si>
  <si>
    <t>Cl. 142 # 11 - 50</t>
  </si>
  <si>
    <t>Catalina Peña Pérez</t>
  </si>
  <si>
    <t xml:space="preserve">Cr. 58 # 169A - 25 </t>
  </si>
  <si>
    <t>Patricia Olano Rodríguez</t>
  </si>
  <si>
    <t>Cl. 142 # 12B - 51</t>
  </si>
  <si>
    <t>Daniela Ovallos Nutri</t>
  </si>
  <si>
    <t>Cl. 108 # 57 - 09</t>
  </si>
  <si>
    <t>Ulas Gourmet</t>
  </si>
  <si>
    <t>Cl. 166 # 49 - 45</t>
  </si>
  <si>
    <t>Bodega</t>
  </si>
  <si>
    <t>Carolina Forero Hernández</t>
  </si>
  <si>
    <t>Cr. 58C # 152 B-22</t>
  </si>
  <si>
    <t>Ana María Durán</t>
  </si>
  <si>
    <t>Cr. 13 A # 88-20</t>
  </si>
  <si>
    <t>Lina María García</t>
  </si>
  <si>
    <t>Cr. 19 A # 89-11</t>
  </si>
  <si>
    <t>Claudia Gutiérrez Páez</t>
  </si>
  <si>
    <t>Cr. 10 # 94 - 30</t>
  </si>
  <si>
    <t>María Alejandra García Jaramillo</t>
  </si>
  <si>
    <t>Cl. 66 Bis # 4-3</t>
  </si>
  <si>
    <t>José Enrique López</t>
  </si>
  <si>
    <t>Cl. 107 A # 7 C-49</t>
  </si>
  <si>
    <t>Angelica Ojeda Rubio</t>
  </si>
  <si>
    <t>Cl. 141 # 7 B -81</t>
  </si>
  <si>
    <t>Edf. Seven II</t>
  </si>
  <si>
    <t>María Sylvia Sahmkow Romero</t>
  </si>
  <si>
    <t>Cr. 18 # 85-90</t>
  </si>
  <si>
    <t>Nicolás Parra Giraldo</t>
  </si>
  <si>
    <t>Cr. 19 A # 86 A-67</t>
  </si>
  <si>
    <t>Diego Velásquez</t>
  </si>
  <si>
    <t>Cl. 69 # 5 - 39</t>
  </si>
  <si>
    <t>Daniela Flórez Castelblanco</t>
  </si>
  <si>
    <t>Cl. 55 # 5-31</t>
  </si>
  <si>
    <t>Milagros Aguilar Molinares</t>
  </si>
  <si>
    <t xml:space="preserve"> Dg. 81 I # 74 B-20</t>
  </si>
  <si>
    <t>Tr. F Conj. Minuto de Dios</t>
  </si>
  <si>
    <t>Minuto de Dios</t>
  </si>
  <si>
    <t>Claudia Patricia Franco Pineda</t>
  </si>
  <si>
    <t>Cr. 4A # 59 - 02</t>
  </si>
  <si>
    <t>Nicole Regnier</t>
  </si>
  <si>
    <t>Cr. 17 # 118-05</t>
  </si>
  <si>
    <t>Martha Gómez Monsalve</t>
  </si>
  <si>
    <t>AV. Cl. 24 # 84 - 66</t>
  </si>
  <si>
    <t>Cristína Iregui Casasbuenas</t>
  </si>
  <si>
    <t>Cl. 71 # 2A - 94</t>
  </si>
  <si>
    <t>María Sandoval Ortíz</t>
  </si>
  <si>
    <t>Cl. 145A # 15 - 31</t>
  </si>
  <si>
    <t>Cl. 92 # 9A - 20</t>
  </si>
  <si>
    <t>Claudia Hernández Díaz</t>
  </si>
  <si>
    <t xml:space="preserve">Cr. 58 # 119A - 98 </t>
  </si>
  <si>
    <t>Lady Romero Vega</t>
  </si>
  <si>
    <t>Cr. 56 # 152-37</t>
  </si>
  <si>
    <t>Elda Restrepo</t>
  </si>
  <si>
    <t>CRA  11 A#134 B-73</t>
  </si>
  <si>
    <t>Edificio Rebeca</t>
  </si>
  <si>
    <t>Cr. 7B # 124-40</t>
  </si>
  <si>
    <t>Ivonne Ospina Roa</t>
  </si>
  <si>
    <t>Cl. 62 # 37 - 94</t>
  </si>
  <si>
    <t>Mar Aldana</t>
  </si>
  <si>
    <t>Cl. 122 # 11B - 11</t>
  </si>
  <si>
    <t>Silvana Ruiz</t>
  </si>
  <si>
    <t>Cl. 87 # 19C - 41</t>
  </si>
  <si>
    <t>Alejandra Babativa</t>
  </si>
  <si>
    <t>Cr. 62 #64 - 75</t>
  </si>
  <si>
    <t>Natalia Niño</t>
  </si>
  <si>
    <t>Cl. 120 # 15A - 78</t>
  </si>
  <si>
    <t>Andrea Pinilla</t>
  </si>
  <si>
    <t>Cr. 8 # 167D - 62</t>
  </si>
  <si>
    <t xml:space="preserve">Lina Lozada </t>
  </si>
  <si>
    <t>Cl. 187 # 19A - 85</t>
  </si>
  <si>
    <t>Int. 4</t>
  </si>
  <si>
    <t>Laura Bello Perdómo</t>
  </si>
  <si>
    <t>Cr. 7B # 127A - 80</t>
  </si>
  <si>
    <t>Carolina Morales Vivas</t>
  </si>
  <si>
    <t>Cl. 61 # 3A - 15</t>
  </si>
  <si>
    <t>Martha Lucía Padilla</t>
  </si>
  <si>
    <t>Cr. 70C # 2-28</t>
  </si>
  <si>
    <t>Fabio Talero</t>
  </si>
  <si>
    <t>Cl. 64 # 1-15</t>
  </si>
  <si>
    <t>Angela Merchán</t>
  </si>
  <si>
    <t>Cl. 46 # 28 - 39</t>
  </si>
  <si>
    <t>Erika López Gómez</t>
  </si>
  <si>
    <t>Cr. 68H # 67B - 16</t>
  </si>
  <si>
    <t>Lina Rueda</t>
  </si>
  <si>
    <t>Cr. 14 # 108 - 25</t>
  </si>
  <si>
    <t>Mariana Machado</t>
  </si>
  <si>
    <t>Cr. 11  118-51</t>
  </si>
  <si>
    <t>Edf. Alpadi 2</t>
  </si>
  <si>
    <t>Andrea Areiza</t>
  </si>
  <si>
    <t>Cr. 20 # 182 - 35</t>
  </si>
  <si>
    <t>María Carolina Martínez Vera</t>
  </si>
  <si>
    <t>Cr. 54C # 143A - 90</t>
  </si>
  <si>
    <t>Carlos Rueda Rojas</t>
  </si>
  <si>
    <t>Cr. 13 # 122 - 34</t>
  </si>
  <si>
    <t>Laura González Cubillos</t>
  </si>
  <si>
    <t>Cl. 126 A # 7-83</t>
  </si>
  <si>
    <t>Juan José Lalinde</t>
  </si>
  <si>
    <t>Cr. 7 # 92A-80</t>
  </si>
  <si>
    <t>Martha Lucía Martínez Escobar</t>
  </si>
  <si>
    <t>Cl. 155 # 9-45</t>
  </si>
  <si>
    <t>María Ximena Quijano Vivas</t>
  </si>
  <si>
    <t>Cr. 16C # 159 -74</t>
  </si>
  <si>
    <t>Diana Patricia Saldaña Vergara</t>
  </si>
  <si>
    <t>Cl. 75 # 29-42</t>
  </si>
  <si>
    <t>Piso 3</t>
  </si>
  <si>
    <t>Sergio Mantilla</t>
  </si>
  <si>
    <t>Cr. 7D bis # 129-40</t>
  </si>
  <si>
    <t>Camila España</t>
  </si>
  <si>
    <t>Cl. 145 # 7F-89</t>
  </si>
  <si>
    <t>Mayra León Vega</t>
  </si>
  <si>
    <t>Cr. 7A # 127 - 45</t>
  </si>
  <si>
    <t>Diana Carolina Poveda Carvajal</t>
  </si>
  <si>
    <t>Cl. 125 # 53a - 87</t>
  </si>
  <si>
    <t>Alejandra Avellaneda ceballos</t>
  </si>
  <si>
    <t>Cl. 162 # 54 - 95</t>
  </si>
  <si>
    <t>Casa 32</t>
  </si>
  <si>
    <t>Juanita Alfonso Marroquin</t>
  </si>
  <si>
    <t>Cl. 144 # 7F - 11</t>
  </si>
  <si>
    <t>Casa 84</t>
  </si>
  <si>
    <t>Juan Javier Guido González</t>
  </si>
  <si>
    <t>Av Cl. 32 # 13 - 52</t>
  </si>
  <si>
    <t>Tr.2</t>
  </si>
  <si>
    <t>Monika Heberle</t>
  </si>
  <si>
    <t>Cr. 2 # 109-73</t>
  </si>
  <si>
    <t>Stefanny Sánchez Parra</t>
  </si>
  <si>
    <t>Cl. 152C # 72 - 65</t>
  </si>
  <si>
    <t>Tr. 4</t>
  </si>
  <si>
    <t>Patricia Durán Ayala</t>
  </si>
  <si>
    <t>Cr. 15 # 135 - 25</t>
  </si>
  <si>
    <t>Tr. A</t>
  </si>
  <si>
    <t>Katherine Peña Sandoval</t>
  </si>
  <si>
    <t>Cl. 95 # 71 - 87</t>
  </si>
  <si>
    <t>torre 2</t>
  </si>
  <si>
    <t>Adriana Del Pilar Alvarez Palacios</t>
  </si>
  <si>
    <t>Cr. 7C # 146 - 64</t>
  </si>
  <si>
    <t>Casa 13</t>
  </si>
  <si>
    <t>Laura María Parra</t>
  </si>
  <si>
    <t>Cr. 13A # 127-47</t>
  </si>
  <si>
    <t>Maricela Rojas Cárdenas</t>
  </si>
  <si>
    <t xml:space="preserve">Cl. 96A # 61-36 </t>
  </si>
  <si>
    <t>casa</t>
  </si>
  <si>
    <t>Luisa Fernanda Carvajal Hernández</t>
  </si>
  <si>
    <t>Cr. 7H # 151-56</t>
  </si>
  <si>
    <t>Angela Salazar Acosta</t>
  </si>
  <si>
    <t>Cl. 95 # 8A - 35</t>
  </si>
  <si>
    <t>María José Martínez Turrini</t>
  </si>
  <si>
    <t>Trv. 3 # 84C - 21</t>
  </si>
  <si>
    <t>Daniel Restrepo Loaiza</t>
  </si>
  <si>
    <t>Cr. 14A # 109 - 55</t>
  </si>
  <si>
    <t>María Fernanda Benítez</t>
  </si>
  <si>
    <t>Cr. 24C # 54-40 SUR</t>
  </si>
  <si>
    <t>Int. 5</t>
  </si>
  <si>
    <t>Milena Mendóza López</t>
  </si>
  <si>
    <t>Cr. 55 # 153 - 15</t>
  </si>
  <si>
    <t>Yenny Arango</t>
  </si>
  <si>
    <t>Cl. 151 # 13A-50</t>
  </si>
  <si>
    <t>Lilia Reyes Cajica</t>
  </si>
  <si>
    <t>Cr. 19C # 86A - 70</t>
  </si>
  <si>
    <t>Diana Lorena Guavita Forero</t>
  </si>
  <si>
    <t>Cr. 56 # 153 - 84</t>
  </si>
  <si>
    <t>Laura Alvarez Gallo</t>
  </si>
  <si>
    <t>Cr. 13bis # 109 - 11</t>
  </si>
  <si>
    <t>Laura Gómez Roa</t>
  </si>
  <si>
    <t>Cr. 2 # 62A - 20</t>
  </si>
  <si>
    <t>María Clara Martínez Leiva</t>
  </si>
  <si>
    <t>Cr. 47A # 113 - 30</t>
  </si>
  <si>
    <t>Diana Marcela Díaz Correa</t>
  </si>
  <si>
    <t>Cr. 57 # 119A - 60</t>
  </si>
  <si>
    <t>Sharon Lewis</t>
  </si>
  <si>
    <t>Cr. 19A # 101-42</t>
  </si>
  <si>
    <t>Laura Aponte Aguirre</t>
  </si>
  <si>
    <t>Cr. 50 # 122 - 20</t>
  </si>
  <si>
    <t>Evelyn Roa Vasquez</t>
  </si>
  <si>
    <t>Cr. 72A # 23F - 36</t>
  </si>
  <si>
    <t>5-302</t>
  </si>
  <si>
    <t>Mónica Andrea Nieto Ripoll</t>
  </si>
  <si>
    <t>Cl. 152B # 56 - 75</t>
  </si>
  <si>
    <t>Casa 64</t>
  </si>
  <si>
    <t>Ana Carolina Barrera</t>
  </si>
  <si>
    <t>Cl. 116 # 55C - 40</t>
  </si>
  <si>
    <t>Nancy Parra Puin</t>
  </si>
  <si>
    <t>Cl. 137A # 46A - 19</t>
  </si>
  <si>
    <t>Sebastián Restrepo Núñez</t>
  </si>
  <si>
    <t>NUNCA HA PEDIDO</t>
  </si>
  <si>
    <t>Olga Lucía Velásco Cháves</t>
  </si>
  <si>
    <t>Cl. 145 # 7 - 31</t>
  </si>
  <si>
    <t>Laura Poveda</t>
  </si>
  <si>
    <t>Cl. 81 # 102 - 60</t>
  </si>
  <si>
    <t>Bl. 7</t>
  </si>
  <si>
    <t>Margarita Sánchez</t>
  </si>
  <si>
    <t>casa 42</t>
  </si>
  <si>
    <t>Luisa Vicaría</t>
  </si>
  <si>
    <t>Carrera 13 #90-60 apto 401</t>
  </si>
  <si>
    <t>Ramón Sánchez Villanueva</t>
  </si>
  <si>
    <t>Cl. 22D # 72 - 38</t>
  </si>
  <si>
    <t>Catalina Melo Suárez</t>
  </si>
  <si>
    <t>Edf. Marankal</t>
  </si>
  <si>
    <t>Catalina Torres Holguin</t>
  </si>
  <si>
    <t>Cr. 2 este # 77-15</t>
  </si>
  <si>
    <t>Mónica Espinosa</t>
  </si>
  <si>
    <t>Cr. 16 # 102 - 76</t>
  </si>
  <si>
    <t>Daniela Castro Vera</t>
  </si>
  <si>
    <t>Cr. 11A # 119 - 69</t>
  </si>
  <si>
    <t>Diana Rodríguez Pinzón</t>
  </si>
  <si>
    <t>Cl. 95 # 71 - 75</t>
  </si>
  <si>
    <t>Mariana Hernández Sánchez</t>
  </si>
  <si>
    <t>Cr. 58 # 4D - 70</t>
  </si>
  <si>
    <t>Karol Nickoll Arias Martínez</t>
  </si>
  <si>
    <t>Cl. 80 A # 116 B-82</t>
  </si>
  <si>
    <t>Bl. 8</t>
  </si>
  <si>
    <t>Angela Urdaneta</t>
  </si>
  <si>
    <t>Dg. 182 # 20 - 17</t>
  </si>
  <si>
    <t>Marcela Buitrago</t>
  </si>
  <si>
    <t>Selma Marken Farley</t>
  </si>
  <si>
    <t>Cr. 7 A # 151 - 68</t>
  </si>
  <si>
    <t>edi. Poblar IV</t>
  </si>
  <si>
    <t>Claudia Rodríguez Valencia</t>
  </si>
  <si>
    <t>Trv. 2 # 67-22</t>
  </si>
  <si>
    <t>Inés Elvira Gómez Torres</t>
  </si>
  <si>
    <t>Cr. 12 # 107 A-51</t>
  </si>
  <si>
    <t>Nirma Echeverry Ferrer</t>
  </si>
  <si>
    <t>Cr. 71 Bis # 68 B-43</t>
  </si>
  <si>
    <t>Barrio La Europa</t>
  </si>
  <si>
    <t>Milena Alarcón Castellanos</t>
  </si>
  <si>
    <t>Cr. 85 L # 63 F-29</t>
  </si>
  <si>
    <t>casa 20</t>
  </si>
  <si>
    <t>Reserva de Villaluz</t>
  </si>
  <si>
    <t>Katherine González Chaparro</t>
  </si>
  <si>
    <t>Cl. 12 C # 71 C-31</t>
  </si>
  <si>
    <t>Liliana María Campos Saab</t>
  </si>
  <si>
    <t>Cl. 107 A # 11 A-50</t>
  </si>
  <si>
    <t>Teresa Borrás</t>
  </si>
  <si>
    <t>Cl. 107 A # 7 -82</t>
  </si>
  <si>
    <t>Cr. 13 A # 127-47</t>
  </si>
  <si>
    <t>María Elisa Uribe</t>
  </si>
  <si>
    <t>Carolina Martínez Avila</t>
  </si>
  <si>
    <t>Cr. 68 # 169 A-64</t>
  </si>
  <si>
    <t>casa 70</t>
  </si>
  <si>
    <t>Cr. 13 # 147 - 26</t>
  </si>
  <si>
    <t>Emma Valeria Melul Dray</t>
  </si>
  <si>
    <t>Cl. 80 # 9 - 69</t>
  </si>
  <si>
    <t>Evelyn Maestre Barrios</t>
  </si>
  <si>
    <t>Cl. 142 # 9-23</t>
  </si>
  <si>
    <t>Carlos Sáenz</t>
  </si>
  <si>
    <t>Lina María Fandiño Castellanos</t>
  </si>
  <si>
    <t>Cl. 168 # 8 H-40</t>
  </si>
  <si>
    <t>Int.5</t>
  </si>
  <si>
    <t>Laura Ipuz SantaMaría</t>
  </si>
  <si>
    <t>Cl. 128 A # 57 C-04</t>
  </si>
  <si>
    <t>Tr.5</t>
  </si>
  <si>
    <t>Anamaría Laverde Salazar</t>
  </si>
  <si>
    <t>Cl. 63 D Bis # 28 A-52</t>
  </si>
  <si>
    <t>Claudia Camacho Obregón</t>
  </si>
  <si>
    <t>Cl. 171 # 56 A-05</t>
  </si>
  <si>
    <t>Alejandra Mendóza Guerra</t>
  </si>
  <si>
    <t>Cl. 93 Bis # 19-77</t>
  </si>
  <si>
    <t>Angela Fernández</t>
  </si>
  <si>
    <t>Cr. 8 A # 97-20</t>
  </si>
  <si>
    <t>Magda Olarte</t>
  </si>
  <si>
    <t>Cl. 140 # 12-65</t>
  </si>
  <si>
    <t>Nofar Mejía Castañeda</t>
  </si>
  <si>
    <t>Cl. 98 # 68 C-45</t>
  </si>
  <si>
    <t>Tania Nieto Rendón</t>
  </si>
  <si>
    <t>Cl. 45 # 45-47</t>
  </si>
  <si>
    <t>Camila Montilla Salcedo</t>
  </si>
  <si>
    <t>Cl. 126 # 7-81</t>
  </si>
  <si>
    <t>Jenny Avila</t>
  </si>
  <si>
    <t>Cl. 138 # 55-38</t>
  </si>
  <si>
    <t>Club</t>
  </si>
  <si>
    <t>Suboficiales</t>
  </si>
  <si>
    <t>Yolima Pérez Ariza</t>
  </si>
  <si>
    <t>Cl. 102 # 17-28</t>
  </si>
  <si>
    <t>Patricia Pestana Bello</t>
  </si>
  <si>
    <t>Cr. 37 # 57 - 44</t>
  </si>
  <si>
    <t>Jardín Infantil  Juguemos Aprendiendo</t>
  </si>
  <si>
    <t>María Mercedes Durán</t>
  </si>
  <si>
    <t>Cl. 86 # 18-24</t>
  </si>
  <si>
    <t>Jenniffer Salazar Cañón</t>
  </si>
  <si>
    <t>Cl. 21 # 81 B-30</t>
  </si>
  <si>
    <t>Int. 15</t>
  </si>
  <si>
    <t>Alejandra Dueñas Rondón</t>
  </si>
  <si>
    <t>Cl. 171 A # 49 B-26</t>
  </si>
  <si>
    <t>Johana Guerrero Muñóz</t>
  </si>
  <si>
    <t>Cl. 93A # 19 - 42</t>
  </si>
  <si>
    <t>Juliana Devia Daza</t>
  </si>
  <si>
    <t>Cl. 166 # 9 - 70</t>
  </si>
  <si>
    <t>Consuelo Vásquez Navas</t>
  </si>
  <si>
    <t>Cl. 140 # 6 - 10</t>
  </si>
  <si>
    <t>Alejandra Bustos Ramírez</t>
  </si>
  <si>
    <t xml:space="preserve">Cr. 73 A # 56 A-80 </t>
  </si>
  <si>
    <t>Mónica Isaza Escobar</t>
  </si>
  <si>
    <t>Cr. 5 # 92 - 27</t>
  </si>
  <si>
    <t>Dayana Paola Moreno</t>
  </si>
  <si>
    <t>Cr. 45 # 22 - 24</t>
  </si>
  <si>
    <t>Marcela Rincón Pérez</t>
  </si>
  <si>
    <t>Cl. 70 bis # 4 -24</t>
  </si>
  <si>
    <t>Myriam Carvajal</t>
  </si>
  <si>
    <t>Cl. 125 # 53A - 87</t>
  </si>
  <si>
    <t>Angela Sánchez Vega</t>
  </si>
  <si>
    <t>Cr. 14 # 91 - 29</t>
  </si>
  <si>
    <t>Claudia Cifuentes Murillo</t>
  </si>
  <si>
    <t>Trv. 73 # 11B-33</t>
  </si>
  <si>
    <t>Int. 21</t>
  </si>
  <si>
    <t>Parques de Castilla 1</t>
  </si>
  <si>
    <t>Lina Díaz López</t>
  </si>
  <si>
    <t>Cl. 94A # 18 - 33</t>
  </si>
  <si>
    <t>Luisa Correal Duque</t>
  </si>
  <si>
    <t>Cl. 116 # 11A - 51</t>
  </si>
  <si>
    <t>Camila Alonso</t>
  </si>
  <si>
    <t>María Paulina Hernández Galindo</t>
  </si>
  <si>
    <t>Cl. 24B # 71 - 04</t>
  </si>
  <si>
    <t>Álvaro Bermudez</t>
  </si>
  <si>
    <t>Cl. 107A # 11A - 87</t>
  </si>
  <si>
    <t>Stewar Ramírez Vargas</t>
  </si>
  <si>
    <t>Cl. 9 sur # 37B - 09</t>
  </si>
  <si>
    <t>Nicolás Bernal</t>
  </si>
  <si>
    <t>Cr. 7 # 128 - 40</t>
  </si>
  <si>
    <t>G. Femenino</t>
  </si>
  <si>
    <t>Zulma Adriana Sabogal</t>
  </si>
  <si>
    <t>Cl. 150 # 50 - 68</t>
  </si>
  <si>
    <t>Laura Martínez Rojas</t>
  </si>
  <si>
    <t>Cl. 161 # 54 - 25</t>
  </si>
  <si>
    <t>Claudia De La Rosa Navarro</t>
  </si>
  <si>
    <t>Cl. 5 # 71B - 13</t>
  </si>
  <si>
    <t>Susana Gutiérrez Arango</t>
  </si>
  <si>
    <t>Trv. 1A # 68 - 44</t>
  </si>
  <si>
    <t>Diana Lorena Gómez Correa</t>
  </si>
  <si>
    <t>Martha Bustillo</t>
  </si>
  <si>
    <t>Cl. 109 # 11 A-47</t>
  </si>
  <si>
    <t>Danniella Hernández Leal</t>
  </si>
  <si>
    <t>Cl. 93 #17-23</t>
  </si>
  <si>
    <t>Infinity</t>
  </si>
  <si>
    <t>Liliana Zuluaga</t>
  </si>
  <si>
    <t>Trv. 77 # 162- 08</t>
  </si>
  <si>
    <t>Casa 41</t>
  </si>
  <si>
    <t>Altos de Bacatá</t>
  </si>
  <si>
    <t>Ana María Carvajal Yepes</t>
  </si>
  <si>
    <t xml:space="preserve">Cr. 9A # 128 - 40 </t>
  </si>
  <si>
    <t>Diana Abello Camacho</t>
  </si>
  <si>
    <t>Cr. 2 # 61 - 40</t>
  </si>
  <si>
    <t>Ana Pardo Rincón</t>
  </si>
  <si>
    <t>Cr. 56 # 145 - 51</t>
  </si>
  <si>
    <t>Jael Lorena Jimenez García</t>
  </si>
  <si>
    <t>Cr. 14 # 119 - 21</t>
  </si>
  <si>
    <t>yanet Rodriguez</t>
  </si>
  <si>
    <t>Cr. 56 # 167 C-18</t>
  </si>
  <si>
    <t>MarianaMaksoud García</t>
  </si>
  <si>
    <t>Cl. 95 # 21 - 80</t>
  </si>
  <si>
    <t>María Andrea Ordúz Mateus</t>
  </si>
  <si>
    <t>Cl. 146 # 7 B-77</t>
  </si>
  <si>
    <t>Diana Delgado Ramírez</t>
  </si>
  <si>
    <t>Cr. 14 # 119 - 56</t>
  </si>
  <si>
    <t>Katherine García Sánchez</t>
  </si>
  <si>
    <t>Cl. 22D # 69 F-73</t>
  </si>
  <si>
    <t>Int. 17</t>
  </si>
  <si>
    <t>Catalina Prieto Parra</t>
  </si>
  <si>
    <t>Cr. 102 B # 151-15</t>
  </si>
  <si>
    <t>Adriana Ortíz Garzón</t>
  </si>
  <si>
    <t>Cl. 115 # 9-24</t>
  </si>
  <si>
    <t>Edf. Ventura</t>
  </si>
  <si>
    <t>Magaly Díaz Rodríguez</t>
  </si>
  <si>
    <t>Cl. 187 # 46-55</t>
  </si>
  <si>
    <t>Casa 67</t>
  </si>
  <si>
    <t>Ximena Carrillo Heredia</t>
  </si>
  <si>
    <t>Cr. 58 C # 152 B-22</t>
  </si>
  <si>
    <t>Int. 13</t>
  </si>
  <si>
    <t>Angela Ronderos Cadena</t>
  </si>
  <si>
    <t>Cr. 97 # 23 F-09</t>
  </si>
  <si>
    <t>Restaurante</t>
  </si>
  <si>
    <t>Lucía Góngora Pinilla</t>
  </si>
  <si>
    <t>Cl. 103 # 68 A-89</t>
  </si>
  <si>
    <t>Angela Parra</t>
  </si>
  <si>
    <t>Cl. 97 # 21-50</t>
  </si>
  <si>
    <t>Harol Andrés Torres Hamon</t>
  </si>
  <si>
    <t>Cl. 2 # 31-48</t>
  </si>
  <si>
    <t>Entr. x la Cr.</t>
  </si>
  <si>
    <t>Carolina Rosso</t>
  </si>
  <si>
    <t xml:space="preserve">Calle 145#13a-02
</t>
  </si>
  <si>
    <t>Edificio Maua</t>
  </si>
  <si>
    <t>Tatiana Rentería</t>
  </si>
  <si>
    <t>Cr. 12 # 78-71</t>
  </si>
  <si>
    <t>Paula Múrcia Espitia</t>
  </si>
  <si>
    <t>Cr. 57 # 66-05</t>
  </si>
  <si>
    <t>lavanderia</t>
  </si>
  <si>
    <t>Angela Patiño Gómez</t>
  </si>
  <si>
    <t>Cr. 21 # 108 A-26</t>
  </si>
  <si>
    <t>no hay porteria</t>
  </si>
  <si>
    <t>Alejandra Uribe Téllez</t>
  </si>
  <si>
    <t>Crr 78 # 16D - 71</t>
  </si>
  <si>
    <t>Zajari Zentral</t>
  </si>
  <si>
    <t>Carolina Arias Tirado</t>
  </si>
  <si>
    <t>Cr. 12 # 110-45</t>
  </si>
  <si>
    <t>Casa 40</t>
  </si>
  <si>
    <t>Sandra Liliana Heredia Aranda</t>
  </si>
  <si>
    <t>Cr. 55 # 22-38</t>
  </si>
  <si>
    <t>Conj. Scala 24</t>
  </si>
  <si>
    <t>Salitre Oriental</t>
  </si>
  <si>
    <t>Natalia Torres Martínez</t>
  </si>
  <si>
    <t>Cl. 81 # 10-16</t>
  </si>
  <si>
    <t>Isabella Gomati de la Vega</t>
  </si>
  <si>
    <t>Cl. 44F # 51 - 29</t>
  </si>
  <si>
    <t>Mariana Torres Grisales</t>
  </si>
  <si>
    <t>Cl. 115 # 50 - 55</t>
  </si>
  <si>
    <t>Tatiana Garcia Betancourt</t>
  </si>
  <si>
    <t>Cl. 70  # 7 A - 51</t>
  </si>
  <si>
    <t>302 B</t>
  </si>
  <si>
    <t>Johanna Quintero</t>
  </si>
  <si>
    <t>Cl. 34A Sur # 72G - 74</t>
  </si>
  <si>
    <t>casa 80</t>
  </si>
  <si>
    <t>Juan Carlos Daza</t>
  </si>
  <si>
    <t>Cl. 54A # 1 - 15</t>
  </si>
  <si>
    <t>Felipe Bonilla</t>
  </si>
  <si>
    <t>Trv. 2 # 67 - 15</t>
  </si>
  <si>
    <t>Sandra Patricia Fuentes</t>
  </si>
  <si>
    <t>Cr. 79 # 19A - 28</t>
  </si>
  <si>
    <t>Carolina Vergel Tovar</t>
  </si>
  <si>
    <t>Cl. 23 # 33 - 50</t>
  </si>
  <si>
    <t>Bl. A6 Int. 12</t>
  </si>
  <si>
    <t>Julianna Quevedo Morales</t>
  </si>
  <si>
    <t>Cl. 105 # 48 - 18</t>
  </si>
  <si>
    <t>Adriana Jiménez Cotes</t>
  </si>
  <si>
    <t>Cr. 59 # 22B - 31</t>
  </si>
  <si>
    <t>Paula Arce González</t>
  </si>
  <si>
    <t>Cr. 19A # 104 -48</t>
  </si>
  <si>
    <t>Stefania Cure Visbal</t>
  </si>
  <si>
    <t>Cr. 9 # 97 - 19</t>
  </si>
  <si>
    <t>Cl. 127A # 19 - 58</t>
  </si>
  <si>
    <t>María Consuelo Burgos</t>
  </si>
  <si>
    <t>Cr. 1Este # 72A - 69</t>
  </si>
  <si>
    <t>Catalina Leyva Franco</t>
  </si>
  <si>
    <t>Cl. 89 # 11A - 18</t>
  </si>
  <si>
    <t>Victoria Vargas</t>
  </si>
  <si>
    <t>Dg. 117 # 45 - 67</t>
  </si>
  <si>
    <t>edf. Rotonda 8</t>
  </si>
  <si>
    <t>María Constanza Murillo González</t>
  </si>
  <si>
    <t>Cr. 11 # 78 - 22</t>
  </si>
  <si>
    <t>Natalia Uribe</t>
  </si>
  <si>
    <t>Cl. 80 # 7 - 89</t>
  </si>
  <si>
    <t>Andrea Luna Viveros</t>
  </si>
  <si>
    <t>Cr. 11 # 110 - 31</t>
  </si>
  <si>
    <t>Constanza Gómez Romero</t>
  </si>
  <si>
    <t>Cl. 54 # 1 - 15</t>
  </si>
  <si>
    <t>Lina Melo</t>
  </si>
  <si>
    <t>Cr. 9A # 113 - 87</t>
  </si>
  <si>
    <t>Jorge Macias</t>
  </si>
  <si>
    <t>Av. Circunvalar # 83 - 62</t>
  </si>
  <si>
    <t>Catalina Hernández Forero</t>
  </si>
  <si>
    <t>Cl. 2 # 72 - 84</t>
  </si>
  <si>
    <t>Claudia Matallana Sierra</t>
  </si>
  <si>
    <t>Cr. 72Bis # 147 - 60</t>
  </si>
  <si>
    <t>Ximena Pinzón Pulido</t>
  </si>
  <si>
    <t>Cr. 46 # 138 - 30</t>
  </si>
  <si>
    <t>Diana Ramírez Navarro</t>
  </si>
  <si>
    <t>Cl. 93A # 19 -69</t>
  </si>
  <si>
    <t>Bibiana Moreno Bustamante</t>
  </si>
  <si>
    <t>Cl. 103A # 19A - 48</t>
  </si>
  <si>
    <t>Ingrid Katerine García Torres</t>
  </si>
  <si>
    <t>Cr. 72B # 11B - 50</t>
  </si>
  <si>
    <t>Norma Escobar Vargas</t>
  </si>
  <si>
    <t>Cl. 175 # 20A - 65</t>
  </si>
  <si>
    <t>Int. 10</t>
  </si>
  <si>
    <t>Camila Polanía Monroy</t>
  </si>
  <si>
    <t>Trv. 3 C # 51 A-08</t>
  </si>
  <si>
    <t>Angie Salazar González</t>
  </si>
  <si>
    <t>Cl. 108 # 16-60</t>
  </si>
  <si>
    <t>Edf. Park 108 San Patricio</t>
  </si>
  <si>
    <t>Mónica Ballesteros Alvarez</t>
  </si>
  <si>
    <t>Cr. 26 # 1G - 45</t>
  </si>
  <si>
    <t>Lady Díaz</t>
  </si>
  <si>
    <t>Natalia Martínez Camelo</t>
  </si>
  <si>
    <t>Claudia Ferreira Serrano</t>
  </si>
  <si>
    <t>Cr. 9A # 91 - 58</t>
  </si>
  <si>
    <t>Bibiana Iregui</t>
  </si>
  <si>
    <t>Cr. 21 # 146 - 86</t>
  </si>
  <si>
    <t>Casa 5</t>
  </si>
  <si>
    <t>Marta González Arias</t>
  </si>
  <si>
    <t>Cr. 11D # 123 - 46</t>
  </si>
  <si>
    <t>María Adelaida Cuello</t>
  </si>
  <si>
    <t>Cl. 93 # 5 - 45</t>
  </si>
  <si>
    <t>Ernesto De Lima</t>
  </si>
  <si>
    <t>Cl. 95 # 9A - 57</t>
  </si>
  <si>
    <t>Nathaly Rivas</t>
  </si>
  <si>
    <t>Cl. 118 # 19A - 59</t>
  </si>
  <si>
    <t>Carolina Salas Gallo</t>
  </si>
  <si>
    <t>BL. 3</t>
  </si>
  <si>
    <t>Sandra Duarte Hernández</t>
  </si>
  <si>
    <t>Trv. 5 C # 127 - 70</t>
  </si>
  <si>
    <t>torre 1</t>
  </si>
  <si>
    <t>Daniela Pérez M</t>
  </si>
  <si>
    <t>Cr. 14 # 77 A-61</t>
  </si>
  <si>
    <t>Tr. Norte</t>
  </si>
  <si>
    <t>Rosario Rojas Bernal</t>
  </si>
  <si>
    <t>Cl. 151 # 9 - 26</t>
  </si>
  <si>
    <t>Susana Vásquez Alvarez</t>
  </si>
  <si>
    <t>Trv. 20 # 94 - 25</t>
  </si>
  <si>
    <t>Natalia Correa Paris</t>
  </si>
  <si>
    <t>Cr. 7A # 122-09</t>
  </si>
  <si>
    <t>Ximena Crúz Ceballos</t>
  </si>
  <si>
    <t>Cl. 140 # 11-63</t>
  </si>
  <si>
    <t>Tr.2 Plaza de Gerona</t>
  </si>
  <si>
    <t>Adriana Gómez Contreras</t>
  </si>
  <si>
    <t>Cr. 76A # 131-21</t>
  </si>
  <si>
    <t>Juliana González Gómez</t>
  </si>
  <si>
    <t>Av Cll 26 # 39 - 21</t>
  </si>
  <si>
    <t>Edificio Horizonte</t>
  </si>
  <si>
    <t>Juan Carlos Perilla Jiménez</t>
  </si>
  <si>
    <t>Cl. 96 # 21-33</t>
  </si>
  <si>
    <t>María Helena Quintero</t>
  </si>
  <si>
    <t>Cr. 66C # 41A - 25</t>
  </si>
  <si>
    <t>Nathalie Barón Cifuentes</t>
  </si>
  <si>
    <t>Cl. 94 # 21-59</t>
  </si>
  <si>
    <t>Diego Márquez Márquez</t>
  </si>
  <si>
    <t>Cr. 7 # 57 - 23</t>
  </si>
  <si>
    <t>Liliana Rojas Garzon</t>
  </si>
  <si>
    <t>Cl. 181C # 11-75</t>
  </si>
  <si>
    <t>Sailla Montana López</t>
  </si>
  <si>
    <t xml:space="preserve">Cl. 58 # 21-26 </t>
  </si>
  <si>
    <t>Manuela Barrera Rego</t>
  </si>
  <si>
    <t>Cl. 81 # 9-24</t>
  </si>
  <si>
    <t>María Camila Giraldo Gómez</t>
  </si>
  <si>
    <t>Cl. 112 # 18A-19</t>
  </si>
  <si>
    <t>Paula Ruiz Camacho</t>
  </si>
  <si>
    <t xml:space="preserve">Cr. 13Bis # 110-58 </t>
  </si>
  <si>
    <t>Edf. Magritte</t>
  </si>
  <si>
    <t>Carla Torres de la Pava</t>
  </si>
  <si>
    <t xml:space="preserve">Cl. 121 # 45A-37 </t>
  </si>
  <si>
    <t>Luis Pérez García</t>
  </si>
  <si>
    <t>Cl. 150 # 12A-15</t>
  </si>
  <si>
    <t>José Sanint Kroes</t>
  </si>
  <si>
    <t>Cr. 7 # 237 - 04</t>
  </si>
  <si>
    <t>Casa Chintá</t>
  </si>
  <si>
    <t>Conjunto Floresta de la Sabana</t>
  </si>
  <si>
    <t>Marieta Cifuentes Feo</t>
  </si>
  <si>
    <t>Transv 23 # 93-70</t>
  </si>
  <si>
    <t>Claudia Rivero Prada</t>
  </si>
  <si>
    <t>Cl. 119 # 16-26</t>
  </si>
  <si>
    <t>Dolly Ramírez Urrego</t>
  </si>
  <si>
    <t>Cr. 24 # 42-87</t>
  </si>
  <si>
    <t>Catalina Neira Isaza</t>
  </si>
  <si>
    <t xml:space="preserve">Cr. 10 # 93b - 25 </t>
  </si>
  <si>
    <t>Adriana Torres Castellanos</t>
  </si>
  <si>
    <t xml:space="preserve">Cl. 152 # 9-80. </t>
  </si>
  <si>
    <t>Yolanda González Romero</t>
  </si>
  <si>
    <t>Cr. 54D # 134-50</t>
  </si>
  <si>
    <t>Marcela Mantilla Duran</t>
  </si>
  <si>
    <t>Cr. 16 # 127-17</t>
  </si>
  <si>
    <t>Diego Montaño Pachon</t>
  </si>
  <si>
    <t>Cl. 187a # 8 - 46</t>
  </si>
  <si>
    <t>Erick Linden</t>
  </si>
  <si>
    <t xml:space="preserve">Cl. 103 # 17A - 62 </t>
  </si>
  <si>
    <t>Piedad Galeano</t>
  </si>
  <si>
    <t>Cl. 115 # 9 - 24</t>
  </si>
  <si>
    <t>Nicolás Peñaranda García</t>
  </si>
  <si>
    <t>Trv. 3C # 51A-31</t>
  </si>
  <si>
    <t>Claudia Elena Sánchez Amorocho</t>
  </si>
  <si>
    <t>Cl. 145 # 7A - 27</t>
  </si>
  <si>
    <t>casa 9</t>
  </si>
  <si>
    <t>Javier Sosa Hernández</t>
  </si>
  <si>
    <t>Cr. 16 # 93A - 43</t>
  </si>
  <si>
    <t>Paula Rodríguez Sánchez</t>
  </si>
  <si>
    <t>Cl. 127 B Bis # 20-36</t>
  </si>
  <si>
    <t>Alejandra Rebellón Robayo</t>
  </si>
  <si>
    <t>María de los Angeles Orozco De la Cruz</t>
  </si>
  <si>
    <t>Cl. 126A #7C - 67</t>
  </si>
  <si>
    <t>Carolina Eslava Rincón</t>
  </si>
  <si>
    <t>Cl. 127A # 53A - 28</t>
  </si>
  <si>
    <t>Martha Villamarin González</t>
  </si>
  <si>
    <t>Cr. 71D # 68B - 66</t>
  </si>
  <si>
    <t>Timbrar citofono</t>
  </si>
  <si>
    <t>Dellcy Cubillos Arévalo</t>
  </si>
  <si>
    <t>Cl. 70 B #56 B - 08</t>
  </si>
  <si>
    <t>Juliana Botero Cortes</t>
  </si>
  <si>
    <t>Cl. 145 # 13 A - 67</t>
  </si>
  <si>
    <t>Marcela Rodríguez Galindo</t>
  </si>
  <si>
    <t>Cl. 63D Bis # 28A - 52</t>
  </si>
  <si>
    <t>Isabel de Murra</t>
  </si>
  <si>
    <t>Cl. 91 # 3 - 61</t>
  </si>
  <si>
    <t>Natalia Chacón Rueda</t>
  </si>
  <si>
    <t>Cr. 13 # 117-15</t>
  </si>
  <si>
    <t>Lized Castaneda Lopez</t>
  </si>
  <si>
    <t>Cr. 24 # 66A - 40</t>
  </si>
  <si>
    <t>Llamar no hay porteria</t>
  </si>
  <si>
    <t>Isabel Moya Pegenaute</t>
  </si>
  <si>
    <t>Cr. 13 # 106 - 65</t>
  </si>
  <si>
    <t>Marisol Blanco Suarez</t>
  </si>
  <si>
    <t>Cr. 74 # 160 - 25</t>
  </si>
  <si>
    <t>Eda Isabel Copete Romero</t>
  </si>
  <si>
    <t>Cr. 19 # 184 - 49</t>
  </si>
  <si>
    <t>Edf. Alameda de Torca</t>
  </si>
  <si>
    <t>Paula Andrea Acosta</t>
  </si>
  <si>
    <t>Cl. 105 # 21-85</t>
  </si>
  <si>
    <t>Fabiola Jaime</t>
  </si>
  <si>
    <t>Cl. 117 D # 58-50</t>
  </si>
  <si>
    <t>Conjunto Bali</t>
  </si>
  <si>
    <t>Marta Peñaloza Gallo</t>
  </si>
  <si>
    <t xml:space="preserve">Cl. 112 # 1-10 </t>
  </si>
  <si>
    <t>María Del Pilar Vargas</t>
  </si>
  <si>
    <t>Cl. 123 # 16-56</t>
  </si>
  <si>
    <t>Haydee Corredor</t>
  </si>
  <si>
    <t>Cl. 150 # 53-88</t>
  </si>
  <si>
    <t>Ivonne Barbur</t>
  </si>
  <si>
    <t>Cl. 94 # 11 A-46</t>
  </si>
  <si>
    <t>Daniela Sosa</t>
  </si>
  <si>
    <t>Cr. 16 # 93 A -21</t>
  </si>
  <si>
    <t>Josue Nino</t>
  </si>
  <si>
    <t>Cr. 19 A # 101-42</t>
  </si>
  <si>
    <t>Angela Patricia Güiza Cepeda</t>
  </si>
  <si>
    <t>Cl. 144 # 12-78</t>
  </si>
  <si>
    <t>Andrea Zárate López</t>
  </si>
  <si>
    <t>Cl. 68 B # 71-72</t>
  </si>
  <si>
    <t>Clara Inés Abella Nivia</t>
  </si>
  <si>
    <t>Cr. 52 A # 134 A - 22</t>
  </si>
  <si>
    <t>Pilar Piñeros Ayala</t>
  </si>
  <si>
    <t>Cl. 129 # 8-08</t>
  </si>
  <si>
    <t>Ana María Hernández Romero</t>
  </si>
  <si>
    <t>Cl. 95 # 17-23</t>
  </si>
  <si>
    <t>Juan Baena</t>
  </si>
  <si>
    <t>Cl. 144 # 16-15</t>
  </si>
  <si>
    <t>Lorena Solaque Hernández</t>
  </si>
  <si>
    <t>Cl. 66 # 50-47</t>
  </si>
  <si>
    <t>Diana Valle Muñóz</t>
  </si>
  <si>
    <t>Cr. 2 # 55 - 45</t>
  </si>
  <si>
    <t>Ana Carolina Quiroga Medina</t>
  </si>
  <si>
    <t>Cl. 152 # 72-85</t>
  </si>
  <si>
    <t>María Alejandra Polanía Quintero</t>
  </si>
  <si>
    <t>Cl. 138 # 11 B - 61</t>
  </si>
  <si>
    <t>Ana Cecilia Pinilla Cárdenas</t>
  </si>
  <si>
    <t>Cl. 103 A # 21-73</t>
  </si>
  <si>
    <t>Natalia Arévalo Gómez</t>
  </si>
  <si>
    <t>Cl. 134 # 6 B-16</t>
  </si>
  <si>
    <t>Astrid Riveros Mesa</t>
  </si>
  <si>
    <t>Cl. 83 Bis # 23-51</t>
  </si>
  <si>
    <t>María Paula Aza De La Espriella</t>
  </si>
  <si>
    <t>Cr 16 # 94 A-45</t>
  </si>
  <si>
    <t>49 177 2319942</t>
  </si>
  <si>
    <t>Antonella Vásquez</t>
  </si>
  <si>
    <t>Cl. 88 # 19 A-30</t>
  </si>
  <si>
    <t>Alba Lucía Santamaría Guiza</t>
  </si>
  <si>
    <t>Cl. 128 A # 57C -04</t>
  </si>
  <si>
    <t>Bl. 5</t>
  </si>
  <si>
    <t>Inés Elvira Herrera</t>
  </si>
  <si>
    <t>Cr. 43 # 22-35</t>
  </si>
  <si>
    <t>María Angelica Nivia</t>
  </si>
  <si>
    <t>Cra. 13 A # 113-34</t>
  </si>
  <si>
    <t>Valentina Arias Hernández</t>
  </si>
  <si>
    <t>Cl. 112 # 18 A-65</t>
  </si>
  <si>
    <t>Tatiana Restrepo</t>
  </si>
  <si>
    <t>Cl 7 A Sur # 2- 56</t>
  </si>
  <si>
    <t xml:space="preserve"> Tr. 5</t>
  </si>
  <si>
    <t>Daniela Santamaría Montoya</t>
  </si>
  <si>
    <t>Cl. 118 # 15 A-90</t>
  </si>
  <si>
    <t>Nohra De Pontón</t>
  </si>
  <si>
    <t>Cl. 152 #. 72-85</t>
  </si>
  <si>
    <t>Nancy Carrillo Baquero</t>
  </si>
  <si>
    <t>Cl. 114 A # 15 B- 44</t>
  </si>
  <si>
    <t>Edf. CAMBIL</t>
  </si>
  <si>
    <t>Beatríz Castro Castilo</t>
  </si>
  <si>
    <t>Cl. 108 # 15-22</t>
  </si>
  <si>
    <t>María Camila Barreto</t>
  </si>
  <si>
    <t>Cl. 96#19a-83</t>
  </si>
  <si>
    <t>Paula Ferreira Calderón</t>
  </si>
  <si>
    <t>Cr. 13 A # 101-99</t>
  </si>
  <si>
    <t>Ana Linares Alvarez</t>
  </si>
  <si>
    <t>Natalia Gomez</t>
  </si>
  <si>
    <t>Cr. 5 # 78-27</t>
  </si>
  <si>
    <t>María Juliana Estrada</t>
  </si>
  <si>
    <t>Cl. 83 # 5-57</t>
  </si>
  <si>
    <t>Ximena Romero Mora</t>
  </si>
  <si>
    <t>Cl. 134 A # 17-50</t>
  </si>
  <si>
    <t>Natalia Zamora Guzmán</t>
  </si>
  <si>
    <t>Cra 58 # 119 A-98</t>
  </si>
  <si>
    <t xml:space="preserve"> T. 8 Provenza Campestre fase 2</t>
  </si>
  <si>
    <t>Alfonso Duque</t>
  </si>
  <si>
    <t>Cl. 94 A # 21-93</t>
  </si>
  <si>
    <t>Cristina Noguera Pizano</t>
  </si>
  <si>
    <t>Cl. 85 # 9-26</t>
  </si>
  <si>
    <t>Andrea Valencia</t>
  </si>
  <si>
    <t>KR 71BIS # 24 D - 40</t>
  </si>
  <si>
    <t>Miguel Forero Aparicio</t>
  </si>
  <si>
    <t xml:space="preserve">Cra 19 # 89 - 16 </t>
  </si>
  <si>
    <t>Elsa María Bueno</t>
  </si>
  <si>
    <t>Cl.116 # 70 F-20</t>
  </si>
  <si>
    <t>Lizeth Yepes</t>
  </si>
  <si>
    <t>Cr. 51 A # 127-49</t>
  </si>
  <si>
    <t xml:space="preserve">Tr.3 Conj. Alcázar de Luis 1 </t>
  </si>
  <si>
    <t>Rocío Moscoso</t>
  </si>
  <si>
    <t xml:space="preserve">Cr. 14 A # 109-55 </t>
  </si>
  <si>
    <t>Alvaro Niño Sánchez</t>
  </si>
  <si>
    <t>Cr. 21 # 122-51</t>
  </si>
  <si>
    <t>Silvia Marinova</t>
  </si>
  <si>
    <t>Cl. 93 A # 19-50</t>
  </si>
  <si>
    <t>Laura Charly</t>
  </si>
  <si>
    <t>Cll 142 # 13-44</t>
  </si>
  <si>
    <t>Victoria Rodríguez</t>
  </si>
  <si>
    <t>Cra 4 # 67-48</t>
  </si>
  <si>
    <t>Jenifer Enciso</t>
  </si>
  <si>
    <t>Cr 2 # 61-40</t>
  </si>
  <si>
    <t>Juan Carlos Rey Martínez</t>
  </si>
  <si>
    <t xml:space="preserve">Cr. 53 C # 134 - 29 </t>
  </si>
  <si>
    <t>Natalia Ponce de León</t>
  </si>
  <si>
    <t>Cr. 22 # 118-86</t>
  </si>
  <si>
    <t>Juan Diego Gómez Arciniegas</t>
  </si>
  <si>
    <t>Cl. 126 # 11-62</t>
  </si>
  <si>
    <t xml:space="preserve">Calle 19 A Bis #116-73 </t>
  </si>
  <si>
    <t>En fontibon</t>
  </si>
  <si>
    <t xml:space="preserve">Diana Galindo Paz </t>
  </si>
  <si>
    <t>Tatiana Mazuera</t>
  </si>
  <si>
    <t>Trv. 7 Bis A # 108A-75</t>
  </si>
  <si>
    <t>Nancy Cahuaba Cornejo</t>
  </si>
  <si>
    <t>Cr. 72 # 152 B- 89</t>
  </si>
  <si>
    <t>Julián Uribe Umaña</t>
  </si>
  <si>
    <t>Cl. 76 # 1-15</t>
  </si>
  <si>
    <t>Diana Ximena Castro Vivas</t>
  </si>
  <si>
    <t>Cr. 84 A # 70-17</t>
  </si>
  <si>
    <t>Elvira Casadiego Cadena</t>
  </si>
  <si>
    <t>Cl. 81 # 8-51</t>
  </si>
  <si>
    <t>María Cristina Morales Melo</t>
  </si>
  <si>
    <t>Cr. 11 # 140 -58</t>
  </si>
  <si>
    <t>Catalina Noreña</t>
  </si>
  <si>
    <t>Cr. 1 # 83-62</t>
  </si>
  <si>
    <t>Edf. Soho sobre Circunvalar</t>
  </si>
  <si>
    <t>Adriana Corredor</t>
  </si>
  <si>
    <t>Cl. 116 # 52-30</t>
  </si>
  <si>
    <t>Juliana Cortés</t>
  </si>
  <si>
    <t xml:space="preserve">Cr. 87 B # 19 A-66 </t>
  </si>
  <si>
    <t>Tr. 9</t>
  </si>
  <si>
    <t>Nicolás Espejo</t>
  </si>
  <si>
    <t>Cl. 93 A # 19-25</t>
  </si>
  <si>
    <t>Manuela Niño</t>
  </si>
  <si>
    <t>Cr. 23 # 102-33</t>
  </si>
  <si>
    <t>Sara Acosta Escobar</t>
  </si>
  <si>
    <t>Cr. 5 # 116-58</t>
  </si>
  <si>
    <t>Willinton Ortiz Quevedo</t>
  </si>
  <si>
    <t>Cll 22 A Bos A # 94-39</t>
  </si>
  <si>
    <t>Diana Serna</t>
  </si>
  <si>
    <t>Cll 138 # 54-60</t>
  </si>
  <si>
    <t>Diana Aguilar Mendieta</t>
  </si>
  <si>
    <t>Trv. 18 # 45 D-58</t>
  </si>
  <si>
    <t>Ana María Ortiz Guevara</t>
  </si>
  <si>
    <t>Cr. 54 # 106-46</t>
  </si>
  <si>
    <t>Camilo Rivera</t>
  </si>
  <si>
    <t>Cr- 6 # 124-37</t>
  </si>
  <si>
    <t>Carolina Castillo</t>
  </si>
  <si>
    <t>Cr. 6 # 55-45</t>
  </si>
  <si>
    <t>Lupe Guzmán De Cano</t>
  </si>
  <si>
    <t>Trv. 19 A # 97-15</t>
  </si>
  <si>
    <t>María Paula Cano</t>
  </si>
  <si>
    <t>Cl. 71 # 2 A-94</t>
  </si>
  <si>
    <t>Edf. Jacaranda</t>
  </si>
  <si>
    <t>Esteban Sarmiento Marín</t>
  </si>
  <si>
    <t>Cr. 21 # 103-51</t>
  </si>
  <si>
    <t>Yasmín Mojica</t>
  </si>
  <si>
    <t>AV Caracas # 39 -50</t>
  </si>
  <si>
    <t>Gloria Rincón</t>
  </si>
  <si>
    <t>Cr. 72 A # 23 F-36</t>
  </si>
  <si>
    <t>Liliana Pardo</t>
  </si>
  <si>
    <t>Cr. 48 # 150 A-40</t>
  </si>
  <si>
    <t xml:space="preserve">Int. 6 </t>
  </si>
  <si>
    <t>Karol Granados Orellanos</t>
  </si>
  <si>
    <t>Av suba # 114 A-50</t>
  </si>
  <si>
    <t>Paola Andrea Montaño Martínez</t>
  </si>
  <si>
    <t>Cl. 59 # 6-31</t>
  </si>
  <si>
    <t>Lina Patricia Barros Lizarazo</t>
  </si>
  <si>
    <t>Avda Cl. 72 # 70 G 20</t>
  </si>
  <si>
    <t>Sonia Coronado Baquero</t>
  </si>
  <si>
    <t>T.3</t>
  </si>
  <si>
    <t>Yolanda Aristizabal</t>
  </si>
  <si>
    <t>Cr. 7 B Bis # 142-65</t>
  </si>
  <si>
    <t>Cr. 10 # 91-10</t>
  </si>
  <si>
    <t>Viviana Guzmán Escobar</t>
  </si>
  <si>
    <t>Cl. 98 # 9-41</t>
  </si>
  <si>
    <t>Martha Rodríguez</t>
  </si>
  <si>
    <t>Cr. 57 # 53-50</t>
  </si>
  <si>
    <t>Jorge Alberto Rincón Rodríguez</t>
  </si>
  <si>
    <t>Cr. 11 B # 119-36</t>
  </si>
  <si>
    <t>Linda Rodríguez</t>
  </si>
  <si>
    <t>Cr. 46 # 22 A-89</t>
  </si>
  <si>
    <t>Miguel Van Bommel</t>
  </si>
  <si>
    <t>Cl. 43 # 66 A-30</t>
  </si>
  <si>
    <t>Ana Lucía Thiermann Rodríguez</t>
  </si>
  <si>
    <t>Cl. 94 # 9-09</t>
  </si>
  <si>
    <t>María de los  Angeles Pinzón Gómez</t>
  </si>
  <si>
    <t>Cl. 17 5 # 15-20</t>
  </si>
  <si>
    <t>Salvador Camacho Kilos</t>
  </si>
  <si>
    <t>Isabelita Mercado Pineda</t>
  </si>
  <si>
    <t>Cr. 19 C # 89-12</t>
  </si>
  <si>
    <t>Sindy Lorena Acevedo Pacheco</t>
  </si>
  <si>
    <t>Cl. 72 A Bis # 1 B-95 Este</t>
  </si>
  <si>
    <t>Juliana Errázuriz García</t>
  </si>
  <si>
    <t>Cr. 17 A # 103-27</t>
  </si>
  <si>
    <t>Diana Avila Sánchez</t>
  </si>
  <si>
    <t>Cl. 152 A # 14 A-36</t>
  </si>
  <si>
    <t>Enrique Serna Umaña</t>
  </si>
  <si>
    <t>Cr. 12 # 127 B-39</t>
  </si>
  <si>
    <t>ESPOSO DE ANDREA SERNA UMAÑA</t>
  </si>
  <si>
    <t>Mauricio Concha</t>
  </si>
  <si>
    <t>Cr. 19 # 88- 69</t>
  </si>
  <si>
    <t>Victoria Avila</t>
  </si>
  <si>
    <t>Cl. 108 A # 22-58</t>
  </si>
  <si>
    <t>deudora no paga 19 oct. 2021</t>
  </si>
  <si>
    <t>María Camila Prieto</t>
  </si>
  <si>
    <t>Cr. 1 # 77 - 37</t>
  </si>
  <si>
    <t>Christopher Rojas Vivas</t>
  </si>
  <si>
    <t>Cl. 25 # 40 -74</t>
  </si>
  <si>
    <t>Gisela López</t>
  </si>
  <si>
    <t>Cr. 44 (3) A # 24 D-18</t>
  </si>
  <si>
    <t>Edf. El Dorado</t>
  </si>
  <si>
    <t>María Paula Echeverry Tirado</t>
  </si>
  <si>
    <t xml:space="preserve">Cl. 103 # 21-19 </t>
  </si>
  <si>
    <t>Rosita Dargoltz</t>
  </si>
  <si>
    <t>Cl. 86 # 10-68</t>
  </si>
  <si>
    <t>Camila Hernández Sánchez</t>
  </si>
  <si>
    <t>Cr. 7 H # 151-56</t>
  </si>
  <si>
    <t>Edf. Cedro Golf</t>
  </si>
  <si>
    <t>María González Avila</t>
  </si>
  <si>
    <t>Cl. 169 B # 75-60</t>
  </si>
  <si>
    <t>Tr.4</t>
  </si>
  <si>
    <t>Angie Fernández</t>
  </si>
  <si>
    <t>Av. Cl. 100 # 49-97</t>
  </si>
  <si>
    <t>Bl. 10</t>
  </si>
  <si>
    <t>María Forero Molano</t>
  </si>
  <si>
    <t>Trv. 4 # 51 A-72</t>
  </si>
  <si>
    <t>Cristína Donado Carbó</t>
  </si>
  <si>
    <t>Cr. 10 # 134 B - 74</t>
  </si>
  <si>
    <t>Beatriz Chartismo</t>
  </si>
  <si>
    <t>Cr. 22 # 45 B-41</t>
  </si>
  <si>
    <t>Luis Ernesto Pontón</t>
  </si>
  <si>
    <t>Cr. 18 C # 123-74</t>
  </si>
  <si>
    <t>Carolina Zerrate</t>
  </si>
  <si>
    <t>Cl. 127 Bis # 19-60</t>
  </si>
  <si>
    <t>Laura Álvarez Echeverry</t>
  </si>
  <si>
    <t xml:space="preserve">Cl. 68 # 4-48 </t>
  </si>
  <si>
    <t>Adriana Alves Ribeiro</t>
  </si>
  <si>
    <t>Edf. Baransu</t>
  </si>
  <si>
    <t>Diego Andres Reina Zamora</t>
  </si>
  <si>
    <t>Cr. 54 A # 169- 60</t>
  </si>
  <si>
    <t>Clara Eugenia León Archila</t>
  </si>
  <si>
    <t>Cl.  118 # 23-38</t>
  </si>
  <si>
    <t>Familia Guevara</t>
  </si>
  <si>
    <t>Bernardo Gómez Guevara</t>
  </si>
  <si>
    <t>Cr. 5 # 63- 27</t>
  </si>
  <si>
    <t>Federico Vanegas Iregui</t>
  </si>
  <si>
    <t>Cr. 9 # 95-60</t>
  </si>
  <si>
    <t>Edificio Decco</t>
  </si>
  <si>
    <t>María José Pedraza</t>
  </si>
  <si>
    <t>Cl. 124 # 9-59</t>
  </si>
  <si>
    <t>Edf. Center 2</t>
  </si>
  <si>
    <t>Angela Yanes</t>
  </si>
  <si>
    <t>Cr. 8 # 85-31</t>
  </si>
  <si>
    <t>Gloria Cárdenas</t>
  </si>
  <si>
    <t>Cr. 5 # 81-50</t>
  </si>
  <si>
    <t>Tr. 4 Edf. Pinar Alto</t>
  </si>
  <si>
    <t>Catalina Bernal Martínez</t>
  </si>
  <si>
    <t>Cl 108 # 17 A-86</t>
  </si>
  <si>
    <t>María Paula Prada</t>
  </si>
  <si>
    <t>Cr. 19 A # 134-55</t>
  </si>
  <si>
    <t>Gustavo Toledo</t>
  </si>
  <si>
    <t>Cr. 4 # 24-37</t>
  </si>
  <si>
    <t>1804 B</t>
  </si>
  <si>
    <t>Juan Pablo Anzola</t>
  </si>
  <si>
    <t>Cl. 104 #21-10</t>
  </si>
  <si>
    <t>Carolina Cárdenas</t>
  </si>
  <si>
    <t xml:space="preserve">Cl. 116 # 7-15 </t>
  </si>
  <si>
    <t>Edf. Cusezar</t>
  </si>
  <si>
    <t>Jimena Arbeláez</t>
  </si>
  <si>
    <t>Cl. 144 # 12-19</t>
  </si>
  <si>
    <t>Luisa Gaviria</t>
  </si>
  <si>
    <t>Cr.16 # 103-50</t>
  </si>
  <si>
    <t>Fernando Sslazar</t>
  </si>
  <si>
    <t>Sebastián Rodríguez</t>
  </si>
  <si>
    <t>Karina Jaimes</t>
  </si>
  <si>
    <t>Ingrid Levy O</t>
  </si>
  <si>
    <t>Cl. 168 # 8 G.61</t>
  </si>
  <si>
    <t xml:space="preserve"> Bl. 5 Vivaldi</t>
  </si>
  <si>
    <t>Daniela Barrero Becerra</t>
  </si>
  <si>
    <t>Cl. 3 # 38 B-32 Mz. 15</t>
  </si>
  <si>
    <t>Torres de Tibaná</t>
  </si>
  <si>
    <t>María Isabel Espinosa</t>
  </si>
  <si>
    <t>Cl. 152 # 58 C-50</t>
  </si>
  <si>
    <t>Int. 1 Edf. Mondrian</t>
  </si>
  <si>
    <t>Cra. 7 C # 110 A-16</t>
  </si>
  <si>
    <t>Juliana Escalante</t>
  </si>
  <si>
    <t>Cl. 127 D # 18-06</t>
  </si>
  <si>
    <t>Edf, Brisas del Country</t>
  </si>
  <si>
    <t>Constanza Lizcano</t>
  </si>
  <si>
    <t>Cl. 108 # 18 B-66</t>
  </si>
  <si>
    <t>Sta. Cruz de Navarra</t>
  </si>
  <si>
    <t>Héctor Suárez</t>
  </si>
  <si>
    <t>Cl. 111 # 13-45</t>
  </si>
  <si>
    <t>Alejandro Sarmiento</t>
  </si>
  <si>
    <t>Cl. 96 # 19 A-83</t>
  </si>
  <si>
    <t>Edf. Casa Chicó</t>
  </si>
  <si>
    <t>María Cuenca</t>
  </si>
  <si>
    <t>Cl. 51 # 3-52</t>
  </si>
  <si>
    <t>María Camila Rojas V.</t>
  </si>
  <si>
    <t>Trv. 19 A # 95-56</t>
  </si>
  <si>
    <t>Diana Cepeda</t>
  </si>
  <si>
    <t>Cl. 140 # 6-60</t>
  </si>
  <si>
    <t>Port. 1 Tr. 2 Montearroyo</t>
  </si>
  <si>
    <t>Ana García Gutiérrez</t>
  </si>
  <si>
    <t>Cl. 112 # 2-57</t>
  </si>
  <si>
    <t>Piso2</t>
  </si>
  <si>
    <t>Karen Medina</t>
  </si>
  <si>
    <t>Cr. 63 # 22-45</t>
  </si>
  <si>
    <t>Oscar Javier Bernal</t>
  </si>
  <si>
    <t>Cl. 126 A # 7 C-44</t>
  </si>
  <si>
    <t>Claudia Fernández</t>
  </si>
  <si>
    <t>Cr. 7 C # 138-71</t>
  </si>
  <si>
    <t>Edf. Balcones del Cedro</t>
  </si>
  <si>
    <t>Oscar Botero García</t>
  </si>
  <si>
    <t>Cl. 79 A # 66-69</t>
  </si>
  <si>
    <t>Und. 15</t>
  </si>
  <si>
    <t>Pedro Torres Quiñones</t>
  </si>
  <si>
    <t>Cr. 9 B # 117 A-48</t>
  </si>
  <si>
    <t>Raquel Vergara Acosta</t>
  </si>
  <si>
    <t>Cl. 106 A # 57-35</t>
  </si>
  <si>
    <t>Puente Largo</t>
  </si>
  <si>
    <t>María Carreño</t>
  </si>
  <si>
    <t xml:space="preserve">Cl 32 Bis A # 13-32 </t>
  </si>
  <si>
    <t>María Paz Marín</t>
  </si>
  <si>
    <t>Cl. 64 # 4 A-50</t>
  </si>
  <si>
    <t>Edf. Horus</t>
  </si>
  <si>
    <t>Eliana Mateus</t>
  </si>
  <si>
    <t>Cr. 7 A # 134 B-50</t>
  </si>
  <si>
    <t>Camila Palacios</t>
  </si>
  <si>
    <t>Cl. 109 # 5-64</t>
  </si>
  <si>
    <t>Paula Urdaneta</t>
  </si>
  <si>
    <t>Cr. 1 Este # 72 A-60</t>
  </si>
  <si>
    <t>Mariana Naranjo Arango</t>
  </si>
  <si>
    <t>Cl. 65 # 7-48</t>
  </si>
  <si>
    <t>Cármen Henríquez Brugués</t>
  </si>
  <si>
    <r>
      <rPr>
        <sz val="12"/>
        <color theme="1"/>
        <rFont val="Calibri"/>
        <family val="2"/>
      </rPr>
      <t xml:space="preserve">Cr. 1 </t>
    </r>
    <r>
      <rPr>
        <i/>
        <sz val="12"/>
        <color theme="1"/>
        <rFont val="Calibri"/>
        <family val="2"/>
      </rPr>
      <t># 68-15</t>
    </r>
  </si>
  <si>
    <t>Alis Esperanza Ruge</t>
  </si>
  <si>
    <t>Cl. 145 # 15-29</t>
  </si>
  <si>
    <t>Diana Porras</t>
  </si>
  <si>
    <t>Cl. 94 # 72 A-51</t>
  </si>
  <si>
    <t>Int. 2 Conj. Parque Lagartos</t>
  </si>
  <si>
    <t>María Teresa Estupiñán</t>
  </si>
  <si>
    <t>Cr. 17 A # 116-68</t>
  </si>
  <si>
    <t>Nathalia Gutiérrez Avila</t>
  </si>
  <si>
    <t>Cl. 19 A # 88-66</t>
  </si>
  <si>
    <t>Mariana Gutiérrez Guayasamín</t>
  </si>
  <si>
    <t>Av. Cr. 3 # 58-27</t>
  </si>
  <si>
    <t>Nathalia Ramírez Ramírez</t>
  </si>
  <si>
    <t>Cl. 108 # 17 A-07</t>
  </si>
  <si>
    <t>Green Park</t>
  </si>
  <si>
    <t>Luz Marina Montes</t>
  </si>
  <si>
    <t>Cl. 115 Bis # 58-04</t>
  </si>
  <si>
    <t>Elide Viviana Cotugno Herreño</t>
  </si>
  <si>
    <t>Av, Cl. 22 # 89-54</t>
  </si>
  <si>
    <t>Bl. 3 Capellanía 1</t>
  </si>
  <si>
    <t>Laura Concha Serrano</t>
  </si>
  <si>
    <t>Cl. 81 # 10-32</t>
  </si>
  <si>
    <t>Cármen Rojas Moreno</t>
  </si>
  <si>
    <t>Cl. 134 Bis # 18-25</t>
  </si>
  <si>
    <t>Laura Patricia Forero</t>
  </si>
  <si>
    <t>Cr.17 # 106-29</t>
  </si>
  <si>
    <t>Lorenza Ramírez H</t>
  </si>
  <si>
    <t>Cr. 4 # 66-24</t>
  </si>
  <si>
    <t>Carolina Jiménez</t>
  </si>
  <si>
    <t>Av,. Cl. 24 # 46-19</t>
  </si>
  <si>
    <t>Andrea Martínez García</t>
  </si>
  <si>
    <t>Av. Boyacá # 67-75</t>
  </si>
  <si>
    <t>Sandra García</t>
  </si>
  <si>
    <t>María Elizabeth Alonso</t>
  </si>
  <si>
    <t>Cl. 9 D # 69 B-80</t>
  </si>
  <si>
    <t>Int. 2 Etapa 5 Ferrol</t>
  </si>
  <si>
    <t>Liliana Valle</t>
  </si>
  <si>
    <t>Natalia Marroquín Domínguez</t>
  </si>
  <si>
    <t>Cr. 3 # 59-49</t>
  </si>
  <si>
    <t>Juliana Sanín</t>
  </si>
  <si>
    <t>Av. 15 # 127 A-38</t>
  </si>
  <si>
    <t>Mauricio González Acosta</t>
  </si>
  <si>
    <t>Cr. 5 # 72-26</t>
  </si>
  <si>
    <t>Rodrigo Huertas Quiñones</t>
  </si>
  <si>
    <t>Cl. 127 C # 6 A-55</t>
  </si>
  <si>
    <t>Paola Mainero</t>
  </si>
  <si>
    <t>Dg. 74 # 2-36</t>
  </si>
  <si>
    <t>Sara Góngora</t>
  </si>
  <si>
    <t>Cl. 106 A # 20 - 88</t>
  </si>
  <si>
    <t>Esperanza Domínguez D.</t>
  </si>
  <si>
    <t>Av. Cl 64 C # 68 B-98</t>
  </si>
  <si>
    <t>Entr. 3 Bl. 10 El Gualí</t>
  </si>
  <si>
    <t>Marcela Cadena Clavijo</t>
  </si>
  <si>
    <t>Cl. 187 # 55 B-90</t>
  </si>
  <si>
    <t>Int. 7 Conj. San Pedro Plaza  3</t>
  </si>
  <si>
    <t>Marcela Aragón</t>
  </si>
  <si>
    <t>Cr. 32 A # 25 B-75</t>
  </si>
  <si>
    <t>Aura Helena Prada G</t>
  </si>
  <si>
    <t>Cr 17 # 93 A-58</t>
  </si>
  <si>
    <t>Milena Baquero</t>
  </si>
  <si>
    <t>Cr. 50 # 100-62</t>
  </si>
  <si>
    <t xml:space="preserve"> Ofc.503</t>
  </si>
  <si>
    <t>Edf.Pasadena</t>
  </si>
  <si>
    <t>Hanna Benavides</t>
  </si>
  <si>
    <t>Cl. 10A # 72 A 51</t>
  </si>
  <si>
    <t>Luisa Fernanda Prieto Parra</t>
  </si>
  <si>
    <t>Cl. 131 C # 90-15</t>
  </si>
  <si>
    <t>Bl. 15 La Palma 1</t>
  </si>
  <si>
    <t>Teresa Urdaneta</t>
  </si>
  <si>
    <t>Cr. 2 Este # 76-47</t>
  </si>
  <si>
    <t>Int. 2 Torres de Cádiz</t>
  </si>
  <si>
    <t>Diana Osorio Dussán</t>
  </si>
  <si>
    <t>Int. 6 Balcones de Pablo VI</t>
  </si>
  <si>
    <t>dipaos22@yahoo.es</t>
  </si>
  <si>
    <t>Daniela Soulier</t>
  </si>
  <si>
    <t>Cr. 18 # 93 A-18</t>
  </si>
  <si>
    <t>María Fernanda Castro</t>
  </si>
  <si>
    <t>Cr. 4 A # 55-33</t>
  </si>
  <si>
    <t>Edf Zayva VI</t>
  </si>
  <si>
    <t>Victoria Galindo Cruz</t>
  </si>
  <si>
    <t>Cr. 1 Este#72a-03</t>
  </si>
  <si>
    <t>Edificio Castillo de Cerdo</t>
  </si>
  <si>
    <t>María Paula Guerra Avellaneda</t>
  </si>
  <si>
    <t>Cr. 56 # 152-42</t>
  </si>
  <si>
    <t>Tr. 4 Mazuren</t>
  </si>
  <si>
    <t>Maricela Méndez</t>
  </si>
  <si>
    <t>Trv. 1 Este #57-80</t>
  </si>
  <si>
    <t>Edf. Los 3 eucaliptos</t>
  </si>
  <si>
    <t>Juliana Lucena</t>
  </si>
  <si>
    <t>Cr. 11 # 121-49</t>
  </si>
  <si>
    <t>Edf. Portal 121</t>
  </si>
  <si>
    <t>María Calero</t>
  </si>
  <si>
    <t>Cl. 92 # 19 C-90</t>
  </si>
  <si>
    <t>Edf. Vive 92</t>
  </si>
  <si>
    <t>Leidy Tatiana Largo Rodríguez</t>
  </si>
  <si>
    <t>Cl. 6 A # 93 D-17</t>
  </si>
  <si>
    <t>Tr. 10</t>
  </si>
  <si>
    <t>Alejandra Fandiño</t>
  </si>
  <si>
    <t>Cr. 14 # 77 A-39</t>
  </si>
  <si>
    <t>Daniel Sáenz Uribe</t>
  </si>
  <si>
    <t>Cr. 23 # 120-48</t>
  </si>
  <si>
    <t>Jenny Carolina Lombo Carrillo</t>
  </si>
  <si>
    <t>Cl. 146 F # 73 A-20</t>
  </si>
  <si>
    <t>Natalia Carvajal</t>
  </si>
  <si>
    <t>Cl. 62 # 7-44</t>
  </si>
  <si>
    <t>Natalia Noguera</t>
  </si>
  <si>
    <t>Cl. 95 # 71-75</t>
  </si>
  <si>
    <t>Adriana Acosta</t>
  </si>
  <si>
    <t>Trv. 23 # 93-37</t>
  </si>
  <si>
    <t>Daniela Jaramillo Gómez</t>
  </si>
  <si>
    <t>Cr. 13 Bis # 110-49</t>
  </si>
  <si>
    <t>Edf. Estancia de Santa Paula</t>
  </si>
  <si>
    <t>Sonia Catalina Urrea</t>
  </si>
  <si>
    <t>Cr 11 # 78-22</t>
  </si>
  <si>
    <t>Janeth Alfonso</t>
  </si>
  <si>
    <t>Cl 22 D # 87 C-61</t>
  </si>
  <si>
    <t>Casa 26</t>
  </si>
  <si>
    <t>Conj. Isla Menorca</t>
  </si>
  <si>
    <t>Mónica L. Guerrero</t>
  </si>
  <si>
    <t>Cr. 10 # 54 A-48</t>
  </si>
  <si>
    <t>Ana Carolina Ávila</t>
  </si>
  <si>
    <t>Cl. 20 C # 93-60</t>
  </si>
  <si>
    <t>Jaime Ladino</t>
  </si>
  <si>
    <t xml:space="preserve">Dg. 127 B # 72-08 </t>
  </si>
  <si>
    <t>Rafael Piñeros Ayala</t>
  </si>
  <si>
    <t>Cr. 17 # 109 A-08</t>
  </si>
  <si>
    <t>Edf. Lakai 109</t>
  </si>
  <si>
    <t>Natalí Leal Gómez</t>
  </si>
  <si>
    <t>Cl. 74 A # 4-56</t>
  </si>
  <si>
    <t>Nataly Mora</t>
  </si>
  <si>
    <t>Cr. 53 A # 118-88</t>
  </si>
  <si>
    <t>Camila Arocha</t>
  </si>
  <si>
    <t>Cl. 95 # 21-34</t>
  </si>
  <si>
    <t>Angélica Sourdis</t>
  </si>
  <si>
    <t>Cl. 86 # 19 C-30</t>
  </si>
  <si>
    <t>Edf. G2</t>
  </si>
  <si>
    <t>Luz Elena Aristizábal</t>
  </si>
  <si>
    <t>Cr. 12 # 124-30</t>
  </si>
  <si>
    <t>Mz, j</t>
  </si>
  <si>
    <t>Stefania Torres</t>
  </si>
  <si>
    <t>C. 106 # 22-28</t>
  </si>
  <si>
    <t>Laura Catalina Melo</t>
  </si>
  <si>
    <t>Av. Cl. 116 # 22-45</t>
  </si>
  <si>
    <t>Edf. Malabar</t>
  </si>
  <si>
    <t>Andrea Ayala x</t>
  </si>
  <si>
    <t>Av. Cl. 63 # 74 A-81</t>
  </si>
  <si>
    <t>Alejandra Gómez</t>
  </si>
  <si>
    <t>Cl 123 # 46-07</t>
  </si>
  <si>
    <t>Ligia Silva</t>
  </si>
  <si>
    <t>Cr 14 A # 117-06</t>
  </si>
  <si>
    <t>Edf. Carolina</t>
  </si>
  <si>
    <t xml:space="preserve">Micaela De Germán </t>
  </si>
  <si>
    <t xml:space="preserve">Trv. 2 A  # 67-13 </t>
  </si>
  <si>
    <t>Edf. Ambient</t>
  </si>
  <si>
    <t>Ingrid Gracia</t>
  </si>
  <si>
    <t>Cr. 63 # 103 C-18</t>
  </si>
  <si>
    <t>María Claudia Fernández Orozco</t>
  </si>
  <si>
    <t xml:space="preserve">Cr. 7 # 145-30 </t>
  </si>
  <si>
    <t>Tr. 7 Sierras del Moral</t>
  </si>
  <si>
    <t>Jenifer Quebradas Vélez</t>
  </si>
  <si>
    <t>Cr. 11 # 93 A-37</t>
  </si>
  <si>
    <t>Lina Neiza</t>
  </si>
  <si>
    <t>Cl. 144 # 23-06</t>
  </si>
  <si>
    <t>Edf. Oporto</t>
  </si>
  <si>
    <t>María Camila Paredes</t>
  </si>
  <si>
    <t>Trv. 19 A #97- 59</t>
  </si>
  <si>
    <t>Elizabeth Jaime</t>
  </si>
  <si>
    <t>Cl. 119 # 54-68</t>
  </si>
  <si>
    <t>Juliana Poma P</t>
  </si>
  <si>
    <t>Av. Cr. 19 # 145 A-49</t>
  </si>
  <si>
    <t>Sandra Bohórquez</t>
  </si>
  <si>
    <t>Cl 70 A # 9-57</t>
  </si>
  <si>
    <t>Ana lucía Villalva</t>
  </si>
  <si>
    <t>Cr. 9 # 59-43</t>
  </si>
  <si>
    <t>Tr. 2 Edf. Urban Essence</t>
  </si>
  <si>
    <t>Catalina Sáenz</t>
  </si>
  <si>
    <t>Cr. 10 A # 119-30</t>
  </si>
  <si>
    <t>Sandra Perilla</t>
  </si>
  <si>
    <t>Cr. 72 C # 22 A-77</t>
  </si>
  <si>
    <t>Int. 3 Tr. 1 La Colina</t>
  </si>
  <si>
    <t>Vanessa Donoso Mejía</t>
  </si>
  <si>
    <t>Cl. 149 # 54-29</t>
  </si>
  <si>
    <t>Casa 43</t>
  </si>
  <si>
    <t>Carolina Ahumada Acero</t>
  </si>
  <si>
    <t>Av. Boyacá # 128 B-65</t>
  </si>
  <si>
    <t>Bl.1 Cerros de Sotileza</t>
  </si>
  <si>
    <t>Patricia Chaparro</t>
  </si>
  <si>
    <t>Cl. 103 # 67-16</t>
  </si>
  <si>
    <t>Floresta</t>
  </si>
  <si>
    <t>Paola Arenas</t>
  </si>
  <si>
    <t>Cl. 44  C Bis # 50-26</t>
  </si>
  <si>
    <t>Tr. C</t>
  </si>
  <si>
    <t>Andrea Ayala</t>
  </si>
  <si>
    <t>Cl. 87 #7-96</t>
  </si>
  <si>
    <t xml:space="preserve">DATOS INCORRECTOS </t>
  </si>
  <si>
    <t>Jenny Maritza Piza Calvo</t>
  </si>
  <si>
    <t>Cl. 65 # 98-50</t>
  </si>
  <si>
    <t>Pasillo, puerta 2</t>
  </si>
  <si>
    <t>Alámos Los Angeles</t>
  </si>
  <si>
    <t>Angélica Caballero</t>
  </si>
  <si>
    <t>Cr. 72 C # 23-13</t>
  </si>
  <si>
    <t>Tr. 2 Villa Zamora</t>
  </si>
  <si>
    <t>Jessica Pacheco</t>
  </si>
  <si>
    <t>Cl. 31 # 13 A-51</t>
  </si>
  <si>
    <t>Tr. 2 Edf Panorama</t>
  </si>
  <si>
    <t xml:space="preserve">Liliana Orbegozo Con </t>
  </si>
  <si>
    <t xml:space="preserve">Cr. 1 # 84 C-50 </t>
  </si>
  <si>
    <t>Tr. 6 Akltos de la Cabrera</t>
  </si>
  <si>
    <t>Flor Tolosa</t>
  </si>
  <si>
    <t>Trv. 59 B # 128-63</t>
  </si>
  <si>
    <t>Nelia Gutiérrez Meneses</t>
  </si>
  <si>
    <t>Cr. 13 A # 28-21</t>
  </si>
  <si>
    <t>Pamela León</t>
  </si>
  <si>
    <t>Cr. 7 # 132-45</t>
  </si>
  <si>
    <t>Edf. Aurora</t>
  </si>
  <si>
    <t>Luz Marina Ospina</t>
  </si>
  <si>
    <t>Dg. 46 A Sur # 53 A-58</t>
  </si>
  <si>
    <t>Venecia 3186162331</t>
  </si>
  <si>
    <t>Ximena Rodríguez Vargas</t>
  </si>
  <si>
    <t>Cr. 13 # 152-80</t>
  </si>
  <si>
    <t>Reserva entrecedros</t>
  </si>
  <si>
    <t>Laura Silva Gómez</t>
  </si>
  <si>
    <t>Cl. 122 # 45 A-17</t>
  </si>
  <si>
    <t>Laura Murcia Ortega</t>
  </si>
  <si>
    <t>Cr. 74 # 163-33</t>
  </si>
  <si>
    <t>Tr. 1 Bakata Colina</t>
  </si>
  <si>
    <t>Katherine Gómez</t>
  </si>
  <si>
    <t>Av. Cr. 15 # 118-24</t>
  </si>
  <si>
    <t>Edf. Tiyuca</t>
  </si>
  <si>
    <t>Sofía De Brigard</t>
  </si>
  <si>
    <t>Cl. 87 # 11 A-42</t>
  </si>
  <si>
    <t>Tatiana Wilches Tamayo</t>
  </si>
  <si>
    <t>Cl. 127 D # 7 C-09</t>
  </si>
  <si>
    <t>Edf. Rincón del parque</t>
  </si>
  <si>
    <t>Sandra Milena Angel Peña</t>
  </si>
  <si>
    <t>Cl. 21 # 87 B-36</t>
  </si>
  <si>
    <t>Tr.1</t>
  </si>
  <si>
    <t>Diana Flórez Acosta</t>
  </si>
  <si>
    <t>Cl. 49 # 25-45</t>
  </si>
  <si>
    <t xml:space="preserve"> William Giraldo</t>
  </si>
  <si>
    <t>Cl. 127 A # 7 B-25</t>
  </si>
  <si>
    <t>Bella Suiza</t>
  </si>
  <si>
    <t>Luz Stefanie Alvares Rios</t>
  </si>
  <si>
    <t>Cl. 30 B Bis # 2-54</t>
  </si>
  <si>
    <t>María Paula Rojas</t>
  </si>
  <si>
    <t>Cr. 7 A # 135-78</t>
  </si>
  <si>
    <t>Andrea Pacheco</t>
  </si>
  <si>
    <t>Cl. 4 Sur # 16-19</t>
  </si>
  <si>
    <t>Cl. 116 # 55 C-40</t>
  </si>
  <si>
    <t>Liliana Díaz</t>
  </si>
  <si>
    <t>Cl. 93 # 60 B-11</t>
  </si>
  <si>
    <t>Edf. San Nicolás</t>
  </si>
  <si>
    <t>Luisa Pulecio</t>
  </si>
  <si>
    <t>Cl. 44 # 8-66</t>
  </si>
  <si>
    <t>Sandra Milena Cruz Merchán</t>
  </si>
  <si>
    <t>Trv. 4 Este # 61-05</t>
  </si>
  <si>
    <t>Ivonne Andrea Villarraga</t>
  </si>
  <si>
    <t>Cl. 77 B # 123 A-86</t>
  </si>
  <si>
    <t>Tr. 7 Ciprés de la Florida</t>
  </si>
  <si>
    <t>Engativá</t>
  </si>
  <si>
    <t>Maryori Gil Acosta</t>
  </si>
  <si>
    <t>Cr. 62 # 165 A-69</t>
  </si>
  <si>
    <t>Adriana Bustos</t>
  </si>
  <si>
    <t>Dg. 46 # 76-39</t>
  </si>
  <si>
    <t>Valeria Coral Sañudo</t>
  </si>
  <si>
    <t>Cl. 98 # 19 A-79</t>
  </si>
  <si>
    <t>Edf. Botánica</t>
  </si>
  <si>
    <t>Karina Echeverry G.</t>
  </si>
  <si>
    <t>Cl. 97 A # 8-14</t>
  </si>
  <si>
    <t>Carolina Kitchen</t>
  </si>
  <si>
    <t>Viviana León Pasa</t>
  </si>
  <si>
    <t>Dg. 82 C # 75 A-21</t>
  </si>
  <si>
    <t>Casa 18</t>
  </si>
  <si>
    <t>Conj. Res. Betania</t>
  </si>
  <si>
    <t>Marcela Suárez</t>
  </si>
  <si>
    <t>Cl. 151 # 13 A-50</t>
  </si>
  <si>
    <t>2-1411</t>
  </si>
  <si>
    <t>Laura Peluffo</t>
  </si>
  <si>
    <t>Cr. 8 H # 166-36</t>
  </si>
  <si>
    <t>Edf. Sta. Lucía</t>
  </si>
  <si>
    <t>María Alejandra Rodríguez Rosas</t>
  </si>
  <si>
    <t>Cl. 159 # 54-70</t>
  </si>
  <si>
    <t>Tr.6</t>
  </si>
  <si>
    <t>Natalia Pachón</t>
  </si>
  <si>
    <t>Tr. 21 # 95-63</t>
  </si>
  <si>
    <t>Edf. Parque 96</t>
  </si>
  <si>
    <t>Cammila Habeych</t>
  </si>
  <si>
    <t>Cl. 134 # 20-54</t>
  </si>
  <si>
    <t>Edf. Sta. Coloma</t>
  </si>
  <si>
    <t>Viviana Arias</t>
  </si>
  <si>
    <t>Cr. 69 # 80-20</t>
  </si>
  <si>
    <t>Nicole Van Hissenhoven</t>
  </si>
  <si>
    <t>Cr. 8 # 75-19</t>
  </si>
  <si>
    <t>Cl. 81 # 9-24 Ap. 806</t>
  </si>
  <si>
    <t>Andrea Botero Becerra</t>
  </si>
  <si>
    <t>Cl. 59 # 3 A-24</t>
  </si>
  <si>
    <t>Edf. Altos De La Salle</t>
  </si>
  <si>
    <t>Sandra Fierro Espitia</t>
  </si>
  <si>
    <t>Cr. 56 # 152 B-60</t>
  </si>
  <si>
    <t xml:space="preserve"> Int. 3 versalles Reservado</t>
  </si>
  <si>
    <t>Sofía Clero Ceballos</t>
  </si>
  <si>
    <t>Cl. 112 # 2-60</t>
  </si>
  <si>
    <t>Carolina Munari</t>
  </si>
  <si>
    <t>Cr. 7 # 45-48</t>
  </si>
  <si>
    <t>Edf. Futura</t>
  </si>
  <si>
    <t>Milena Herrera</t>
  </si>
  <si>
    <t>Cr. 28 Bis # 52-19</t>
  </si>
  <si>
    <t>Cons. 101</t>
  </si>
  <si>
    <t>Marcela Badillo</t>
  </si>
  <si>
    <t>Cr. 6 # 88-44</t>
  </si>
  <si>
    <t>Edf. La Peña Via Calera</t>
  </si>
  <si>
    <t>Daniela Mora Barreto</t>
  </si>
  <si>
    <t>Cr. 13 A # 104 - 41</t>
  </si>
  <si>
    <t>Carmenza de Carradini</t>
  </si>
  <si>
    <t>Cr. 13 Bis # 110-58</t>
  </si>
  <si>
    <t>Laura Rozo Castro</t>
  </si>
  <si>
    <t>Cl. 104 A # 19 A-30</t>
  </si>
  <si>
    <t>Edf. Cannelo</t>
  </si>
  <si>
    <t>Betsy Martínez</t>
  </si>
  <si>
    <t>Cr. 72 B # 23-35</t>
  </si>
  <si>
    <t>Conj. Kyoto</t>
  </si>
  <si>
    <t>Constanza Galvis</t>
  </si>
  <si>
    <t>Cr. 71 B # 79 A-68</t>
  </si>
  <si>
    <t>Bonanza</t>
  </si>
  <si>
    <t>Gina Pacheco</t>
  </si>
  <si>
    <t>Cl. 151 # 9-26</t>
  </si>
  <si>
    <t xml:space="preserve">Casa 110 </t>
  </si>
  <si>
    <t>Edf. Tinamu</t>
  </si>
  <si>
    <t>Carolina Restrepo Cañ</t>
  </si>
  <si>
    <t>Cl. 86 # 9-77</t>
  </si>
  <si>
    <t>Paula Suárez Conde</t>
  </si>
  <si>
    <t>Edf. Gaviotas</t>
  </si>
  <si>
    <t>Martha Julieta Tovar</t>
  </si>
  <si>
    <t>Cr. 13 # 113-28</t>
  </si>
  <si>
    <t>Angy Soto</t>
  </si>
  <si>
    <t>Cl. 70 # 7 A-34</t>
  </si>
  <si>
    <t>Edf. Mónaco</t>
  </si>
  <si>
    <t>Martha Rocío Rodríguez</t>
  </si>
  <si>
    <t>Cl. 137 #54-60</t>
  </si>
  <si>
    <t>Casa 19</t>
  </si>
  <si>
    <t>Conj. Trigales de la Colina</t>
  </si>
  <si>
    <t>Catalina Groihs</t>
  </si>
  <si>
    <t>Cr. 2 A # 70-67</t>
  </si>
  <si>
    <t>Patricia Hermida</t>
  </si>
  <si>
    <t>Cl. 69 # 7-21</t>
  </si>
  <si>
    <t>Casa 4</t>
  </si>
  <si>
    <t>María José Castillo Acevedo</t>
  </si>
  <si>
    <t>Tr.3 Reserva de la Sierra</t>
  </si>
  <si>
    <t>Ximena González</t>
  </si>
  <si>
    <t>Cl. 137 # 55-42</t>
  </si>
  <si>
    <t>Tr. 1 edf. ARANI</t>
  </si>
  <si>
    <t>Dora salcedo</t>
  </si>
  <si>
    <t>Cr. 52 # 123 B-06</t>
  </si>
  <si>
    <t>Batán</t>
  </si>
  <si>
    <t>Luz Gisela Niño</t>
  </si>
  <si>
    <t>Cr 92 # 87 B-23</t>
  </si>
  <si>
    <t>Piso 1</t>
  </si>
  <si>
    <t>Quirigua</t>
  </si>
  <si>
    <t>Patricia Pastran</t>
  </si>
  <si>
    <t>Cr. 53 C # 134-70</t>
  </si>
  <si>
    <t>Natalia Silva</t>
  </si>
  <si>
    <t>Edf. Eucalipto</t>
  </si>
  <si>
    <t>Aisha Satizábal</t>
  </si>
  <si>
    <t>Cr. 10 A # 138-10</t>
  </si>
  <si>
    <t>Amparo Jaramillo</t>
  </si>
  <si>
    <t>Marisol Rodríguez</t>
  </si>
  <si>
    <t>Cl. 42 # 67-12</t>
  </si>
  <si>
    <t>Edf. Mauro II Salitre El greco</t>
  </si>
  <si>
    <t>Patricia Gómez Montoya</t>
  </si>
  <si>
    <t>Edf. Baluarte</t>
  </si>
  <si>
    <t>Natalia De la Hoz</t>
  </si>
  <si>
    <t>Cr. 7 B Bis # 130-24</t>
  </si>
  <si>
    <t>Peggy Avellaneda Steevens</t>
  </si>
  <si>
    <t>Cl. 140 # 7 B-68</t>
  </si>
  <si>
    <t>Casa 10</t>
  </si>
  <si>
    <t>Susana Yabrudy</t>
  </si>
  <si>
    <t>Cl. 81 # 9-64</t>
  </si>
  <si>
    <t>Ruth Supelano</t>
  </si>
  <si>
    <t>Cr. 64 A # 62-15 Sur</t>
  </si>
  <si>
    <t>Madelena</t>
  </si>
  <si>
    <t>Yenny Tolosa</t>
  </si>
  <si>
    <t>Cl. 212 # 77-91</t>
  </si>
  <si>
    <t>Tr.2 Reserva de Mora Verde</t>
  </si>
  <si>
    <t>Ana María Woodcock</t>
  </si>
  <si>
    <t>Cl. 95 # 20-27</t>
  </si>
  <si>
    <t>Edf. Chicó 95</t>
  </si>
  <si>
    <t>Angela Milena Latorre Rodríguez</t>
  </si>
  <si>
    <t>Cr. 105 F # 71 A-04</t>
  </si>
  <si>
    <t>Int.. 5 La Giralda Alamos norte</t>
  </si>
  <si>
    <t>Elisa Gallego</t>
  </si>
  <si>
    <t>Cl. 78 # 8-51</t>
  </si>
  <si>
    <t>Ednna Matute</t>
  </si>
  <si>
    <t>Cr. 13 # 117-33</t>
  </si>
  <si>
    <t>Sandra Cecilia Usme Rincón</t>
  </si>
  <si>
    <t>Cl. 213 # 114-10</t>
  </si>
  <si>
    <t>Casa 75</t>
  </si>
  <si>
    <t>Mz. 10 Camino de arrayanes</t>
  </si>
  <si>
    <t>Susy Sanjuán</t>
  </si>
  <si>
    <t>Tr.2 Sierras del Este</t>
  </si>
  <si>
    <t>Eliana Erazo</t>
  </si>
  <si>
    <t>Cr. 103 B # 82-92</t>
  </si>
  <si>
    <t>Bochica 3</t>
  </si>
  <si>
    <t>Cr. 7 # 76-35</t>
  </si>
  <si>
    <t>Johana Pinzón Téllez</t>
  </si>
  <si>
    <t>Cl. 127 B # 6-54</t>
  </si>
  <si>
    <t>Edf. Mirador Suizo</t>
  </si>
  <si>
    <t>Camila Leyva</t>
  </si>
  <si>
    <t>Cl. 146 # 19-27</t>
  </si>
  <si>
    <t>Angélica María Sánz Castaño</t>
  </si>
  <si>
    <t>Cr. 7 B Bis #151-78</t>
  </si>
  <si>
    <t>Xiomara Sanclemente</t>
  </si>
  <si>
    <t>Trv. 57 # 104 B-31</t>
  </si>
  <si>
    <t>Paola A. Peña</t>
  </si>
  <si>
    <t>Cr. 19 C # 88-42</t>
  </si>
  <si>
    <t>Yijhan Geovo</t>
  </si>
  <si>
    <t>Cl. 127 B # 6 A-18</t>
  </si>
  <si>
    <t>Elver Vivas</t>
  </si>
  <si>
    <t>Cr. 77 # 37-18 Sur</t>
  </si>
  <si>
    <t>Sofía Patarroyo</t>
  </si>
  <si>
    <t>Cr 19 A # 114 A-11</t>
  </si>
  <si>
    <t>María José Rubio</t>
  </si>
  <si>
    <t>Cr. 19 A # 114 A-50</t>
  </si>
  <si>
    <t>Mercedes Niño</t>
  </si>
  <si>
    <t>Cl. 66 # 59-31</t>
  </si>
  <si>
    <t>Juliana Castañeda Vi</t>
  </si>
  <si>
    <t>Cl 101 A # 11 B-02</t>
  </si>
  <si>
    <t>Fabiola Quintero</t>
  </si>
  <si>
    <t>Cl. 59 Bis # 8-15</t>
  </si>
  <si>
    <t>Edf. Academia</t>
  </si>
  <si>
    <t>María Paula Aparicio</t>
  </si>
  <si>
    <t>Cl 119 A #57-60</t>
  </si>
  <si>
    <t>Tr. 1 Lagos de Córdoba</t>
  </si>
  <si>
    <t xml:space="preserve">Debe </t>
  </si>
  <si>
    <t>Jenny Sierra</t>
  </si>
  <si>
    <t>Cr. 13 # 76-47</t>
  </si>
  <si>
    <t>Nogal</t>
  </si>
  <si>
    <t>Silvana Rozo Moreno</t>
  </si>
  <si>
    <t>Cr. 11 # 64-25</t>
  </si>
  <si>
    <t>Leila Facchini</t>
  </si>
  <si>
    <t>Cl. 121 # 47- 06</t>
  </si>
  <si>
    <t>Evelyn Trujillo</t>
  </si>
  <si>
    <t>Cr. 10 A # 138-50</t>
  </si>
  <si>
    <t>Andrea Acero Alvarez</t>
  </si>
  <si>
    <t>Cl. 86 A # 69 T-81</t>
  </si>
  <si>
    <t>Tr. 1 Solarium de Pontevedra</t>
  </si>
  <si>
    <t>Leidy Carolina Esparza</t>
  </si>
  <si>
    <t>Cl. 6 C #82 A-91</t>
  </si>
  <si>
    <t>Tr. 1 Aralia de Castilla</t>
  </si>
  <si>
    <t>Nohora Laverde</t>
  </si>
  <si>
    <t>Dg. 115 # 45-42</t>
  </si>
  <si>
    <t>La Alhambra</t>
  </si>
  <si>
    <t>Nancy Cruz</t>
  </si>
  <si>
    <t>Cr. 115 A #89 B-20</t>
  </si>
  <si>
    <t>Int.17 Colsubsidio</t>
  </si>
  <si>
    <t>Sandra Ximena León</t>
  </si>
  <si>
    <t>Cl. 106 A # 48-35</t>
  </si>
  <si>
    <t>Claudia Mejía</t>
  </si>
  <si>
    <t>Calle 9A # 1-28 apto 609 torre 1 ed. Calera gardens</t>
  </si>
  <si>
    <t>Cr. 7 No. 35 B-04 Sur</t>
  </si>
  <si>
    <t>Carolina Rodríguez U.</t>
  </si>
  <si>
    <t>Cl. 59 # 3 A-30</t>
  </si>
  <si>
    <t>Edf. Brisas de Oriente</t>
  </si>
  <si>
    <t>Andrea Sabbagh</t>
  </si>
  <si>
    <t>Cr. 20 # 101 - 51</t>
  </si>
  <si>
    <t>Manuela Flórez Jaramillo</t>
  </si>
  <si>
    <t>Cr. 7 # 111-64</t>
  </si>
  <si>
    <t>Andrea Nataly Bermúdez Sánchez</t>
  </si>
  <si>
    <t>Trv. 5 C # 127-70</t>
  </si>
  <si>
    <t>Steffania Mosquera</t>
  </si>
  <si>
    <t>Crr 16 # 85 - 47</t>
  </si>
  <si>
    <t>Maritza Mantilla</t>
  </si>
  <si>
    <t>Cl. 92 # 14-56</t>
  </si>
  <si>
    <t>Edf. Parque Natura</t>
  </si>
  <si>
    <t>Constanza Méndez</t>
  </si>
  <si>
    <t>Cr.11 # 77-20</t>
  </si>
  <si>
    <t>Local 4</t>
  </si>
  <si>
    <t>María Carolina Mora H.</t>
  </si>
  <si>
    <t>Cl. 92 # 12-18</t>
  </si>
  <si>
    <t>Lina María Buitrago</t>
  </si>
  <si>
    <t>Cl. 106 # 18 A-09</t>
  </si>
  <si>
    <t>Lukas Hoyos</t>
  </si>
  <si>
    <t>Cl. 126 # 49-41</t>
  </si>
  <si>
    <t>Diego Fernando López Villamil</t>
  </si>
  <si>
    <t>Edf. Rincon del parqeu</t>
  </si>
  <si>
    <t>Janeth Hernández</t>
  </si>
  <si>
    <t>Trv. 28 B # 37-65</t>
  </si>
  <si>
    <t>La Soledad</t>
  </si>
  <si>
    <t>Ana María Martín</t>
  </si>
  <si>
    <t>Cl. 81 # 9-36</t>
  </si>
  <si>
    <t>Tatiana Villa Torres</t>
  </si>
  <si>
    <t>Cl. 107 # 51-14</t>
  </si>
  <si>
    <t>Edf. Vival del Parque</t>
  </si>
  <si>
    <t>Victoria Figueroa</t>
  </si>
  <si>
    <t>Cr. 23 # 100-32</t>
  </si>
  <si>
    <t>Edf. EME 101</t>
  </si>
  <si>
    <t>Sonia Solarte</t>
  </si>
  <si>
    <t>Cl. 12 B # 35-69</t>
  </si>
  <si>
    <t>Ofc. 203</t>
  </si>
  <si>
    <t>Miriam Perdomo</t>
  </si>
  <si>
    <t>Trv. 5 A # 91-51</t>
  </si>
  <si>
    <t>Edf. Cerros del Chicó</t>
  </si>
  <si>
    <t>Diana Rodríguez de Rudd</t>
  </si>
  <si>
    <t>Cr. 7 B Bis # 129-51</t>
  </si>
  <si>
    <t>Micaela Castaño</t>
  </si>
  <si>
    <t>Cr. 11 A # 191 A-52</t>
  </si>
  <si>
    <t>Tr. 4 Conj. Kepler</t>
  </si>
  <si>
    <t>Evelin Lucas Rendón</t>
  </si>
  <si>
    <t>Cl. 10 # 80-41</t>
  </si>
  <si>
    <t>Tr. 1 Oasis de Castilla</t>
  </si>
  <si>
    <t>Jairo Franco Blandón</t>
  </si>
  <si>
    <t>Cl. 27 # 27-87 SUR</t>
  </si>
  <si>
    <t>Barrio Santander</t>
  </si>
  <si>
    <t>Aura María Calderón</t>
  </si>
  <si>
    <t>Cl.112 # 14-93</t>
  </si>
  <si>
    <t>Paola Cárdenas</t>
  </si>
  <si>
    <t>Cr. 57 # 119 A-60</t>
  </si>
  <si>
    <t>Tr. 5 Provenza Imperial</t>
  </si>
  <si>
    <t>Diana Milena Guevara</t>
  </si>
  <si>
    <t>Cl. 80 # 62-54</t>
  </si>
  <si>
    <t>Nicolás Pinzón</t>
  </si>
  <si>
    <t>Cr. 8 # 97-34</t>
  </si>
  <si>
    <t>María Alejandra Vargas</t>
  </si>
  <si>
    <t>Cr. 69 D # 24-15</t>
  </si>
  <si>
    <t>Int. 35</t>
  </si>
  <si>
    <t>Catalina Sánchez X</t>
  </si>
  <si>
    <t>Cr. 22 # 127 D-80</t>
  </si>
  <si>
    <t>Angela Navarro</t>
  </si>
  <si>
    <t>Cr. 50 # 115-51</t>
  </si>
  <si>
    <t>Int. 2 A</t>
  </si>
  <si>
    <t>Sarah Miri</t>
  </si>
  <si>
    <t>Cr. 19 A #114 A-50</t>
  </si>
  <si>
    <t>Margarita Casas Rozo</t>
  </si>
  <si>
    <t>Edf.Ttinamú</t>
  </si>
  <si>
    <t>Sandra García Castilla</t>
  </si>
  <si>
    <t>Cr. 6 # 125-35</t>
  </si>
  <si>
    <t>Claudia Puentes</t>
  </si>
  <si>
    <t>Trv. 59 B # 128 A-83</t>
  </si>
  <si>
    <t>Edf. Villa Takoa</t>
  </si>
  <si>
    <t>Freddy Fehrmann</t>
  </si>
  <si>
    <t>Av. Cl. 32 # 13-52</t>
  </si>
  <si>
    <t>1306 Tr.1</t>
  </si>
  <si>
    <t>Carolina Arismendi</t>
  </si>
  <si>
    <t>Cr. 21 # 127-52</t>
  </si>
  <si>
    <t>Edf. Firenze</t>
  </si>
  <si>
    <t>Ginna Largo</t>
  </si>
  <si>
    <t>Cr. 29 C # 73-66</t>
  </si>
  <si>
    <t>Angela Dávila</t>
  </si>
  <si>
    <t>Cl. 148 # 7 G-42</t>
  </si>
  <si>
    <t>Claudia Aristizábal Guzmán</t>
  </si>
  <si>
    <t>Cl. 128 A # 72-50</t>
  </si>
  <si>
    <t>Antigua Helvetia</t>
  </si>
  <si>
    <t>Luisa Fernanda Berbesi Barrientos</t>
  </si>
  <si>
    <t>Cr. 60 D # 90-20</t>
  </si>
  <si>
    <t>Jovana Zivkovic</t>
  </si>
  <si>
    <t>Cl. 145 A # 12 A-30</t>
  </si>
  <si>
    <t>Edf. Kubik</t>
  </si>
  <si>
    <t>María Del Pilar Maya Herrera</t>
  </si>
  <si>
    <t>Catalina Cuartas</t>
  </si>
  <si>
    <t>Av. 19 # 131 A-30</t>
  </si>
  <si>
    <t>Maritza Carolina Charry</t>
  </si>
  <si>
    <t>Cl. 16 # 9-15</t>
  </si>
  <si>
    <t>Personería de Bogotá CAC</t>
  </si>
  <si>
    <t>Carolina Monroy</t>
  </si>
  <si>
    <t>Cl. 108 # 55-58</t>
  </si>
  <si>
    <t>Edf. El Cóndor</t>
  </si>
  <si>
    <t>Gloria Andrea Peñuela Tovar</t>
  </si>
  <si>
    <t>Cl. 142 # 12 B-85</t>
  </si>
  <si>
    <t>Angélica María Beltrán</t>
  </si>
  <si>
    <t>Cr. 9 # 126-15</t>
  </si>
  <si>
    <t>Edf. Tribk</t>
  </si>
  <si>
    <t>María Alejandra Villamizar Maldonado</t>
  </si>
  <si>
    <t>Cra 6 # 80a -11</t>
  </si>
  <si>
    <t>Paula Robles</t>
  </si>
  <si>
    <t>Cr. 5 # 74-75</t>
  </si>
  <si>
    <t>403 A</t>
  </si>
  <si>
    <t>Ximena Roldán</t>
  </si>
  <si>
    <t>Cll 95 # 8a-05</t>
  </si>
  <si>
    <t>Sofía Almanza</t>
  </si>
  <si>
    <t>Cr. 55 # 159-53</t>
  </si>
  <si>
    <t>Entreverde Gran reserva</t>
  </si>
  <si>
    <t>Camilo Vargas</t>
  </si>
  <si>
    <t>Cr. 63 # 68-40</t>
  </si>
  <si>
    <t>Nancy Vásquez</t>
  </si>
  <si>
    <t>Cr. 22 # 137-49</t>
  </si>
  <si>
    <t>Angélica María López García</t>
  </si>
  <si>
    <t>Cl. 64 # 4-85</t>
  </si>
  <si>
    <t>Fiorella Pino Luna</t>
  </si>
  <si>
    <t>Cl. 110 # 7 C-26</t>
  </si>
  <si>
    <t>Adriana Guerrero Blanco</t>
  </si>
  <si>
    <t>Edf. Torello</t>
  </si>
  <si>
    <t>Karina Bello Riveros</t>
  </si>
  <si>
    <t>Cl. 152 # 58-51</t>
  </si>
  <si>
    <t>Tr. 5 Torres de la Colina</t>
  </si>
  <si>
    <t>Ana María Sanabria</t>
  </si>
  <si>
    <t>Cl. 87 # 7-52</t>
  </si>
  <si>
    <t>Luisa Clavijo</t>
  </si>
  <si>
    <t>Cl. 132 A # 19-51</t>
  </si>
  <si>
    <t>Martha Murcia</t>
  </si>
  <si>
    <t>Cl. 72 # 1-58</t>
  </si>
  <si>
    <t>Edf. Quebrada Vieja</t>
  </si>
  <si>
    <t>Adriana Morales Valencia</t>
  </si>
  <si>
    <t>Av. Boyacá # 169 B-40</t>
  </si>
  <si>
    <t>María Claudia Vera Rodríguez</t>
  </si>
  <si>
    <t>Cl. 147 # 7 C-60</t>
  </si>
  <si>
    <t>Int. 3 Conj. Las Margaritas</t>
  </si>
  <si>
    <t>Dahiana Gizeth Linares Sánchez</t>
  </si>
  <si>
    <t>Cl. 59 # 35-62</t>
  </si>
  <si>
    <t>Evelyn Chaparro Lizaraso</t>
  </si>
  <si>
    <t>Cl. 127 B # 19-60</t>
  </si>
  <si>
    <t>Liliana Fino</t>
  </si>
  <si>
    <t>Cr. 53 # 131 A-57</t>
  </si>
  <si>
    <t>Ana María Arciniegas González</t>
  </si>
  <si>
    <t>Beatríz Rodríguez Da Costa</t>
  </si>
  <si>
    <t>Cr. 14 B # 163-29</t>
  </si>
  <si>
    <t>María Claudia Martínez</t>
  </si>
  <si>
    <t>Cl. 147 # 7 B-58</t>
  </si>
  <si>
    <t>Tr. 3 Mirador Club</t>
  </si>
  <si>
    <t>Shadia Herrera Kheneyzir</t>
  </si>
  <si>
    <t>Calle 108 A # 21-42</t>
  </si>
  <si>
    <t>Edi. Kusadasi</t>
  </si>
  <si>
    <t>Diana Gutiérrez</t>
  </si>
  <si>
    <t>Calle 110 A # 7C-57</t>
  </si>
  <si>
    <t>Carolina Ronderos</t>
  </si>
  <si>
    <t>Edf. Decco</t>
  </si>
  <si>
    <t>Irene Barrios Navas</t>
  </si>
  <si>
    <t>Cr. 20 # 127 A-05</t>
  </si>
  <si>
    <t>Daniel Alvarez Welters</t>
  </si>
  <si>
    <t>Cr. 17 # 93 A-38</t>
  </si>
  <si>
    <t>Edf. Oviedo</t>
  </si>
  <si>
    <t>Cata Amor Ayala</t>
  </si>
  <si>
    <t>Trv. 16 Bis # 45 D-63</t>
  </si>
  <si>
    <t>Andrea cardona Gualdrón</t>
  </si>
  <si>
    <t>Cl. 27 # 3 A-3</t>
  </si>
  <si>
    <t>Tr. 1 San Diego 2</t>
  </si>
  <si>
    <t>María Carolina Arenas</t>
  </si>
  <si>
    <t>Cr.22  # 122 -73</t>
  </si>
  <si>
    <t>Laura Stozitzky</t>
  </si>
  <si>
    <t>Cl. 159 # 54-42</t>
  </si>
  <si>
    <t>Edf. Mediterráneo Tr. 4</t>
  </si>
  <si>
    <t>Mariana Gómez E.</t>
  </si>
  <si>
    <t>Edf. De la Peña</t>
  </si>
  <si>
    <t>María Fernanda Parada Alvarez</t>
  </si>
  <si>
    <t>Cl. 104 B # 45 A-12</t>
  </si>
  <si>
    <t>Juliana Botero Galindo</t>
  </si>
  <si>
    <t>Cll. 118 # 18-39</t>
  </si>
  <si>
    <t>Edf. Rivendell</t>
  </si>
  <si>
    <t>Dianis Sánchez Perpiñán</t>
  </si>
  <si>
    <t>Av. Caracas # 49-55</t>
  </si>
  <si>
    <t>Edf. Bulevar Javeriana</t>
  </si>
  <si>
    <t>Jimena Lourido</t>
  </si>
  <si>
    <t>Cr. 12 # 127-85</t>
  </si>
  <si>
    <t>Edf. Guadal Polo La Carolina</t>
  </si>
  <si>
    <t>Sandra Lorena Gil Ramos</t>
  </si>
  <si>
    <t>Cr. 97 # 24-15</t>
  </si>
  <si>
    <t>Int. 8</t>
  </si>
  <si>
    <t>Alejandro Godoy Casasbuenas</t>
  </si>
  <si>
    <t>Cl. 114 A # 19 A-36</t>
  </si>
  <si>
    <t>Edf. Portello</t>
  </si>
  <si>
    <t>Diana Milena Soler Mejía</t>
  </si>
  <si>
    <t>Cr. 71 # 2 A-66</t>
  </si>
  <si>
    <t>Int. 3</t>
  </si>
  <si>
    <t>Gabriel Peñaloza</t>
  </si>
  <si>
    <t>Cr. 4 # 74-53</t>
  </si>
  <si>
    <t>Edf. Las Flores</t>
  </si>
  <si>
    <t>María Clara Sayer</t>
  </si>
  <si>
    <t>Cr. 7 # 84 D-37</t>
  </si>
  <si>
    <t>Edf. El Retiro</t>
  </si>
  <si>
    <t>Jessica Kehayias</t>
  </si>
  <si>
    <t>Cl. 56 B # 46-39</t>
  </si>
  <si>
    <t>Liliana Cruz</t>
  </si>
  <si>
    <t>Cr. 7 A # 84 C-66</t>
  </si>
  <si>
    <t>Torre A Edf. 8/85</t>
  </si>
  <si>
    <t>César Aponte</t>
  </si>
  <si>
    <t>Cl. 118 # 14 A-35</t>
  </si>
  <si>
    <t>Tr. 16 etapa 1 Granada Norte</t>
  </si>
  <si>
    <t>Carolina Llanos</t>
  </si>
  <si>
    <t>Cl. 167 # 51-40</t>
  </si>
  <si>
    <t>Edf. Ferrara Modelo Norte</t>
  </si>
  <si>
    <t>Catalina Hernández Bernal</t>
  </si>
  <si>
    <t>Cl. 94 A # 21-13</t>
  </si>
  <si>
    <t>Andrea Peñuela Perdomo</t>
  </si>
  <si>
    <t>Cl. 67 A # 50 B-12</t>
  </si>
  <si>
    <t>Tr. 6 Conj. Cascada</t>
  </si>
  <si>
    <t>Manuela Miranda</t>
  </si>
  <si>
    <t>Cr. 26 #39 A-26</t>
  </si>
  <si>
    <t>MarianaAndrea Sabogal García</t>
  </si>
  <si>
    <t>Cr. 15 # 76-18</t>
  </si>
  <si>
    <t>Tr. 8 Pq. Central Colina 2</t>
  </si>
  <si>
    <t>María Camila Vélez Vélez</t>
  </si>
  <si>
    <t>Cr. 14 # 127 B-75</t>
  </si>
  <si>
    <t>Int. 4 Prados de Suba</t>
  </si>
  <si>
    <t>Diana Del Pilar Ramírez</t>
  </si>
  <si>
    <t>Cl.147 # 94-17</t>
  </si>
  <si>
    <t>Alexandra Jiménez</t>
  </si>
  <si>
    <t>Crr 57 # 59 - 22</t>
  </si>
  <si>
    <t>Barrio Quirinal</t>
  </si>
  <si>
    <t>Luz Dary Rojas Rodríguez</t>
  </si>
  <si>
    <t>Cll 165 # 52 - 54</t>
  </si>
  <si>
    <t>Conjunto Albacete</t>
  </si>
  <si>
    <t>Paola Giraldo Rincón</t>
  </si>
  <si>
    <t>CL 147 # 9-60</t>
  </si>
  <si>
    <t>Edificio Murano</t>
  </si>
  <si>
    <t>Natalia González Maldonado</t>
  </si>
  <si>
    <t>Cr. 68 D # 99-57</t>
  </si>
  <si>
    <t>Nicolás de Federemán</t>
  </si>
  <si>
    <t>Angela Lucía Rojas Mojica</t>
  </si>
  <si>
    <t>Cl. 114 A # 58-65</t>
  </si>
  <si>
    <t>Edf. Araucaria V</t>
  </si>
  <si>
    <t>Isabella Muñóz</t>
  </si>
  <si>
    <t>Cl. 67 # 8-32</t>
  </si>
  <si>
    <t>Piso 4</t>
  </si>
  <si>
    <t>Valentina Franco Cortés</t>
  </si>
  <si>
    <t>Cl. 110 # 15-36</t>
  </si>
  <si>
    <t>Edf. Nogal Reservado</t>
  </si>
  <si>
    <t>Patricia Pérez</t>
  </si>
  <si>
    <t>Cr. 58 # 152-70</t>
  </si>
  <si>
    <t>Ana Lucía Madrid</t>
  </si>
  <si>
    <t>Cr. 8 # 75-39</t>
  </si>
  <si>
    <t>Modelia</t>
  </si>
  <si>
    <t>Claudia M. Riveros Cubillos</t>
  </si>
  <si>
    <t>Cl. 97 # 70-90</t>
  </si>
  <si>
    <t>Tr. 2 Aitana del Salitre</t>
  </si>
  <si>
    <t>Rocío Carvajal</t>
  </si>
  <si>
    <t>Av. Cl. 57 R #73 I-35 SUR</t>
  </si>
  <si>
    <t>Edf. FRONTIER</t>
  </si>
  <si>
    <t>Luisa Fernanda Romero Mantilla</t>
  </si>
  <si>
    <t>Cr. 18 # 93 A- 57</t>
  </si>
  <si>
    <t>Felipe Cárdenas Sanabria</t>
  </si>
  <si>
    <t>Cl. 33 # 6-37</t>
  </si>
  <si>
    <t>Adriana Carolina Torres Bastidas</t>
  </si>
  <si>
    <t>Cl. 138 # 58 D-79</t>
  </si>
  <si>
    <t>Int. 3 Prados de la Colina 2</t>
  </si>
  <si>
    <t>Paulina Ceballos de Calero</t>
  </si>
  <si>
    <t>Edf. 145 Park</t>
  </si>
  <si>
    <t>Martha Patricia Gordillo Chacón</t>
  </si>
  <si>
    <t>Cr. 59 A # 134-15</t>
  </si>
  <si>
    <t>Juanita Martínez Lega</t>
  </si>
  <si>
    <t>Cl. 94 # 11 A-26</t>
  </si>
  <si>
    <t>Edf. Tessello</t>
  </si>
  <si>
    <t>Lucía Vargas Cortés</t>
  </si>
  <si>
    <t>Cl. 96 # 19 A-45</t>
  </si>
  <si>
    <t>Diana Marcela Acosta Clavijo</t>
  </si>
  <si>
    <t>Nohora Janneth Gutiérrez Millán</t>
  </si>
  <si>
    <t>Cl. 152 A # 54-80</t>
  </si>
  <si>
    <t>Cr. 10 # 91-27</t>
  </si>
  <si>
    <t>Bodega- Gimnasio</t>
  </si>
  <si>
    <t>Annie Fontecha Salinas</t>
  </si>
  <si>
    <t>Cr. 25 # 45 C-53</t>
  </si>
  <si>
    <t>Terrazas del Bosque Bosque de pinos</t>
  </si>
  <si>
    <t>Galerías</t>
  </si>
  <si>
    <t>Paola Bocanegra Pérez</t>
  </si>
  <si>
    <t>Cr. 17 # 51-26</t>
  </si>
  <si>
    <t>Edf. Zayval 3</t>
  </si>
  <si>
    <t>María Clara Rosillo Rojas</t>
  </si>
  <si>
    <t>Cr. 6 A # 149-58</t>
  </si>
  <si>
    <t>Sobre la Avenida</t>
  </si>
  <si>
    <t>Mariana Flórez Flórez</t>
  </si>
  <si>
    <t>Cl. 146 A # 49 A-52</t>
  </si>
  <si>
    <t>Piedad Prieto Amaya</t>
  </si>
  <si>
    <t>Cl. 152 # 48-04</t>
  </si>
  <si>
    <t>Trv. 19 A #97-15</t>
  </si>
  <si>
    <t>Paula Sanmiguel</t>
  </si>
  <si>
    <t>Cl. 113 # 1-30</t>
  </si>
  <si>
    <t>Claudia Delgado Yermanos</t>
  </si>
  <si>
    <t xml:space="preserve">Cra 7a#124-29  </t>
  </si>
  <si>
    <t>Silvia Lucía Pérez Lizarazo</t>
  </si>
  <si>
    <t>Cl. 147 # 11-10</t>
  </si>
  <si>
    <t>Catalina Tinoco Muñóz</t>
  </si>
  <si>
    <t>Cl. 168 # 65-67</t>
  </si>
  <si>
    <t>Casa 22</t>
  </si>
  <si>
    <t>La Esmeralda</t>
  </si>
  <si>
    <t xml:space="preserve">Angélica María García </t>
  </si>
  <si>
    <t>Av. Cl. 116 # 55 C- 40</t>
  </si>
  <si>
    <t>Laura Cristína  Durán Miranda</t>
  </si>
  <si>
    <t>Cr. 46 # 20 B-99</t>
  </si>
  <si>
    <t>Cr. 54 # 44 B-07</t>
  </si>
  <si>
    <t>Juanita Bernal González</t>
  </si>
  <si>
    <t>Cr. 54 C # 143-90</t>
  </si>
  <si>
    <t>Bl. 4 Quintanilla de la sierra</t>
  </si>
  <si>
    <t>Carolina Castillo Salazar</t>
  </si>
  <si>
    <t>Cl. 56 #  6-31</t>
  </si>
  <si>
    <t>banco BBVA</t>
  </si>
  <si>
    <t>Luna Gabriela Segura Restrepo</t>
  </si>
  <si>
    <t>Cr. 67 # 106-60</t>
  </si>
  <si>
    <t>Leidy Paola Camacho Sánchez</t>
  </si>
  <si>
    <t>Cr. 10 # 27-91</t>
  </si>
  <si>
    <t xml:space="preserve">Piso 1 </t>
  </si>
  <si>
    <t>Conj. Catleya San José De Bavaria</t>
  </si>
  <si>
    <t>Sandra Bermúdez Martínez</t>
  </si>
  <si>
    <t>Trv. 53 A # 137 A-14</t>
  </si>
  <si>
    <t>Nidia María Herrera Moreno</t>
  </si>
  <si>
    <t>Cr. 67 # 175-85</t>
  </si>
  <si>
    <t>Juliana Aguilar Restrepo</t>
  </si>
  <si>
    <t>Cr. 19 A # 135-11</t>
  </si>
  <si>
    <t>Tr.3</t>
  </si>
  <si>
    <t xml:space="preserve">Lina María Guzmán Cartagena </t>
  </si>
  <si>
    <t>Cl. 105 # 21-57</t>
  </si>
  <si>
    <t>Gran América</t>
  </si>
  <si>
    <t>Mercedes Martínez</t>
  </si>
  <si>
    <t>Cl. 64 A # 57-23</t>
  </si>
  <si>
    <t>TR. 3 Portales Del Country</t>
  </si>
  <si>
    <t>Catalina Sarmiento</t>
  </si>
  <si>
    <t>Cl. 25 # 30-50</t>
  </si>
  <si>
    <t>Sara Luján</t>
  </si>
  <si>
    <t>Cr. 10 # 128-70</t>
  </si>
  <si>
    <t>Edf. Trieste</t>
  </si>
  <si>
    <t>Carolina Campos C.</t>
  </si>
  <si>
    <t>Cr. 10 # 117 A-69</t>
  </si>
  <si>
    <t>Cl 179 cr 7-65</t>
  </si>
  <si>
    <t>modulo 6 local 34</t>
  </si>
  <si>
    <t>Liliana Martínez Cano</t>
  </si>
  <si>
    <t>Cl. 145 # 7-31</t>
  </si>
  <si>
    <t>PH6</t>
  </si>
  <si>
    <t>Edf. Aticos de la 47</t>
  </si>
  <si>
    <t>Lorena Pernía Contreras</t>
  </si>
  <si>
    <t>Cl. 159 # 07-74</t>
  </si>
  <si>
    <t>Carmen Lucía González</t>
  </si>
  <si>
    <t>Cr. 7 # 47-29</t>
  </si>
  <si>
    <t>Edf. El Mirador</t>
  </si>
  <si>
    <t>Susana Cure Uribe</t>
  </si>
  <si>
    <t>Cl. 72  # 2 A-74</t>
  </si>
  <si>
    <t>Beatríz Sáenz Gómez</t>
  </si>
  <si>
    <t>Cr. 18 A # 112-16</t>
  </si>
  <si>
    <t>Edf. Colina 129</t>
  </si>
  <si>
    <t>Angélica María Vargas Romero</t>
  </si>
  <si>
    <t>Trv. 59 # 104 B-41</t>
  </si>
  <si>
    <t>ONIC</t>
  </si>
  <si>
    <t>Gladys Fernández Valbuena</t>
  </si>
  <si>
    <t>Cl. 12 B # 4-38</t>
  </si>
  <si>
    <t>Edf. Cova De Iria 2</t>
  </si>
  <si>
    <t>María Camila Osorio Bolaños</t>
  </si>
  <si>
    <t>Cr. 7 B # 138-65</t>
  </si>
  <si>
    <t>Carolina Niño Gómez</t>
  </si>
  <si>
    <t>Cr. 18 # 122-98</t>
  </si>
  <si>
    <t>Carolina Zamudio Lascarro</t>
  </si>
  <si>
    <t>TRV. 21 # 95-63</t>
  </si>
  <si>
    <t>Juana Carvajalino Galofre</t>
  </si>
  <si>
    <t>Cr. 15 # 127 B-33</t>
  </si>
  <si>
    <t>santa Bárbara</t>
  </si>
  <si>
    <t>Catalina Gómez Orejuela</t>
  </si>
  <si>
    <t>Cl. 134 # 11-48</t>
  </si>
  <si>
    <t>Tarragona Modelia</t>
  </si>
  <si>
    <t>Country Club</t>
  </si>
  <si>
    <t>Angélica Ríos R</t>
  </si>
  <si>
    <t>Cr. 12 # 118-44</t>
  </si>
  <si>
    <t>Tr. A Portal de la Javeriana</t>
  </si>
  <si>
    <t>Diana Zapata</t>
  </si>
  <si>
    <t>Cl. 25 B # 72 A-49</t>
  </si>
  <si>
    <t>Santa Cecilia Modelia</t>
  </si>
  <si>
    <t>Fallon Guevara</t>
  </si>
  <si>
    <t>Cr. 46 # 22 A-59</t>
  </si>
  <si>
    <t>Edf. Mónaco II</t>
  </si>
  <si>
    <t>Bibiana Rocha Merchán</t>
  </si>
  <si>
    <t>Cl. 151 # 13 A- 50</t>
  </si>
  <si>
    <t>1301-5</t>
  </si>
  <si>
    <t>Anny Moreno</t>
  </si>
  <si>
    <t>Cl. 22 A Bis 43-09</t>
  </si>
  <si>
    <t>Bl. 1 Polo Club</t>
  </si>
  <si>
    <t>Anamaría Leaño Bermúdez</t>
  </si>
  <si>
    <t>Crr 22 # 120 - 12</t>
  </si>
  <si>
    <t>Lucy Lascarro Ortega</t>
  </si>
  <si>
    <t>Av. Cr. 20  (Autonorte) # 83 A-25</t>
  </si>
  <si>
    <t>Edf. Monet 109</t>
  </si>
  <si>
    <t>Carolina Herrera</t>
  </si>
  <si>
    <t>Av. 32 # 13-52</t>
  </si>
  <si>
    <t>Alc. Local Puente Aranda</t>
  </si>
  <si>
    <t>Ibeth Eliana Nieto Quintero</t>
  </si>
  <si>
    <t>Cr. 19 A # 122-30</t>
  </si>
  <si>
    <t>Sebastián Rentería</t>
  </si>
  <si>
    <t>Cr. 31 D # 4-05</t>
  </si>
  <si>
    <t>Edf. El Nogal</t>
  </si>
  <si>
    <t>María Alejandra Pérez Huertas</t>
  </si>
  <si>
    <t>Cr. 86 # 13 B-80</t>
  </si>
  <si>
    <t>María Ximena García</t>
  </si>
  <si>
    <t>Cl. 111 #14-16</t>
  </si>
  <si>
    <t>Tr. 2 Conj. Navarra</t>
  </si>
  <si>
    <t>Victoria Posso Tamayo</t>
  </si>
  <si>
    <t>Adriana Pedraza Rojas</t>
  </si>
  <si>
    <t>Cl. 118 # 15 A-09</t>
  </si>
  <si>
    <t>Tr. 3 Conj. La Plazuela</t>
  </si>
  <si>
    <t>Paula Figueredo Bernal</t>
  </si>
  <si>
    <t>Cl. 26 # 70-46</t>
  </si>
  <si>
    <t>Gisela Leguízamo Cárdenas</t>
  </si>
  <si>
    <t>Cl. 77 B # 129 - 11</t>
  </si>
  <si>
    <t>Sandra Milena Sánchez Ruíz</t>
  </si>
  <si>
    <t>Cr. 13 # 142-71</t>
  </si>
  <si>
    <t>Cr. 21 # 103-51 303</t>
  </si>
  <si>
    <t>Claudia Moreno</t>
  </si>
  <si>
    <t>Edf. Nogales de Navarra</t>
  </si>
  <si>
    <t>Enrique Mejía</t>
  </si>
  <si>
    <t>Cl. 79 # 8-21</t>
  </si>
  <si>
    <t>Bl. 8 Pq. Central Colina 2</t>
  </si>
  <si>
    <t>Pamela Támara Ossa</t>
  </si>
  <si>
    <t>Cl. 124 # 20-33</t>
  </si>
  <si>
    <t xml:space="preserve">Edf. Vista Park </t>
  </si>
  <si>
    <t>Paola Pérez Novoa</t>
  </si>
  <si>
    <t>Cl. 159 # 56-75</t>
  </si>
  <si>
    <t>Daniela Alejandra Rodríguez Castro</t>
  </si>
  <si>
    <t>Cl. 148 # 7 G-47</t>
  </si>
  <si>
    <t>Tr. 4 Retiro de Sta. Mónica</t>
  </si>
  <si>
    <t>Angie Vanessa Pérez Martínez</t>
  </si>
  <si>
    <t>Cr. 52 # 106-84</t>
  </si>
  <si>
    <t>Edf. Sears Galerías</t>
  </si>
  <si>
    <t>Nataly Muñóz Morales</t>
  </si>
  <si>
    <t>Cl. 52 # 27 A-09</t>
  </si>
  <si>
    <t>Tr.5 Conj. Los Abedules</t>
  </si>
  <si>
    <t>Diana Caro</t>
  </si>
  <si>
    <t>Dg. 89 A # 115-50</t>
  </si>
  <si>
    <t>Edf. Capri</t>
  </si>
  <si>
    <t>El Cortijo</t>
  </si>
  <si>
    <t>Eliserio Niño Lara</t>
  </si>
  <si>
    <t>Cl. 104 # 15-76</t>
  </si>
  <si>
    <t>Laura Garrido Gómez</t>
  </si>
  <si>
    <t>Cr. 17 # 145-15</t>
  </si>
  <si>
    <t>Edf. Capri 148</t>
  </si>
  <si>
    <t>Sara Lucía Rodríguez Santamaría</t>
  </si>
  <si>
    <t>Dg. 46 # 20-63</t>
  </si>
  <si>
    <t>Jenny Viviana Badillo Aguirre</t>
  </si>
  <si>
    <t>Cr. 13 A # 148-71</t>
  </si>
  <si>
    <t>Cedritos</t>
  </si>
  <si>
    <t>Astrid Abadía</t>
  </si>
  <si>
    <t>Cr. 11 A # 112-76</t>
  </si>
  <si>
    <t>Luisa Rodríguez</t>
  </si>
  <si>
    <t>Cl. 100 # 64- 51</t>
  </si>
  <si>
    <t>Paola Molano Ayala</t>
  </si>
  <si>
    <t>Dg. 40 A # 8-38</t>
  </si>
  <si>
    <t>Olga Ramos de Mejía</t>
  </si>
  <si>
    <t>Cl. 79 B # 69 T-98</t>
  </si>
  <si>
    <t>Diana Carolina González Velandia</t>
  </si>
  <si>
    <t>Cr.50 # 128-25</t>
  </si>
  <si>
    <t>Valter Alves</t>
  </si>
  <si>
    <t>Edf. Villamaría</t>
  </si>
  <si>
    <t>Carolina Sainea</t>
  </si>
  <si>
    <t>Constanza Rueda Riaño</t>
  </si>
  <si>
    <t>TR. 2 Edf. Bacatá Portal</t>
  </si>
  <si>
    <t>Laura Alejandra Moreno Molina</t>
  </si>
  <si>
    <t>Cl. 128 B # 58 A-20</t>
  </si>
  <si>
    <t>Edf. Bosque 54 II</t>
  </si>
  <si>
    <t>Jesse Jones Cortés</t>
  </si>
  <si>
    <t>Cr. 4 A # 54-32</t>
  </si>
  <si>
    <t>Tr. Vilanova II</t>
  </si>
  <si>
    <t>María Del Pilar Rodríguez Mejía</t>
  </si>
  <si>
    <t>Cl. 145 # 13 A-02</t>
  </si>
  <si>
    <t>Hugo Fernando López Moreno</t>
  </si>
  <si>
    <t>Cl. 15 Sur # 24 G-31</t>
  </si>
  <si>
    <t>Restrepo Occidental</t>
  </si>
  <si>
    <t>Daniela Torres Ramos</t>
  </si>
  <si>
    <t>Cl. 119 # 9 C-32</t>
  </si>
  <si>
    <t>Angélica Lozano Torrado</t>
  </si>
  <si>
    <t>Cr. 36 A # 62-26</t>
  </si>
  <si>
    <t xml:space="preserve"> Edf. Natua Tr. 1</t>
  </si>
  <si>
    <t>María Andrea Alvarado Camero</t>
  </si>
  <si>
    <t>Cr. 17 # 104-54</t>
  </si>
  <si>
    <t>Carolina Quiroga Castañeda</t>
  </si>
  <si>
    <t>Cl. 59 # 7-55</t>
  </si>
  <si>
    <t>Edf. Milenio</t>
  </si>
  <si>
    <t>Lyllian Pérez</t>
  </si>
  <si>
    <t>Lilia Susana León Téllez</t>
  </si>
  <si>
    <t>Cl. 55 # 6-17</t>
  </si>
  <si>
    <t>Claudia Marcela López González</t>
  </si>
  <si>
    <t>Cr. 46 # 145 B-46</t>
  </si>
  <si>
    <t>Nazurén 8</t>
  </si>
  <si>
    <t>Katherine Escobar Castillo</t>
  </si>
  <si>
    <t>Cr. 87 # 17-35</t>
  </si>
  <si>
    <t>Olga Lucía Porras Rodríguez</t>
  </si>
  <si>
    <t>Cl. 152 # 54- 50</t>
  </si>
  <si>
    <t>Casa 35</t>
  </si>
  <si>
    <t>Sandra Jaramillo</t>
  </si>
  <si>
    <t>Sandra Álvarez Quinche</t>
  </si>
  <si>
    <t>Cl. 25 B # 71-80</t>
  </si>
  <si>
    <t>Diana Cuestas</t>
  </si>
  <si>
    <t>Cr. 4 A # 26 B-77</t>
  </si>
  <si>
    <t>Edf. Colina Park</t>
  </si>
  <si>
    <t>Tatiana Zamora Franco</t>
  </si>
  <si>
    <t>Cl. 148 # 56 A-93</t>
  </si>
  <si>
    <t>Colina Campestre</t>
  </si>
  <si>
    <t>Kattia Morales Montero</t>
  </si>
  <si>
    <t>Cr. 14 B #106-45</t>
  </si>
  <si>
    <t>Edf. Inhaus Apartamentos</t>
  </si>
  <si>
    <t>Jenny Rodríguez Cáceres</t>
  </si>
  <si>
    <t>Cr. 9 # 96-62</t>
  </si>
  <si>
    <t>Edf. Pinos</t>
  </si>
  <si>
    <t>Celeny Quintana</t>
  </si>
  <si>
    <t>Cir. Suboficiales Fuerzas Militares</t>
  </si>
  <si>
    <t>Cristina Pearson Montaña</t>
  </si>
  <si>
    <t>Trv. 1 # 84 A-29 = Cr. 2 Este # 84C-29</t>
  </si>
  <si>
    <t>Edf. Plura</t>
  </si>
  <si>
    <t>Claudia Marcela Moreno Larrotta</t>
  </si>
  <si>
    <t>Cl. 138 # 56-38</t>
  </si>
  <si>
    <t>Claudia Mora</t>
  </si>
  <si>
    <t>Cl. 191 A # 11 A-25</t>
  </si>
  <si>
    <t>Nona Montealegre Salgado</t>
  </si>
  <si>
    <t>Cl. 127 C Bis # 6-46</t>
  </si>
  <si>
    <t>María Ximena Castro</t>
  </si>
  <si>
    <t>Cr. 14 # 106 A-27</t>
  </si>
  <si>
    <t>Samuel Olarte</t>
  </si>
  <si>
    <t>Cl. 104 A # 11 B-45</t>
  </si>
  <si>
    <t>Edf. Origami</t>
  </si>
  <si>
    <t>Silvia Camargo Abello</t>
  </si>
  <si>
    <t>Cl. 112 # 1-16</t>
  </si>
  <si>
    <t>Barrio Corkidi</t>
  </si>
  <si>
    <t>Juan Miguel Gómez Jinete</t>
  </si>
  <si>
    <t>Cr. 7 A # 146-46</t>
  </si>
  <si>
    <t>María Guillermina Anell</t>
  </si>
  <si>
    <t>Diana Parra</t>
  </si>
  <si>
    <t>Luz Angela Sánchez</t>
  </si>
  <si>
    <t>Edf. Studio Class</t>
  </si>
  <si>
    <t>Edf. Alcalá</t>
  </si>
  <si>
    <t>Manuela Arango Cuartas</t>
  </si>
  <si>
    <t>Cl. 46 # 3-35</t>
  </si>
  <si>
    <t>Daniela Escobar Llanos</t>
  </si>
  <si>
    <t>Cr. 7 B Bis # 123-55</t>
  </si>
  <si>
    <t>Edf. El Carvajal</t>
  </si>
  <si>
    <t>Viviana Berrío Meneses</t>
  </si>
  <si>
    <t>Cl. 145 #13-48</t>
  </si>
  <si>
    <t xml:space="preserve">Bl. 4 </t>
  </si>
  <si>
    <t>Natalia Andrea Sánchez Pérez</t>
  </si>
  <si>
    <t>Cl. 63 B # 71 C-45</t>
  </si>
  <si>
    <t>Edf. Gardens</t>
  </si>
  <si>
    <t>Ceylan Sener</t>
  </si>
  <si>
    <t>Cr. 19 # 82-42</t>
  </si>
  <si>
    <t>Paola Lara Acuña</t>
  </si>
  <si>
    <t>Cl. 39 A # 18 A- 08</t>
  </si>
  <si>
    <t>Teusaquillo</t>
  </si>
  <si>
    <t>Cr. 12 # 101-29</t>
  </si>
  <si>
    <t>Mariela Quintero Gómez</t>
  </si>
  <si>
    <t>Cr. 10 A # 120-49</t>
  </si>
  <si>
    <t>Alicia Rueda De Valenzuela</t>
  </si>
  <si>
    <t>Cl. 110 # 7 C-15</t>
  </si>
  <si>
    <t>David Granada Donato</t>
  </si>
  <si>
    <t>Cr. 46 # 123-86</t>
  </si>
  <si>
    <t>Edf. Essena Park</t>
  </si>
  <si>
    <t>María Paula Bohórquez</t>
  </si>
  <si>
    <t>Cl. 158 # 95-40</t>
  </si>
  <si>
    <t>Edf. iIndependencia</t>
  </si>
  <si>
    <t>Francisco González</t>
  </si>
  <si>
    <t>Cr. 4 A # 26 A-91</t>
  </si>
  <si>
    <t>Centro Santa Fé</t>
  </si>
  <si>
    <t>Bosque Izquierdo</t>
  </si>
  <si>
    <t>Juan Sebastián Fernández Gómez</t>
  </si>
  <si>
    <t>Cl. 136 # 20-05</t>
  </si>
  <si>
    <t>Paola Mora</t>
  </si>
  <si>
    <t>Cr. 18 # 22-17</t>
  </si>
  <si>
    <t>Clara Sánchez Luna</t>
  </si>
  <si>
    <t>Cr. 7 # 127 C-86</t>
  </si>
  <si>
    <t>Clínica La Carolina</t>
  </si>
  <si>
    <t>Valentina Casasbuenas Lozano</t>
  </si>
  <si>
    <t>Cr. 4 # 68-12</t>
  </si>
  <si>
    <t>Carolina Isaza</t>
  </si>
  <si>
    <t>Tr. 1 Edf. Paseo Sta. Catalina</t>
  </si>
  <si>
    <t>María Constanza Díaz Medina</t>
  </si>
  <si>
    <t>Cl. 146 A # 58 B-22</t>
  </si>
  <si>
    <t>Laura Chávez</t>
  </si>
  <si>
    <t>Av. Cl. 53 # 47-50</t>
  </si>
  <si>
    <t>3-302</t>
  </si>
  <si>
    <t>Torres Del Mirador 53</t>
  </si>
  <si>
    <t>Eliana Serna Santamaría</t>
  </si>
  <si>
    <t>Cr. 33 # 28-27</t>
  </si>
  <si>
    <t>Inm. 96 Parques de Villa Anita</t>
  </si>
  <si>
    <t>Barrio Acevedo Tejada</t>
  </si>
  <si>
    <t>Diana Patricia Vásquez Narváez</t>
  </si>
  <si>
    <t>Cr.55 # 153-15</t>
  </si>
  <si>
    <t>Ciudad Jardin Sur</t>
  </si>
  <si>
    <t>Andrés Camilo Cortés Martínez</t>
  </si>
  <si>
    <t>Cl. 58 Q # 78-17 SUR</t>
  </si>
  <si>
    <t>Edf. Nueva Granada 2</t>
  </si>
  <si>
    <t>Bosa</t>
  </si>
  <si>
    <t>Angélica Buitrago Castro</t>
  </si>
  <si>
    <t>Cr. 11 B #  17-93 SUR</t>
  </si>
  <si>
    <t>Andrea Henao Lafaurie</t>
  </si>
  <si>
    <t>Trv. 2 #67-22</t>
  </si>
  <si>
    <t>Andrés Tello Ardila</t>
  </si>
  <si>
    <t>Cr. 14 B # 106-50</t>
  </si>
  <si>
    <t>Edf. Leoben</t>
  </si>
  <si>
    <t>Adriana M. González</t>
  </si>
  <si>
    <t>Cl. 93 A # 9 A-29</t>
  </si>
  <si>
    <t>Paula Andrea Namén</t>
  </si>
  <si>
    <t xml:space="preserve">Cr. 7 # 64--50 </t>
  </si>
  <si>
    <t xml:space="preserve">Tr. 2 Edf. Delta 5 </t>
  </si>
  <si>
    <t>Ricardo Arenas Hurtado</t>
  </si>
  <si>
    <t>Cl. 116 # 14-21</t>
  </si>
  <si>
    <t>Edf. Entreverde</t>
  </si>
  <si>
    <t>Blanca Velásquez Lopera</t>
  </si>
  <si>
    <t>Cl. 163 B # 50-92</t>
  </si>
  <si>
    <t>Wallis Urribarri</t>
  </si>
  <si>
    <t>Cll 146a # 58c - 56</t>
  </si>
  <si>
    <t>Ingrid Prieto Rangel</t>
  </si>
  <si>
    <t>Cl. 72 A Bis # 70-04</t>
  </si>
  <si>
    <t>Int. 7 Tr. 4 Torres de Sta. Bárbara</t>
  </si>
  <si>
    <t>Lola Castro</t>
  </si>
  <si>
    <t>Cr. 7 # 66-10</t>
  </si>
  <si>
    <t>Tr. 5 Conj. Alboraia</t>
  </si>
  <si>
    <t>Natalí Díaz</t>
  </si>
  <si>
    <t>Cr. 80 # 8-11</t>
  </si>
  <si>
    <t>Edf. Siena</t>
  </si>
  <si>
    <t>Paula Bajonero</t>
  </si>
  <si>
    <t>Cl. 23 C # 69 B-56</t>
  </si>
  <si>
    <t>Edf. Zagreb</t>
  </si>
  <si>
    <t>Ciudad Salitre</t>
  </si>
  <si>
    <t>Natalia Montoya Moreno</t>
  </si>
  <si>
    <t xml:space="preserve">Cr. 13 #113 -21 </t>
  </si>
  <si>
    <t>Alejandra Velásco Pardo</t>
  </si>
  <si>
    <t>Cr. 58 C # 134 A-51</t>
  </si>
  <si>
    <t>Edf. Mazara 107</t>
  </si>
  <si>
    <t>Daniela Colmenares Rodríguez</t>
  </si>
  <si>
    <t>Cr. 15 # 135-25</t>
  </si>
  <si>
    <t>Johana Zafra Soto</t>
  </si>
  <si>
    <t>Cr. 45 # 44-21</t>
  </si>
  <si>
    <t>Bl. 3 Conj. Pque Res. Timiza</t>
  </si>
  <si>
    <t>Daniela Encinales Jiménez</t>
  </si>
  <si>
    <t>Cr. 73 B # 42 A-08 SUR</t>
  </si>
  <si>
    <t>Timiza</t>
  </si>
  <si>
    <t>Mayra Silva García</t>
  </si>
  <si>
    <t>Cr. 97 # 158-46</t>
  </si>
  <si>
    <t>Tr. 3 Conj. Terravista</t>
  </si>
  <si>
    <t>Suba Salitre</t>
  </si>
  <si>
    <t>Andrés Sánchez Bustamante</t>
  </si>
  <si>
    <t>Cl. 104 # 17-37</t>
  </si>
  <si>
    <t>María Piedad Machado</t>
  </si>
  <si>
    <t>Cr. 7 # 75-98</t>
  </si>
  <si>
    <t>Juliana Chávez Bustamante</t>
  </si>
  <si>
    <t>Cr. 22 # 102-69</t>
  </si>
  <si>
    <t>Urbán salitre</t>
  </si>
  <si>
    <t>Martha Fernández X</t>
  </si>
  <si>
    <t xml:space="preserve">Cl. 128 # 9 -60 </t>
  </si>
  <si>
    <t>María Paula Castaño Castaño</t>
  </si>
  <si>
    <t>Cr. 66 # 19-72</t>
  </si>
  <si>
    <t>Fabiana Rodríguez Páez</t>
  </si>
  <si>
    <t xml:space="preserve">Cr. 14 B # 118-22 </t>
  </si>
  <si>
    <t>Santiago Tovar Fernández</t>
  </si>
  <si>
    <t>Cl. 138 # 10 A- 67</t>
  </si>
  <si>
    <t>Tr. 3 Sn. Rafael Aptos.</t>
  </si>
  <si>
    <t>María Claudia Vargas</t>
  </si>
  <si>
    <t>Cr. 16 A # 136- 52</t>
  </si>
  <si>
    <t>Sandra Hoyos Buvoli</t>
  </si>
  <si>
    <t>Cr. 11 #119-87</t>
  </si>
  <si>
    <t>Angie Otálora</t>
  </si>
  <si>
    <t>Cl. 131 # 58-35</t>
  </si>
  <si>
    <t>Edf. Toboso</t>
  </si>
  <si>
    <t>Marisol Carantón Agudelo</t>
  </si>
  <si>
    <t>Cr. 82 # 24 B-11</t>
  </si>
  <si>
    <t>Clara Lucía Núñez Rubio</t>
  </si>
  <si>
    <t xml:space="preserve">Cl. 5 SUR # 71D -84 </t>
  </si>
  <si>
    <t>Ofc. Piso 3</t>
  </si>
  <si>
    <t>Edf. Alicante</t>
  </si>
  <si>
    <t>Isidro Guerrero</t>
  </si>
  <si>
    <t>Cl. 133 A # 103 C-36</t>
  </si>
  <si>
    <t>Tr. 2 Pq. De La Floresta 3</t>
  </si>
  <si>
    <t>Clara Inés Pérez Ordóñez</t>
  </si>
  <si>
    <t>Cr. 68 B # 96-70</t>
  </si>
  <si>
    <t>Claudia Hoshino</t>
  </si>
  <si>
    <t>Cr. 4 # 87-93</t>
  </si>
  <si>
    <t>Natalia Rubio Herrera</t>
  </si>
  <si>
    <t>Cr. 19 # 85-38</t>
  </si>
  <si>
    <t>Edf. Portugal V El Contador</t>
  </si>
  <si>
    <t>Antiguo Country</t>
  </si>
  <si>
    <t>Natalia Rodríguez Triana</t>
  </si>
  <si>
    <t>Cl. 114 #11 A-25</t>
  </si>
  <si>
    <t>Edf. Panorama</t>
  </si>
  <si>
    <t>Sivia María Gómez</t>
  </si>
  <si>
    <t>Pq. Central Bavaria</t>
  </si>
  <si>
    <t>Virginia Rojas</t>
  </si>
  <si>
    <t>Cl. 106 # 13-28</t>
  </si>
  <si>
    <t>Cr. 10 # 134 B-74</t>
  </si>
  <si>
    <t>Tr.1 Conj. Támesis 175</t>
  </si>
  <si>
    <t>Angela Téllez Escobar</t>
  </si>
  <si>
    <t>Cr. 19 A # 173-70</t>
  </si>
  <si>
    <t>La uribe</t>
  </si>
  <si>
    <t>Alix Campillo</t>
  </si>
  <si>
    <t>Cr. 19 A # 114 A-32</t>
  </si>
  <si>
    <t>Edf. Belmira Del Country</t>
  </si>
  <si>
    <t>Laura Orjuela O</t>
  </si>
  <si>
    <t>Cr. 7 C #138-19</t>
  </si>
  <si>
    <t>María Angélica Ortega Franco</t>
  </si>
  <si>
    <t>Cr. 21 # 127 D-79</t>
  </si>
  <si>
    <t>Edf. Lineato</t>
  </si>
  <si>
    <t>La Calleja</t>
  </si>
  <si>
    <t>Olga Pinzón</t>
  </si>
  <si>
    <t>Cr. 72 #67-75</t>
  </si>
  <si>
    <t>Edf. Chicó lounge</t>
  </si>
  <si>
    <t>Rosalba Angarita Rodríguez</t>
  </si>
  <si>
    <t>Cl. 112 # 17-77</t>
  </si>
  <si>
    <t>Tr. 2 Conj. La sierra</t>
  </si>
  <si>
    <t>Paula Bermúdez N.</t>
  </si>
  <si>
    <t>Cl. 91 A # 19-21</t>
  </si>
  <si>
    <t>Sandra Garay Garay</t>
  </si>
  <si>
    <t>Cr. 11 # 93 B-31</t>
  </si>
  <si>
    <t>Tr. 3 Conj. Res. Tenerife Alejandría</t>
  </si>
  <si>
    <t>Andrea Peña Piza</t>
  </si>
  <si>
    <t>Cr. 54 A # 167 A-41</t>
  </si>
  <si>
    <t>Torre Central</t>
  </si>
  <si>
    <t>Natay González Real</t>
  </si>
  <si>
    <t>Christie De La Torre Martínez</t>
  </si>
  <si>
    <t>Cr. 7 A # 94-29</t>
  </si>
  <si>
    <t>Paola Galindo</t>
  </si>
  <si>
    <t>Cr.13 # 123-10</t>
  </si>
  <si>
    <t>Ivonne Cáqueza Cifuentes</t>
  </si>
  <si>
    <t>Cl. 146 # 12-72</t>
  </si>
  <si>
    <t>Tr. 4 Mirandela 5</t>
  </si>
  <si>
    <t>Luz Andrea Jiménez Muñóz</t>
  </si>
  <si>
    <t>Cl. 189 # 46- 56</t>
  </si>
  <si>
    <t>Carolina Rincón Ruiz</t>
  </si>
  <si>
    <t>Cl. 146 #7 B-90</t>
  </si>
  <si>
    <t>Tr. C Edf. 5 93</t>
  </si>
  <si>
    <t>Angela Holguín Restrepo</t>
  </si>
  <si>
    <t>Cr. 9 # 127 C-36</t>
  </si>
  <si>
    <t>Adriana Covelo</t>
  </si>
  <si>
    <t>Cl. 93 # 5-25</t>
  </si>
  <si>
    <t>Tr.3 Con. Plazuela de Toscana</t>
  </si>
  <si>
    <t>Dairenis Chirinos Pérez</t>
  </si>
  <si>
    <t>Cl. 53 # 4 A-69</t>
  </si>
  <si>
    <t>Int. 13 Conj. Rincón de la Cofradía</t>
  </si>
  <si>
    <t>María Carolina Morales y/o Gabriela Vargas</t>
  </si>
  <si>
    <t>Av. Cl. 26 # 92-32</t>
  </si>
  <si>
    <t>Edf. Gold 5-4</t>
  </si>
  <si>
    <t>Erika Polo</t>
  </si>
  <si>
    <t>Dg.23 K # 96 G-50</t>
  </si>
  <si>
    <t>Tatiana Llorente Altamar</t>
  </si>
  <si>
    <t>Cl. 64 C # 68 B-99</t>
  </si>
  <si>
    <t>Edf. Navarra</t>
  </si>
  <si>
    <t>Ana María Quintero Medina</t>
  </si>
  <si>
    <t>B 301</t>
  </si>
  <si>
    <t>María Mónica Faciolince Gómez</t>
  </si>
  <si>
    <t>Cr. 21 # 108 A- 10</t>
  </si>
  <si>
    <t>Edf. Andorra</t>
  </si>
  <si>
    <t>Rosemy Chaparro X</t>
  </si>
  <si>
    <t>Cr. 68 B # 24 A-64</t>
  </si>
  <si>
    <t>Edf. Terrazas del Bosque</t>
  </si>
  <si>
    <t>Vincent Iratcabal</t>
  </si>
  <si>
    <t>Cl. 95 # 17-37</t>
  </si>
  <si>
    <t>Campania 4</t>
  </si>
  <si>
    <t>Laura Margarita Forero Borda</t>
  </si>
  <si>
    <t>Cl. 134 # 05 A 80</t>
  </si>
  <si>
    <t>Adriana Milena Vanegas Rodríguez</t>
  </si>
  <si>
    <t>Cr. 8 # 127 A-01</t>
  </si>
  <si>
    <t>Edf. Leck 93</t>
  </si>
  <si>
    <t>Gabriela Riveros González</t>
  </si>
  <si>
    <t>Av. Cl. 127 # 58-45</t>
  </si>
  <si>
    <t>Niza</t>
  </si>
  <si>
    <t>Diana Forestieri</t>
  </si>
  <si>
    <t>Cr. 7 C #130 A-21</t>
  </si>
  <si>
    <t>Edf. Altos de Belmira</t>
  </si>
  <si>
    <t>Cr. 19 A # 90-19</t>
  </si>
  <si>
    <t>Tr.4 Conj. Parque de Cádiz</t>
  </si>
  <si>
    <t>Sandra Heredia Tamayo</t>
  </si>
  <si>
    <t>Cr. 7 C # 138-60</t>
  </si>
  <si>
    <t>401 A</t>
  </si>
  <si>
    <t>Esperanza Ruiz Paredes</t>
  </si>
  <si>
    <t>Cr. 57 # 22 A-41</t>
  </si>
  <si>
    <t>Edf. Portal del Chicó</t>
  </si>
  <si>
    <t>Salitre sector 2</t>
  </si>
  <si>
    <t>Ingrid Arias Rodríguez</t>
  </si>
  <si>
    <t>Andrea Carolina Cajiao Delgado</t>
  </si>
  <si>
    <t>Trv. 17 A # 98-20</t>
  </si>
  <si>
    <t>Chicó</t>
  </si>
  <si>
    <t>Bertha Moreno</t>
  </si>
  <si>
    <t>Cl. 23 # 72 A-91</t>
  </si>
  <si>
    <t>Edf. Chicó Loft 97</t>
  </si>
  <si>
    <t>Luz María Mercado Bernal</t>
  </si>
  <si>
    <t>Cr. 13 A # 91-44</t>
  </si>
  <si>
    <t>Und. 10 Entrerios</t>
  </si>
  <si>
    <t>Luz Stella Gómez</t>
  </si>
  <si>
    <t>Cl. 97 # 19 A-30</t>
  </si>
  <si>
    <t>Diana Margarita Estrada</t>
  </si>
  <si>
    <t>Cr. 58 # 80-75</t>
  </si>
  <si>
    <t>Tr. 4 Clu Resid. Accanto</t>
  </si>
  <si>
    <t>Vanessa Carrillo Pacheco</t>
  </si>
  <si>
    <t>Cl. 137 A # 58-70</t>
  </si>
  <si>
    <t>Lizeth Fernández Bermúdez</t>
  </si>
  <si>
    <t>Ed. Ankara 138</t>
  </si>
  <si>
    <t>Mayerly Villamarín Hincapié</t>
  </si>
  <si>
    <t>Cl. 9 C Bis # 68 G-85</t>
  </si>
  <si>
    <t>Ana María Ferro Delgado</t>
  </si>
  <si>
    <t>Cl. 138 # 19-49</t>
  </si>
  <si>
    <t>Tr. 10 Pq. Central colina I</t>
  </si>
  <si>
    <t>Paola Angulo Ramírez</t>
  </si>
  <si>
    <t>Cr. 56 # 153-84</t>
  </si>
  <si>
    <t>Lorena García Galindo</t>
  </si>
  <si>
    <t>Cr. 21 # 137-78</t>
  </si>
  <si>
    <t>Andrea Caycedo Barrera</t>
  </si>
  <si>
    <t>Cr. 10 # 94 A-07</t>
  </si>
  <si>
    <t>Julián David González Ahumada</t>
  </si>
  <si>
    <t>Cl 65 # 51-22</t>
  </si>
  <si>
    <t>Wanda Ferrer</t>
  </si>
  <si>
    <t>Cr. 77 T #56-04 SUR</t>
  </si>
  <si>
    <t>Mirador del Parque 1</t>
  </si>
  <si>
    <t>María Fernanda Rincón Rativatt</t>
  </si>
  <si>
    <t>Cl. 27 B #35 A-26</t>
  </si>
  <si>
    <t>Barrio Gilmar</t>
  </si>
  <si>
    <t>Los Sauces</t>
  </si>
  <si>
    <t>Aura Gómez</t>
  </si>
  <si>
    <t>Francy Milena Duque</t>
  </si>
  <si>
    <t>Av. Cl. 3 # 25 A-82</t>
  </si>
  <si>
    <t>b</t>
  </si>
  <si>
    <t>Santa Isabel</t>
  </si>
  <si>
    <t>Daniela Segura Rey</t>
  </si>
  <si>
    <t>Dg. 91 # 4 A -71</t>
  </si>
  <si>
    <t>Edf. Balcones de Bella Suiza</t>
  </si>
  <si>
    <t>María Del Rosario Gutiérrez</t>
  </si>
  <si>
    <t>Cl. 118 # 18-15</t>
  </si>
  <si>
    <t>Edf. Park 125 Village</t>
  </si>
  <si>
    <t>Silvia Mantilla Pradilla</t>
  </si>
  <si>
    <t>Cl. 134 A # 17-92</t>
  </si>
  <si>
    <t>Luz María Tosta Guillent</t>
  </si>
  <si>
    <t>Cl. 125 # 18 A-21</t>
  </si>
  <si>
    <t>Saulo Tamayo</t>
  </si>
  <si>
    <t>Cl. 112 # 15-29</t>
  </si>
  <si>
    <t>Bl. 8 Int. 15 Conj. El Paraíso</t>
  </si>
  <si>
    <t>Mileva Vergara</t>
  </si>
  <si>
    <t>Cl. 18 # 4-82</t>
  </si>
  <si>
    <t>María Andrea López Casado</t>
  </si>
  <si>
    <t>Cr. 2 B # 69 A-32</t>
  </si>
  <si>
    <t>Erika Riaño</t>
  </si>
  <si>
    <t>Cl. 138 # 10 A-97</t>
  </si>
  <si>
    <t>Edf. Parque 88</t>
  </si>
  <si>
    <t>Estefanía Villegas Álvarez</t>
  </si>
  <si>
    <t>Cl. 88 # 18-22</t>
  </si>
  <si>
    <t>María Fernanda Hernández Moreno</t>
  </si>
  <si>
    <t>Cl. 6 G SUR #8-34 Este</t>
  </si>
  <si>
    <t>San Critóbal SUR</t>
  </si>
  <si>
    <t>Camilo Ballesteros</t>
  </si>
  <si>
    <t>Cr. 9 Bis # 97-06</t>
  </si>
  <si>
    <t xml:space="preserve">Liliana Rivera </t>
  </si>
  <si>
    <t>Cr.23 # 114-11</t>
  </si>
  <si>
    <t>Natali Madero Gutiérrez</t>
  </si>
  <si>
    <t>Cr. 36 A # 63-70</t>
  </si>
  <si>
    <t>Margarita Acevedo Matos</t>
  </si>
  <si>
    <t>Cr. 18 A # 151-48</t>
  </si>
  <si>
    <t>Raúl Paba Iglesias</t>
  </si>
  <si>
    <t>Cl. 116 # 14 A-06</t>
  </si>
  <si>
    <t>Cindy Estupiñán Briceño</t>
  </si>
  <si>
    <t>Tv. 70 D Bis A # 68-75 SUR</t>
  </si>
  <si>
    <t>Edf. Terrazas Del Bosque</t>
  </si>
  <si>
    <t>Perdomo Sur</t>
  </si>
  <si>
    <t>Diego Baena Aristizábal</t>
  </si>
  <si>
    <t>Int. 6 Namur</t>
  </si>
  <si>
    <t>Lina Amaya</t>
  </si>
  <si>
    <t>Cl. 169 A # 51-62</t>
  </si>
  <si>
    <t>Casa 157</t>
  </si>
  <si>
    <t>Tr. 7 Balcones del Salitre</t>
  </si>
  <si>
    <t>Granada Norte</t>
  </si>
  <si>
    <t>Paola Suárez Flórez</t>
  </si>
  <si>
    <t>Cl. 135 # 7-71</t>
  </si>
  <si>
    <t>Torres De Albania</t>
  </si>
  <si>
    <t>María Botero Gutiérrez</t>
  </si>
  <si>
    <t>Cr. 72 A # 24-72</t>
  </si>
  <si>
    <t>Salitre</t>
  </si>
  <si>
    <t>Paula Andrea Bravo Neira</t>
  </si>
  <si>
    <t>Cr. 20 # 49-71</t>
  </si>
  <si>
    <t>Timbrar en el 90-19</t>
  </si>
  <si>
    <t>Marcela Pérez Herrera</t>
  </si>
  <si>
    <t>Cr. 61 A # 90-19</t>
  </si>
  <si>
    <t>Andes</t>
  </si>
  <si>
    <t>Juan Felipe Mora Saa</t>
  </si>
  <si>
    <t>Cl. 106 A # 54-20</t>
  </si>
  <si>
    <t>Edf. Muga Loft</t>
  </si>
  <si>
    <t>Carolina Cardona</t>
  </si>
  <si>
    <t>Mz 4 Tr.7 Sierras del Moral</t>
  </si>
  <si>
    <t>Ernesto Uribe Schroeder</t>
  </si>
  <si>
    <t>Trv. 23 # 96-35</t>
  </si>
  <si>
    <t>Bl. 8 Conj Vivaldi</t>
  </si>
  <si>
    <t>Sergio González</t>
  </si>
  <si>
    <t>Cl. 146 # 6-24</t>
  </si>
  <si>
    <t>Edf. Chicó 93</t>
  </si>
  <si>
    <t>Diana Fonseca González</t>
  </si>
  <si>
    <t>Cl. 168 # 8 G-61</t>
  </si>
  <si>
    <t>Margarita María Pino</t>
  </si>
  <si>
    <t>Trv. 23 # 93-50</t>
  </si>
  <si>
    <t>Lina Delgadillo Murcia</t>
  </si>
  <si>
    <t>Edf. Citrus</t>
  </si>
  <si>
    <t>Laura Torres Torres</t>
  </si>
  <si>
    <t>303 D</t>
  </si>
  <si>
    <t>Tr. 11 Potal de Modelia 2</t>
  </si>
  <si>
    <t>Claudia Smaira</t>
  </si>
  <si>
    <t>Cl. 79 A # 7 A-61</t>
  </si>
  <si>
    <t>Laura Umbarila Pachón</t>
  </si>
  <si>
    <t>Cr. 81 B # 19 B-80</t>
  </si>
  <si>
    <t>Int 7 Conj. Piedra Ancha</t>
  </si>
  <si>
    <t>Miodelia</t>
  </si>
  <si>
    <t>Elizabeth Hincapié Isaza</t>
  </si>
  <si>
    <t>Cr. 6 # 6 D-50</t>
  </si>
  <si>
    <t>501 Oeste</t>
  </si>
  <si>
    <t>Edf. Altos de Aragón</t>
  </si>
  <si>
    <t>Andrea Alexandra Sánchez Donado</t>
  </si>
  <si>
    <t>Cr. 15 # 76-60</t>
  </si>
  <si>
    <t>Ofc. 501</t>
  </si>
  <si>
    <t>Edf. Prato</t>
  </si>
  <si>
    <t>Soad Rashid Aleans</t>
  </si>
  <si>
    <t>Rincón del Chicó</t>
  </si>
  <si>
    <t>Vanessa Quintero Hurtado</t>
  </si>
  <si>
    <t>Cr. 19 A # 86 A-61</t>
  </si>
  <si>
    <t>Bl. 1 Mirandela 1</t>
  </si>
  <si>
    <t>Ant. Country</t>
  </si>
  <si>
    <t>Martha Alfonso Achury</t>
  </si>
  <si>
    <t>Cr. 46 # 187-30</t>
  </si>
  <si>
    <t>Edf. Cl. 92</t>
  </si>
  <si>
    <t>Marina Gutiértrez</t>
  </si>
  <si>
    <t>Cr. 10 A #119-49</t>
  </si>
  <si>
    <t>Edf. Premier</t>
  </si>
  <si>
    <t>Paola Andrea Ordóñez Erazo</t>
  </si>
  <si>
    <t>Cl. 47 # 7-35</t>
  </si>
  <si>
    <t>Chapinero</t>
  </si>
  <si>
    <t>Carolina González Carrillo</t>
  </si>
  <si>
    <t>Cr. 13 A # 127 A-61</t>
  </si>
  <si>
    <t>Carolina González García</t>
  </si>
  <si>
    <t>Cl. 146 # 7 B-50</t>
  </si>
  <si>
    <t>Natalia Salcedo Porras</t>
  </si>
  <si>
    <t>Trv. 1 A # 56-80</t>
  </si>
  <si>
    <t>Melannie Cortés Cañón</t>
  </si>
  <si>
    <t>Mónica Hermida Q</t>
  </si>
  <si>
    <t>Av. Cr. 45 #128 D-40</t>
  </si>
  <si>
    <t>Edf. Corficaldas</t>
  </si>
  <si>
    <t>Manuela Sandoval</t>
  </si>
  <si>
    <t>Cr. 16 # 35-59</t>
  </si>
  <si>
    <t>Ana Carol Marcela Gónzález Serna</t>
  </si>
  <si>
    <t>Cr. 7 # 74 B- 56</t>
  </si>
  <si>
    <t>Ofc.</t>
  </si>
  <si>
    <t>Brayham Rodríguez</t>
  </si>
  <si>
    <t>Cl. 163 # 54 15</t>
  </si>
  <si>
    <t>Casa 147</t>
  </si>
  <si>
    <t>Bl. 6 Conj. Puerto Madero</t>
  </si>
  <si>
    <t>Laura Bonivento O.</t>
  </si>
  <si>
    <t>Cr. 14 # 103-09</t>
  </si>
  <si>
    <t>Edf. La Floresta</t>
  </si>
  <si>
    <t>Melissa Muñóz Díaz</t>
  </si>
  <si>
    <t>Cr. 66 # 23 A-42</t>
  </si>
  <si>
    <t>Mónica Velásquez</t>
  </si>
  <si>
    <t>Cr. 47 # 118-08</t>
  </si>
  <si>
    <t>Patricia Martínez De Aguirre</t>
  </si>
  <si>
    <t>Cr. 5 # 77-54</t>
  </si>
  <si>
    <t>Tomás Blackburn</t>
  </si>
  <si>
    <r>
      <rPr>
        <sz val="12"/>
        <color theme="1"/>
        <rFont val="Calibri"/>
        <family val="2"/>
      </rPr>
      <t xml:space="preserve">Cl. 81 </t>
    </r>
    <r>
      <rPr>
        <i/>
        <sz val="12"/>
        <color theme="1"/>
        <rFont val="Calibri"/>
        <family val="2"/>
      </rPr>
      <t># 9-86</t>
    </r>
  </si>
  <si>
    <t>Stephen Chen</t>
  </si>
  <si>
    <t>Cr. 13 # 102-17</t>
  </si>
  <si>
    <t>Edf. Mirador de la Sabana</t>
  </si>
  <si>
    <t>Juan Sebastián Salazar Gutiérrez</t>
  </si>
  <si>
    <t>Luz Stefanie Alvarez Ríos</t>
  </si>
  <si>
    <t>Edf. Soho 83</t>
  </si>
  <si>
    <t>Gabriel Andrés González Villanueva</t>
  </si>
  <si>
    <t>Cl. 103 # 14-54</t>
  </si>
  <si>
    <t>Tr. 3 Edf. Solarium de Pontevedra</t>
  </si>
  <si>
    <t>Adriana Martínez Russi</t>
  </si>
  <si>
    <t>San Partricio</t>
  </si>
  <si>
    <t>Sandra Restrepo Ruiz</t>
  </si>
  <si>
    <t>Cr. 40 # 24 A-97</t>
  </si>
  <si>
    <t>Adriana Aqui De Hernández</t>
  </si>
  <si>
    <t>Cr. 17 # 112-14</t>
  </si>
  <si>
    <t>Silvia Uribe Schroeder</t>
  </si>
  <si>
    <t>Ximena Maya Vivas</t>
  </si>
  <si>
    <t>Mónica Franco Onofre</t>
  </si>
  <si>
    <t>Trv. 1 # 84 C--20</t>
  </si>
  <si>
    <t xml:space="preserve"> Edf. Central Park</t>
  </si>
  <si>
    <t>Paola Flórez Mora</t>
  </si>
  <si>
    <t>Cr. 36 A # 63 C-70</t>
  </si>
  <si>
    <t>Conj. Campanella Reservado</t>
  </si>
  <si>
    <t>Carolina Tovar</t>
  </si>
  <si>
    <t>Cl. 154 A # 96-40</t>
  </si>
  <si>
    <t>Torre San Giovanni</t>
  </si>
  <si>
    <t>Ginna Macela Lasso</t>
  </si>
  <si>
    <t>Cr. 85 A # 23 B-88</t>
  </si>
  <si>
    <t>Carime Támara De la Ossa</t>
  </si>
  <si>
    <t>Edf. Solario</t>
  </si>
  <si>
    <t>Patricia Chalela</t>
  </si>
  <si>
    <t>Cr. 20 # 85-44</t>
  </si>
  <si>
    <t>Ana Margarita Suescún Suescún</t>
  </si>
  <si>
    <t>Cl. 146 #12 A-40</t>
  </si>
  <si>
    <t>Bl. 4 conj. Residencial Santa Ana</t>
  </si>
  <si>
    <t>Cr. 14 # 106A - 89</t>
  </si>
  <si>
    <t>Natalia Brandwayn Briceño</t>
  </si>
  <si>
    <t>Entrar por Av. Suba</t>
  </si>
  <si>
    <t>Sófia López Ochoa</t>
  </si>
  <si>
    <t>Cl. 128 # 7 D-19</t>
  </si>
  <si>
    <t>Edf. El Roble</t>
  </si>
  <si>
    <t>Juan José Ruiz</t>
  </si>
  <si>
    <t>Cl. 136 # 74-11</t>
  </si>
  <si>
    <t>Roque Batista Barros</t>
  </si>
  <si>
    <t>Cl. 95 # 8 A-46</t>
  </si>
  <si>
    <t>Edf. Teruel</t>
  </si>
  <si>
    <t>Daniela Zabala Bernal</t>
  </si>
  <si>
    <t>Cr. 62 # 64-75</t>
  </si>
  <si>
    <t>Ana María Parga Charry</t>
  </si>
  <si>
    <t>Av. Cr. 19 # 127 B-56</t>
  </si>
  <si>
    <t>Casa 6</t>
  </si>
  <si>
    <t>Balcones de Villanova Tr.2</t>
  </si>
  <si>
    <t>Camila Duarte Osorio</t>
  </si>
  <si>
    <t>Cr. 6 A # 132-37</t>
  </si>
  <si>
    <t>Bosque Medina</t>
  </si>
  <si>
    <t>Germán Urdaneta Hernández</t>
  </si>
  <si>
    <t>Diagonal 182#20-17</t>
  </si>
  <si>
    <t>Torre 6 kuraka</t>
  </si>
  <si>
    <t>Silvia Julieta Rodríguez Serra</t>
  </si>
  <si>
    <t>Edf. Rio de Oro</t>
  </si>
  <si>
    <t>María Camila Pineda Noreña</t>
  </si>
  <si>
    <t>Cr. 14 # 106 A-60</t>
  </si>
  <si>
    <t>Portal Santa Paula</t>
  </si>
  <si>
    <t>Cl. 107 A # 11 A-87</t>
  </si>
  <si>
    <t>1 (571)774 0270</t>
  </si>
  <si>
    <t>Ricardo Amaya</t>
  </si>
  <si>
    <t xml:space="preserve">Cr 63 #22 A-41 </t>
  </si>
  <si>
    <t>Pq. Res. Almenares</t>
  </si>
  <si>
    <t>Laura Sandoval Machado</t>
  </si>
  <si>
    <t>Felipe González</t>
  </si>
  <si>
    <t>Cr. 16 # 85-40</t>
  </si>
  <si>
    <t>Angela Cárdenas Díaz</t>
  </si>
  <si>
    <t>Dg. 60 # 22 A-38</t>
  </si>
  <si>
    <t>Karina Jaimes X</t>
  </si>
  <si>
    <t>Cl. 127 C Bis # 7 C-34</t>
  </si>
  <si>
    <t>Gabriela Barreto</t>
  </si>
  <si>
    <t>Cl. 96 # 19 A -83</t>
  </si>
  <si>
    <t>Liliana Trujillo Caicedo</t>
  </si>
  <si>
    <t xml:space="preserve">Cl.76 # 8-69 </t>
  </si>
  <si>
    <t>Beatríz Eugenia Bustillo Acero</t>
  </si>
  <si>
    <t>Trv. 23 #93-51</t>
  </si>
  <si>
    <t>Himelda Jaramillo</t>
  </si>
  <si>
    <t>Cl. 123 A # 11 B-55</t>
  </si>
  <si>
    <t>Julián González Mantilla</t>
  </si>
  <si>
    <t>Cr. 18 # 85-84</t>
  </si>
  <si>
    <t xml:space="preserve">Edf. Estancia </t>
  </si>
  <si>
    <t>Mauricio Sinisterra</t>
  </si>
  <si>
    <t>Trv. 1 A #  68-44</t>
  </si>
  <si>
    <t>Daniel Rueda Gómez</t>
  </si>
  <si>
    <t>Cr. 18 A # 112-71</t>
  </si>
  <si>
    <t>Bernardo Leyva Uribe</t>
  </si>
  <si>
    <t>Cr. 12 # 125 A- 20</t>
  </si>
  <si>
    <t>Sofía Ochoa Gómez</t>
  </si>
  <si>
    <t>Edf. The Point</t>
  </si>
  <si>
    <t>Catalina Nuñez Moreno</t>
  </si>
  <si>
    <t>Cr. 9 A #113-87</t>
  </si>
  <si>
    <t>Juanita Martínez</t>
  </si>
  <si>
    <t>Cl. 95 # 10-29</t>
  </si>
  <si>
    <t>Bibiana Blackburn Cardona</t>
  </si>
  <si>
    <t>Cr. 10 # 94-30</t>
  </si>
  <si>
    <t>Hacienda Fontanar</t>
  </si>
  <si>
    <t>María Fernanda Rodríguez Riveros</t>
  </si>
  <si>
    <t>Cr. 74 A # 49 A-41</t>
  </si>
  <si>
    <t>Niormandía 2 Sector</t>
  </si>
  <si>
    <t>Fernando González</t>
  </si>
  <si>
    <t>Cr. 14 # 109-79</t>
  </si>
  <si>
    <t>Camila Gómez Umaña</t>
  </si>
  <si>
    <t>Cl. 23 A # 58-40</t>
  </si>
  <si>
    <t>Edf. Acai 95</t>
  </si>
  <si>
    <t>Omar Nustes Lancheros</t>
  </si>
  <si>
    <t>Cajicá</t>
  </si>
  <si>
    <t>Edf. Prados Del Norte</t>
  </si>
  <si>
    <t>Susana Burgos</t>
  </si>
  <si>
    <t>Cl.136 # 16-60</t>
  </si>
  <si>
    <t>Edf. Balcones De Marly</t>
  </si>
  <si>
    <t>Jorge Vergel</t>
  </si>
  <si>
    <t>Cl. 52 A # 9-30</t>
  </si>
  <si>
    <t>Angela Ortega</t>
  </si>
  <si>
    <t>Cl. 92 # 19 C-84</t>
  </si>
  <si>
    <t>José Francisco Gómez Pla</t>
  </si>
  <si>
    <t>Cr. 11 # 118-51</t>
  </si>
  <si>
    <t>Edf. Vitra 93</t>
  </si>
  <si>
    <t>Valentina Hoyos</t>
  </si>
  <si>
    <t>Cl. 93 A # 19-39</t>
  </si>
  <si>
    <t>Edf. Quinta Avenida</t>
  </si>
  <si>
    <t>Luis Felipe Molina Sierra</t>
  </si>
  <si>
    <t>Cr. 14 # 89-25</t>
  </si>
  <si>
    <t>Portal de Pontevedra 2</t>
  </si>
  <si>
    <t>Claudia Pérez Alfonso</t>
  </si>
  <si>
    <t>Cl. 97 # 70 C-89</t>
  </si>
  <si>
    <t>Carolina Inostroza Rojas</t>
  </si>
  <si>
    <t>Cl. 71 # 3-50</t>
  </si>
  <si>
    <t xml:space="preserve">Cra 11a # 112 -36 
</t>
  </si>
  <si>
    <t>Edifico Bariloche</t>
  </si>
  <si>
    <t>Sandra Ximena Martínez</t>
  </si>
  <si>
    <t>Cl. 151 # 55-68</t>
  </si>
  <si>
    <t>Mazurén 13</t>
  </si>
  <si>
    <t>Daniela Galindo Cano</t>
  </si>
  <si>
    <t>Cr. 8 # 127 C-60</t>
  </si>
  <si>
    <t>Edf. Zappan 106</t>
  </si>
  <si>
    <t>Mónica Alvarado</t>
  </si>
  <si>
    <t>Cr. 10 # 113-75</t>
  </si>
  <si>
    <t>Edf. Valbella</t>
  </si>
  <si>
    <t>Catalina Gómez Di</t>
  </si>
  <si>
    <t>Mz. C</t>
  </si>
  <si>
    <t>Marcela Herrera Angel</t>
  </si>
  <si>
    <t>Cr. 7 A # 127 C-63</t>
  </si>
  <si>
    <t>Edf. Park 125</t>
  </si>
  <si>
    <t>Carmenza Sánchez</t>
  </si>
  <si>
    <t>Cr. 21 # 135-12</t>
  </si>
  <si>
    <t>Joanna Barrera</t>
  </si>
  <si>
    <t>Cl. 39 Bis A # 28-21</t>
  </si>
  <si>
    <t>Alexandra Thorsberg</t>
  </si>
  <si>
    <t>Cl, 101 #16-84</t>
  </si>
  <si>
    <t>202 390 8461</t>
  </si>
  <si>
    <t>Alexandra Planas Martí</t>
  </si>
  <si>
    <t>Cl. 81 A # 8-83</t>
  </si>
  <si>
    <t>Fontana Plaza</t>
  </si>
  <si>
    <t>Geraldine Nathalia García Rodríguez</t>
  </si>
  <si>
    <t>Edf. Thamara</t>
  </si>
  <si>
    <t>Patricia Saíz</t>
  </si>
  <si>
    <t>Cr. 15 # 127-66</t>
  </si>
  <si>
    <t>Edf. Altana</t>
  </si>
  <si>
    <t>Paola A. Sarmiento Lozano</t>
  </si>
  <si>
    <t>Cl. 126 # 7 C-66</t>
  </si>
  <si>
    <t>Luz Helena Chávez Vesga</t>
  </si>
  <si>
    <t>Cl. 61 # 2-56</t>
  </si>
  <si>
    <t>Alejandra Robledo</t>
  </si>
  <si>
    <t>EMAUS</t>
  </si>
  <si>
    <t>Dimelsa Hurtado</t>
  </si>
  <si>
    <t>Cl. 22 D # 69 F-73</t>
  </si>
  <si>
    <t>Edf. Barandales</t>
  </si>
  <si>
    <t>Catalina Gnecco</t>
  </si>
  <si>
    <t>Cr. 4 # 70 A-82</t>
  </si>
  <si>
    <t>María Rivas</t>
  </si>
  <si>
    <t>Cr. 3 A # 56-13</t>
  </si>
  <si>
    <t>Mónica Gómez Villafañe</t>
  </si>
  <si>
    <t>María Robledo Manrique</t>
  </si>
  <si>
    <t>Cr. 4 A # 26 D-07</t>
  </si>
  <si>
    <t>Tr. 1 Altos de Normandía</t>
  </si>
  <si>
    <t>Mónica Zarta Botero</t>
  </si>
  <si>
    <t>Cl. 149 # 45-37</t>
  </si>
  <si>
    <t>Ana Yolanda Fonseca Corredor</t>
  </si>
  <si>
    <t>Av. Cl. 63 # 75-35</t>
  </si>
  <si>
    <t>Rossy Forigua</t>
  </si>
  <si>
    <t>Cr. 21 # 108 A-10</t>
  </si>
  <si>
    <t>Edf. Residencias La Cabrera</t>
  </si>
  <si>
    <t>Claudia Patricia Pava Puentes</t>
  </si>
  <si>
    <t>Cr. 11 A # 134 A-20</t>
  </si>
  <si>
    <t>Madeira V  Cedro Golf</t>
  </si>
  <si>
    <t>Lisboa Norte</t>
  </si>
  <si>
    <t>Karl Troller Pardo</t>
  </si>
  <si>
    <t>Cr. 10 # 85-47</t>
  </si>
  <si>
    <t>Juliana Buriticá Jiménez</t>
  </si>
  <si>
    <t>Tr. 1 edf. Reserva de La Colina</t>
  </si>
  <si>
    <t>María Del Pilar Aragón Farkas</t>
  </si>
  <si>
    <t>Cr. 11 C Bis # 124-60</t>
  </si>
  <si>
    <t>Tr. 6 altos de Santa Ana</t>
  </si>
  <si>
    <t>Adriana Rincón Bautista</t>
  </si>
  <si>
    <t>Cr. 56 # 153-15</t>
  </si>
  <si>
    <t>Yamile Suárez</t>
  </si>
  <si>
    <t>Torre 6</t>
  </si>
  <si>
    <t>marthayamilesuarezs@gmail.com</t>
  </si>
  <si>
    <t>Martha Pico</t>
  </si>
  <si>
    <t>Cl. 108 A # 21-76</t>
  </si>
  <si>
    <t>Int.2</t>
  </si>
  <si>
    <t>Nicolás Gómez Ospina</t>
  </si>
  <si>
    <t>Av. Suba # 108-49</t>
  </si>
  <si>
    <t>Araminda López García</t>
  </si>
  <si>
    <t>Cr. 70 # 22-75</t>
  </si>
  <si>
    <t>Carlos Lleras</t>
  </si>
  <si>
    <t>Luz Amparo Martínez</t>
  </si>
  <si>
    <t>Cl. 127 con 3</t>
  </si>
  <si>
    <t>Margarita Méndez Calle</t>
  </si>
  <si>
    <t>Cl. 159 # 54-35</t>
  </si>
  <si>
    <t>Conj La Herradura</t>
  </si>
  <si>
    <t>Sonia Henao A.</t>
  </si>
  <si>
    <t>Cl . 22 F # 83 -21</t>
  </si>
  <si>
    <t>Alexandra Rodríguez Del Gallego</t>
  </si>
  <si>
    <t>Cr.  1 Este # 108-09</t>
  </si>
  <si>
    <t>Yenni C. Tatis Pastrana</t>
  </si>
  <si>
    <t>Cl. 60 # 9 A-46</t>
  </si>
  <si>
    <t>Edf. El cerro</t>
  </si>
  <si>
    <t>Arianne Montilla Briceño</t>
  </si>
  <si>
    <t>Cr. 7 Bis # 130 B-21</t>
  </si>
  <si>
    <t>506 A</t>
  </si>
  <si>
    <t>Edf. Concepto 57</t>
  </si>
  <si>
    <t>María Camila Cifuentes</t>
  </si>
  <si>
    <t>Cr. 15 # 109-56</t>
  </si>
  <si>
    <t>Santa Paula</t>
  </si>
  <si>
    <t>Paula Medellín Aroz</t>
  </si>
  <si>
    <t>Trv. 1 Este # 57-75</t>
  </si>
  <si>
    <t>Luna Cantor</t>
  </si>
  <si>
    <t>Cl. 134 Bis # 89 A-05</t>
  </si>
  <si>
    <t>Edf. Parque El Lago</t>
  </si>
  <si>
    <t>Suba</t>
  </si>
  <si>
    <t>Jessica Mabe Bernal</t>
  </si>
  <si>
    <t>Cr. 65 # 103-01</t>
  </si>
  <si>
    <t>Martha Carolina Sanabria Galvis</t>
  </si>
  <si>
    <t>Cr. 35 # 63 C-17</t>
  </si>
  <si>
    <t>Patricia Carrasquilla Cortés</t>
  </si>
  <si>
    <t>Cl. 106 # 13-35</t>
  </si>
  <si>
    <t>María Angélica Grisales Ricardo</t>
  </si>
  <si>
    <t>Cr. 19 A # 120-54</t>
  </si>
  <si>
    <t>Conj. Miramonte</t>
  </si>
  <si>
    <t>Shirley Meza</t>
  </si>
  <si>
    <t>Cl. 74 # 72 A-95</t>
  </si>
  <si>
    <t>4-704</t>
  </si>
  <si>
    <t>Edf. Basika</t>
  </si>
  <si>
    <t>Melanie Libos</t>
  </si>
  <si>
    <t>Cr. 18 # 86 A-54</t>
  </si>
  <si>
    <t>Jacquelin Real Medina</t>
  </si>
  <si>
    <t>Trv. 53 D # 129-30</t>
  </si>
  <si>
    <t>Sandra Mejía</t>
  </si>
  <si>
    <t>Cl. 167 # 62-94</t>
  </si>
  <si>
    <t>Casa 34</t>
  </si>
  <si>
    <t>Palmetto Royal</t>
  </si>
  <si>
    <t>María Calderón Rivas</t>
  </si>
  <si>
    <t>Cl 22 A #44 B-24</t>
  </si>
  <si>
    <t>Edf. Paseo Del Virrey</t>
  </si>
  <si>
    <t>Quinta Paredes</t>
  </si>
  <si>
    <t>Andrés Mora  Navarrete</t>
  </si>
  <si>
    <t>Cr.11#109/39</t>
  </si>
  <si>
    <t>Torre B Edificio El Gran Mochuelo</t>
  </si>
  <si>
    <t>Carolina Lezaca</t>
  </si>
  <si>
    <t>María José Benavides Franco</t>
  </si>
  <si>
    <t>Cr. 8 A # 96-51</t>
  </si>
  <si>
    <t>Tr. 5 Con. Resid. Senderos de Granada</t>
  </si>
  <si>
    <t>Sandra Milena Tamayo Duque</t>
  </si>
  <si>
    <t>Cl. 86 A # 69 T-41</t>
  </si>
  <si>
    <t>Daniela Arango Holguín</t>
  </si>
  <si>
    <t>Cr. 19 A #122-75</t>
  </si>
  <si>
    <t>Susana Montilla</t>
  </si>
  <si>
    <t>Cr. 68 D # 24 B-48</t>
  </si>
  <si>
    <t>Bloque 1F</t>
  </si>
  <si>
    <t>Diana Contreras Cortez</t>
  </si>
  <si>
    <t>Modelo Norte</t>
  </si>
  <si>
    <t>Paola Espinosa París</t>
  </si>
  <si>
    <t>Cr 10 A # 134 B-06</t>
  </si>
  <si>
    <t>Cristina Isabel Ortíz Cogollo</t>
  </si>
  <si>
    <t>Chapinero Alto</t>
  </si>
  <si>
    <t>Caitlin Simpson May</t>
  </si>
  <si>
    <t>Cr. 3 A # 30-10</t>
  </si>
  <si>
    <t>La Macarena</t>
  </si>
  <si>
    <t>Catherine Chávez Hernández</t>
  </si>
  <si>
    <t>Cr. 7 # 42-65</t>
  </si>
  <si>
    <t>Catalina Ruiz</t>
  </si>
  <si>
    <t>Cl. 112 # 16-39</t>
  </si>
  <si>
    <t>San Patricio</t>
  </si>
  <si>
    <t>Paula Vecino Núñez</t>
  </si>
  <si>
    <t>Cl. 104 # 13 A - 46</t>
  </si>
  <si>
    <t>Edf. Artek 104</t>
  </si>
  <si>
    <t>Lina María González Torres</t>
  </si>
  <si>
    <t>Cr. 10 # 93-51</t>
  </si>
  <si>
    <t>chicó</t>
  </si>
  <si>
    <t>Andrea Bernal Pinzón</t>
  </si>
  <si>
    <t>Cl. 136 # 74-80</t>
  </si>
  <si>
    <t>Edf. Tempo 61</t>
  </si>
  <si>
    <t>Luz Angela Cifuentes</t>
  </si>
  <si>
    <t>Cr. 67  # 94 A-78</t>
  </si>
  <si>
    <t>Patricia Caro Sánchez</t>
  </si>
  <si>
    <t>Cl. 116 # 72 A-52</t>
  </si>
  <si>
    <t>Casa 12</t>
  </si>
  <si>
    <t>Lina Cubides Delgado</t>
  </si>
  <si>
    <t>Cl. 108 A # 4-46</t>
  </si>
  <si>
    <t>Edf. Bulevar Tequendama</t>
  </si>
  <si>
    <t>Pablo Castillo Estrada</t>
  </si>
  <si>
    <t>Cr. 7 D # 127-10</t>
  </si>
  <si>
    <t>Paula Estefany Suárez Fandiño</t>
  </si>
  <si>
    <t>Cl. 86 # 103 D-45</t>
  </si>
  <si>
    <t>Casa 98</t>
  </si>
  <si>
    <t>Edf. Torre San Marcos</t>
  </si>
  <si>
    <t>Martha Camero de Alvarado</t>
  </si>
  <si>
    <t>Cl. 127 B # 14-28</t>
  </si>
  <si>
    <t>La Carolina</t>
  </si>
  <si>
    <t>Juliana Moreno Villegas</t>
  </si>
  <si>
    <t>Cl. 114 A Bis # 45-15</t>
  </si>
  <si>
    <t>Diana Velásco</t>
  </si>
  <si>
    <t>Autonorte # 146-48</t>
  </si>
  <si>
    <t>Local 253</t>
  </si>
  <si>
    <t>Ctro. Cial Granada Hills</t>
  </si>
  <si>
    <t>Milena López Cardona</t>
  </si>
  <si>
    <t>Cr. 17 # 106-10</t>
  </si>
  <si>
    <t>Edf. Chiavari</t>
  </si>
  <si>
    <t>Andrea Gómez Mantilla</t>
  </si>
  <si>
    <t>Cr. 19 A # 101-50</t>
  </si>
  <si>
    <t>Luz Elveny Acevedo Lugo</t>
  </si>
  <si>
    <t>Dg. 17 B # 90-53</t>
  </si>
  <si>
    <t>Tr. 8</t>
  </si>
  <si>
    <t>María Larrota De González</t>
  </si>
  <si>
    <t>Cr. 85 B # 52 A-49</t>
  </si>
  <si>
    <t>Barrio Los Monjes</t>
  </si>
  <si>
    <t>Claudia Bautista Barake</t>
  </si>
  <si>
    <t>Trv. 3 # 84 A-42</t>
  </si>
  <si>
    <t>Andrés Ignacio Zamudio Castro</t>
  </si>
  <si>
    <t>Cl. 146 # 13-22</t>
  </si>
  <si>
    <t>Edf. SmartHome 146</t>
  </si>
  <si>
    <t>María Gabriela Rojas Sánchez</t>
  </si>
  <si>
    <t>Cr. 8 C # 157-15</t>
  </si>
  <si>
    <t>Faviana Huarachi</t>
  </si>
  <si>
    <t>Laura López C.</t>
  </si>
  <si>
    <t>Dg. 115 # 45-72</t>
  </si>
  <si>
    <t xml:space="preserve">Edf. Santa catalina 2 </t>
  </si>
  <si>
    <t>Alhambra</t>
  </si>
  <si>
    <t>Klaudia Gómez</t>
  </si>
  <si>
    <t>Cl. 92 # 13-21</t>
  </si>
  <si>
    <t>Carolina Pulido</t>
  </si>
  <si>
    <t>Cr. 22 # 40-16</t>
  </si>
  <si>
    <t>Vanessa De La Peña</t>
  </si>
  <si>
    <t>Cr. 7 B # 124-39</t>
  </si>
  <si>
    <t>Edf. Mosaico</t>
  </si>
  <si>
    <t>Carlos García Estefan</t>
  </si>
  <si>
    <t>Cr. 13 A # 31-17</t>
  </si>
  <si>
    <t>Mz. 5 Tr. A</t>
  </si>
  <si>
    <t>María Stella González</t>
  </si>
  <si>
    <t>Cl. 141 # 7 B-81</t>
  </si>
  <si>
    <t>Andjuly Rocha Navarro</t>
  </si>
  <si>
    <t>Cl. 51 # 24-06</t>
  </si>
  <si>
    <t>Adriana Jimena Paucar Correa</t>
  </si>
  <si>
    <t>Cl. 87 # 19 C-71</t>
  </si>
  <si>
    <t>Paola Andrea Rodríguez Martínez</t>
  </si>
  <si>
    <t>Cl. 176 # 51-49</t>
  </si>
  <si>
    <t>Alejandro Maldonado</t>
  </si>
  <si>
    <t>Cr. 11 # 96-59</t>
  </si>
  <si>
    <t>1 857 7565424</t>
  </si>
  <si>
    <t>Alejandra Alvarez</t>
  </si>
  <si>
    <t>Paralela Ant. Country</t>
  </si>
  <si>
    <t>Martha Gómez Rayo</t>
  </si>
  <si>
    <t>Cr. 15 # 141-47</t>
  </si>
  <si>
    <t>Torres De La arboleda</t>
  </si>
  <si>
    <t>Jeannette Medina Rios</t>
  </si>
  <si>
    <t>Cr. 48 # 115-33</t>
  </si>
  <si>
    <t>Edf. Irazu</t>
  </si>
  <si>
    <t>María Paula Flórez Cruz</t>
  </si>
  <si>
    <t>Juliana Giraldo</t>
  </si>
  <si>
    <t>Cl. 123 # 15 A-46</t>
  </si>
  <si>
    <t>Edf. Park 123</t>
  </si>
  <si>
    <t>Juan Felipe García Peña</t>
  </si>
  <si>
    <t>Dg. 81 G Bis #72 C-45</t>
  </si>
  <si>
    <t>Leslie Ramón Mora</t>
  </si>
  <si>
    <t>Tr. 2 cerros del Country</t>
  </si>
  <si>
    <t>Gina Castañeda Calderón</t>
  </si>
  <si>
    <t>Cr. 13 # 138-41</t>
  </si>
  <si>
    <t>Wilma Vélez Moser</t>
  </si>
  <si>
    <t>Cr. 18 # 122-64</t>
  </si>
  <si>
    <t>Noemí Sastoque Parisier</t>
  </si>
  <si>
    <t>Av. Suba # 136-30</t>
  </si>
  <si>
    <t>Andrea Rivera Arbeláez</t>
  </si>
  <si>
    <t>Cl. 115 # 11 A-30</t>
  </si>
  <si>
    <t>Clemencia Bonilla De Cruz</t>
  </si>
  <si>
    <t>Cr. 14 B # 118-69</t>
  </si>
  <si>
    <t>Adriana Barrero Mahecha</t>
  </si>
  <si>
    <t>Cl. 91 # 9-45</t>
  </si>
  <si>
    <t>María Francisca Roldán García</t>
  </si>
  <si>
    <t>Cl. 78 # 7-79</t>
  </si>
  <si>
    <t>Laura Franco Gutiérrez</t>
  </si>
  <si>
    <t>Cr. 8 # 108 A-59</t>
  </si>
  <si>
    <t>María Camila Castellanos Ricardo</t>
  </si>
  <si>
    <t>Cl. 116 # 50 A-09</t>
  </si>
  <si>
    <t>Tr. 2 F</t>
  </si>
  <si>
    <t>Laura Ariza Hernández</t>
  </si>
  <si>
    <t>Cr. 12 C # 135-43</t>
  </si>
  <si>
    <t>Mercedes Sánchez Ramírez</t>
  </si>
  <si>
    <t>Paseo de santa Catalina</t>
  </si>
  <si>
    <t>Iovanna Rodríguez</t>
  </si>
  <si>
    <t>Cl. 69 # 6-02</t>
  </si>
  <si>
    <t>Marta Liliana Buitrago Mondragón</t>
  </si>
  <si>
    <t>Cl. 138 # 54-60</t>
  </si>
  <si>
    <t>Karen Lorena Garcés</t>
  </si>
  <si>
    <t>Conj. Cantabria Tr. 3</t>
  </si>
  <si>
    <t>Alejandra Rincón</t>
  </si>
  <si>
    <t>Cl. 79 B # 7-30</t>
  </si>
  <si>
    <t>Local Sayeh</t>
  </si>
  <si>
    <t>Casa San Miguel</t>
  </si>
  <si>
    <t>Lina Acosta Mendoza</t>
  </si>
  <si>
    <t>Cl. 131 A # 53-31</t>
  </si>
  <si>
    <t>Paola Escalante Muñóz</t>
  </si>
  <si>
    <t>Cl. 7 F # 74-05</t>
  </si>
  <si>
    <t>Castilla</t>
  </si>
  <si>
    <t>Yudy Bahamón Palencia</t>
  </si>
  <si>
    <t>Quintas de Provenza</t>
  </si>
  <si>
    <t>Paula Alejandra Alfonso Martínez</t>
  </si>
  <si>
    <t>Cl. 127 B Bis # 20-49</t>
  </si>
  <si>
    <t>Edf. Calleja B4</t>
  </si>
  <si>
    <t>Carol Alejandra Barbón Gutiérrez</t>
  </si>
  <si>
    <t>Cl. 119 A # 18- 62</t>
  </si>
  <si>
    <t>Yhesica  Ramírez</t>
  </si>
  <si>
    <t>Cr 18 A # 103-35</t>
  </si>
  <si>
    <t xml:space="preserve">Edf. Brescia </t>
  </si>
  <si>
    <t>Diana Paola Dueñas Cely</t>
  </si>
  <si>
    <t>Edf. Teyuna</t>
  </si>
  <si>
    <t>Yamile López L.</t>
  </si>
  <si>
    <t>Cr. 20 A # 15-36</t>
  </si>
  <si>
    <t>Daniela Capacho Estrada</t>
  </si>
  <si>
    <t>Margarita Lizarazo</t>
  </si>
  <si>
    <t>Cr. 6 A Este # 2-62</t>
  </si>
  <si>
    <t xml:space="preserve"> Huertas de Cajicá  Rsvdo. 2 Tr. 8</t>
  </si>
  <si>
    <t>Caijcá</t>
  </si>
  <si>
    <t>María Leticia Rueda</t>
  </si>
  <si>
    <t>CLL 120 # 7 - 51</t>
  </si>
  <si>
    <t>Luisa María Minayo Velásco</t>
  </si>
  <si>
    <t>Cr. 58 # 138-40</t>
  </si>
  <si>
    <t>María Lucía Torres Villarreal</t>
  </si>
  <si>
    <t>Cl. 132 # 20-31</t>
  </si>
  <si>
    <t>Edf. San Nicollo</t>
  </si>
  <si>
    <t>Conj. Res. Padua</t>
  </si>
  <si>
    <t>Sandra Patricia Peña Arce</t>
  </si>
  <si>
    <t>Cl. 160 # 73-47</t>
  </si>
  <si>
    <t>Con. Res. Monet</t>
  </si>
  <si>
    <t>Olga Lucía Trujillo Cano</t>
  </si>
  <si>
    <t>Cr. 8 # 172 A-85</t>
  </si>
  <si>
    <t>El Redil</t>
  </si>
  <si>
    <t>Manuela Rojas</t>
  </si>
  <si>
    <t>Cr. 7 B # 134 B-66</t>
  </si>
  <si>
    <t>Conj. Abadía Del Bosque Tr. 3</t>
  </si>
  <si>
    <t>María Alejandra Balcárcel Morcillo</t>
  </si>
  <si>
    <t>Tr. San Nicoló Conj. Padua</t>
  </si>
  <si>
    <t>Adriana Montaña</t>
  </si>
  <si>
    <t>Cl. 121 # 15 A-72</t>
  </si>
  <si>
    <t>Edf. Galeano</t>
  </si>
  <si>
    <t>Jenny Vera Hernández</t>
  </si>
  <si>
    <t>Cl. 104 A # 45 A-60</t>
  </si>
  <si>
    <t>Diana Becerra Hernández</t>
  </si>
  <si>
    <t>Cr. 8 A # 96-58</t>
  </si>
  <si>
    <t>Edf. Reserva Del Parque</t>
  </si>
  <si>
    <t>Tatiana García Ramírez</t>
  </si>
  <si>
    <t>Cl. 150 # 45-44</t>
  </si>
  <si>
    <t>Maria del Pilar Fonseca Mojica</t>
  </si>
  <si>
    <t>Cr. 7 # 132 - 63</t>
  </si>
  <si>
    <t>Edf. Parque Real</t>
  </si>
  <si>
    <t>Angela María Hincapié Hernández</t>
  </si>
  <si>
    <t>Cl. 94 # 16-29</t>
  </si>
  <si>
    <t>205 B</t>
  </si>
  <si>
    <t>Felipe Jaramillo Herrera</t>
  </si>
  <si>
    <t>Cr. 9 # 127 B-90</t>
  </si>
  <si>
    <t>Edf. Amaranto</t>
  </si>
  <si>
    <t>María Hoyos</t>
  </si>
  <si>
    <t>Cr. 18 C # 123-47</t>
  </si>
  <si>
    <t>Edf. Pietra Santa</t>
  </si>
  <si>
    <t>Catherine Mora Velásquez</t>
  </si>
  <si>
    <t>Cr. 5 # 131-14</t>
  </si>
  <si>
    <t>Edf. Cerros De Medina</t>
  </si>
  <si>
    <t>Alejandro Sarmiento Arango</t>
  </si>
  <si>
    <t>Marta Gutiérrez</t>
  </si>
  <si>
    <t>Cr. 19 A # 85 - 32</t>
  </si>
  <si>
    <t>Marlly Gallego</t>
  </si>
  <si>
    <t>Cr. 53 A # 127-30</t>
  </si>
  <si>
    <t>Tr.1 Jardines de San Telmo</t>
  </si>
  <si>
    <t>Sophie Martin Riviere</t>
  </si>
  <si>
    <t>Trv. 1 # 84-23</t>
  </si>
  <si>
    <t>Edf. Bosques del Retiro</t>
  </si>
  <si>
    <t>Lorraine Chilson</t>
  </si>
  <si>
    <t>Cl. 93 B # 9-61</t>
  </si>
  <si>
    <t>María Alejandra Montero</t>
  </si>
  <si>
    <t>Cl. 92 #13-18</t>
  </si>
  <si>
    <t>José Arbeláez López</t>
  </si>
  <si>
    <t>Cr. 21 #106 B - 29</t>
  </si>
  <si>
    <t>Tr. 3 Portería norte</t>
  </si>
  <si>
    <t>Sebastián Silva Trujillo</t>
  </si>
  <si>
    <t>Cl. 76 # 8-69</t>
  </si>
  <si>
    <t>Adriana Eslava</t>
  </si>
  <si>
    <t>Cl. 61 # 53-16</t>
  </si>
  <si>
    <t>Bl. 4 conj. Quirinal</t>
  </si>
  <si>
    <t>Quirinal</t>
  </si>
  <si>
    <t>María Paula Gutiérrez</t>
  </si>
  <si>
    <t>Cl. 152 C # 72-65</t>
  </si>
  <si>
    <t>Tr. 2 Conj. Macana</t>
  </si>
  <si>
    <t>Lesly Andrea Espejo Torres</t>
  </si>
  <si>
    <t>Cr. 71 C # 3-36</t>
  </si>
  <si>
    <t>Gina María Chaparro</t>
  </si>
  <si>
    <t>Dg. 61 D # 24-40</t>
  </si>
  <si>
    <t>Edf. Balcones del Campín 2</t>
  </si>
  <si>
    <t>María Teresa Serna</t>
  </si>
  <si>
    <t>Edf. Ankara</t>
  </si>
  <si>
    <t>Nayive Pérez Galindo</t>
  </si>
  <si>
    <t>Cr. 8 # 40B- 15</t>
  </si>
  <si>
    <t>Edf. Torres de San Juan</t>
  </si>
  <si>
    <t>Martha Efigenia Rojas de Nieto</t>
  </si>
  <si>
    <t>Cr. 18 # 90 - 38</t>
  </si>
  <si>
    <t>Marianella Sierra Saa</t>
  </si>
  <si>
    <t>Edf. San Diego 1</t>
  </si>
  <si>
    <t>Patricia Ramirez</t>
  </si>
  <si>
    <t>Cl. 28 # 13 -15</t>
  </si>
  <si>
    <t>Elsa Salinas Sánchez</t>
  </si>
  <si>
    <t>Cr. 17 # 173-52</t>
  </si>
  <si>
    <t>Tr 1. Conj. Moraika</t>
  </si>
  <si>
    <t>Andres Rincon Gomez</t>
  </si>
  <si>
    <t>Cl. 68 # 12-39</t>
  </si>
  <si>
    <t>Nicolas Hurtado Rey</t>
  </si>
  <si>
    <t>Cr. 5 # 81 - 50</t>
  </si>
  <si>
    <t>Tr. 2 Conj. Pinar alto</t>
  </si>
  <si>
    <t>Ana María Cuevas Gaitán</t>
  </si>
  <si>
    <t>Cl. 102 # 22-37</t>
  </si>
  <si>
    <t>Sandra Castilla S</t>
  </si>
  <si>
    <t>Cl. 94 # 17 - 44</t>
  </si>
  <si>
    <t>Angie Vanessa Charry</t>
  </si>
  <si>
    <t>Cra 28 #10-40</t>
  </si>
  <si>
    <t>Centro comercial de las artes graficas</t>
  </si>
  <si>
    <t>312 4028151</t>
  </si>
  <si>
    <t>Juanita Estrada Ocampo</t>
  </si>
  <si>
    <t>Cl. 122 #21-21</t>
  </si>
  <si>
    <t>313 5727310</t>
  </si>
  <si>
    <t xml:space="preserve">María Fernanda Santacruz Sepúlveda </t>
  </si>
  <si>
    <t>Cr. 7F #145 - 12</t>
  </si>
  <si>
    <t>Alisos Apartamentos</t>
  </si>
  <si>
    <t>Rosmary Quintana</t>
  </si>
  <si>
    <t>Calle 159 # 54-70</t>
  </si>
  <si>
    <t>Angelica Aguilar Rueda</t>
  </si>
  <si>
    <t>Cl. 142 #6 -69</t>
  </si>
  <si>
    <t xml:space="preserve">Tr. 10 </t>
  </si>
  <si>
    <t>Patricia García López</t>
  </si>
  <si>
    <t>Cl. 25 # 68 A - 70</t>
  </si>
  <si>
    <t>Condominio Pontoverdi</t>
  </si>
  <si>
    <t>Carolina Pérez Peña</t>
  </si>
  <si>
    <t>Cl. 106 # 48 -08</t>
  </si>
  <si>
    <t>Diana Lucía Pedraza Rojas</t>
  </si>
  <si>
    <t>Cr. 58 # 119A - 49</t>
  </si>
  <si>
    <t xml:space="preserve">Tr. 2 </t>
  </si>
  <si>
    <t>María Rosa Calderón</t>
  </si>
  <si>
    <t>Cr.11 A # 117 - 24</t>
  </si>
  <si>
    <t xml:space="preserve">Edf. Atlantis II </t>
  </si>
  <si>
    <t>Sandra Baute</t>
  </si>
  <si>
    <t>Cr. 80 # 137 A - 75</t>
  </si>
  <si>
    <t xml:space="preserve">Casa 3 </t>
  </si>
  <si>
    <t>María José Cuello de Baute</t>
  </si>
  <si>
    <t>Cr. 16 # 134 A - 68</t>
  </si>
  <si>
    <t>Barrio contador</t>
  </si>
  <si>
    <t>Patrizia Domingez</t>
  </si>
  <si>
    <t>Cr. 16 #127 B - 43</t>
  </si>
  <si>
    <t>Tr. 5 Retiro de santamonica</t>
  </si>
  <si>
    <t>Catalina Mejía López</t>
  </si>
  <si>
    <t>Cr. 7  # 66-10</t>
  </si>
  <si>
    <t>Edf. Torre Panorama</t>
  </si>
  <si>
    <t>Maria Camila Navarro Jiménez</t>
  </si>
  <si>
    <t>Cl. 18 # 86 - 55</t>
  </si>
  <si>
    <t xml:space="preserve">Tr.1 </t>
  </si>
  <si>
    <t>Hayueloa</t>
  </si>
  <si>
    <t>Adriana Jimenez Prada</t>
  </si>
  <si>
    <t>Cr. 19 A #86 A -67</t>
  </si>
  <si>
    <t>Conjunto Antiguo Country</t>
  </si>
  <si>
    <t xml:space="preserve">Jeny Pahola Quevedo Tapia </t>
  </si>
  <si>
    <t>Cl. 161 # 54 87</t>
  </si>
  <si>
    <t>A1103</t>
  </si>
  <si>
    <t>Conjunto Corinto</t>
  </si>
  <si>
    <t>Daniel Rincón montealegre</t>
  </si>
  <si>
    <t>Cr. 45 # 128 D - 20</t>
  </si>
  <si>
    <t xml:space="preserve">Unidad 5 </t>
  </si>
  <si>
    <t>Katerine Contreras Villarraga</t>
  </si>
  <si>
    <t>Cr. 50 B # 64 - 43</t>
  </si>
  <si>
    <t>Tr.B Edf. Caminos del Viento 2</t>
  </si>
  <si>
    <t>Angela Quintero</t>
  </si>
  <si>
    <t>Cl. 78 D # 110 - 22</t>
  </si>
  <si>
    <t>Portal de Mortiño</t>
  </si>
  <si>
    <t>Villas de granada</t>
  </si>
  <si>
    <t>Ana María Mesa</t>
  </si>
  <si>
    <t>Cr.13 # 66 - 09</t>
  </si>
  <si>
    <t>Daniel Ordóñez Gómez</t>
  </si>
  <si>
    <t>CR. 51 # 104 B - 51</t>
  </si>
  <si>
    <t>401 B</t>
  </si>
  <si>
    <t>Claudia Catalina Tibana Guerra</t>
  </si>
  <si>
    <t>Cl. 165 B # 13 C - 55</t>
  </si>
  <si>
    <t>Tr.2 Caminos de san roque</t>
  </si>
  <si>
    <t>Maria Jose Gomez Herrera</t>
  </si>
  <si>
    <t>Cl. 87 # 11 a - 64</t>
  </si>
  <si>
    <t>Olga Vargas Olaya</t>
  </si>
  <si>
    <t xml:space="preserve">Cr. 8 #173 - 50 </t>
  </si>
  <si>
    <t>casa 38</t>
  </si>
  <si>
    <t>Gira Ballestas Torres</t>
  </si>
  <si>
    <t>Cl. 173 # 7-95</t>
  </si>
  <si>
    <t xml:space="preserve">Tr.1 Edf. Rioja </t>
  </si>
  <si>
    <t>María Catalina Visbal</t>
  </si>
  <si>
    <t>Cl. 86 # 7 - 86</t>
  </si>
  <si>
    <t>Edf. Cabrera 86</t>
  </si>
  <si>
    <t>Angela Doriana Faccini Orozco</t>
  </si>
  <si>
    <t>Cl. 93 A # 19 - 69</t>
  </si>
  <si>
    <t>Pilar Salazar</t>
  </si>
  <si>
    <t>Cl. 146 # 13 - 67</t>
  </si>
  <si>
    <t>Edf. Balcones de santa ana</t>
  </si>
  <si>
    <t>Maria Constanza Duque Treffry</t>
  </si>
  <si>
    <t>calle 127 B # 19-18</t>
  </si>
  <si>
    <t xml:space="preserve">Casa 8 </t>
  </si>
  <si>
    <t>Viviana Vela Díaz</t>
  </si>
  <si>
    <t>Cl. 117 # 11 A - 46</t>
  </si>
  <si>
    <t>María Camila Amortegui</t>
  </si>
  <si>
    <t>Cr. 21 # 120 - 65</t>
  </si>
  <si>
    <t>Catalina Pachon</t>
  </si>
  <si>
    <t>Edf. Maua</t>
  </si>
  <si>
    <t>Catalina Velandia Guzmán</t>
  </si>
  <si>
    <t>Cr. 49 # 99 - 23</t>
  </si>
  <si>
    <t>Edf. Castellana Tower 100</t>
  </si>
  <si>
    <t>3187729 172</t>
  </si>
  <si>
    <t>María Paula Cruz Mantilla</t>
  </si>
  <si>
    <t>Cl. 81 # 9 -24</t>
  </si>
  <si>
    <t>Sofia Prada Cala</t>
  </si>
  <si>
    <t>Cr. 45 A # 106 - 46</t>
  </si>
  <si>
    <t>Angelica Roriguez Ward</t>
  </si>
  <si>
    <t xml:space="preserve">Cl. 22 d # 72 - 41 </t>
  </si>
  <si>
    <t>Tr. 2 Conjunto la cascada</t>
  </si>
  <si>
    <t>Diana Carolina Bohórquez Roa</t>
  </si>
  <si>
    <t>Tv 21 # 94 a- 32</t>
  </si>
  <si>
    <t>Edf. Treviso</t>
  </si>
  <si>
    <t>Chico norte</t>
  </si>
  <si>
    <t>Laura Lucía Clavijo Garzón</t>
  </si>
  <si>
    <t>Cl. 65 # 9 - 07</t>
  </si>
  <si>
    <t>Edf. Avalon</t>
  </si>
  <si>
    <t>Vivian de Barrios</t>
  </si>
  <si>
    <t>Crr 78 # 128 - 99</t>
  </si>
  <si>
    <t>Casa 28</t>
  </si>
  <si>
    <t xml:space="preserve">unidad 7 </t>
  </si>
  <si>
    <t>Juliana Romero Acevedo</t>
  </si>
  <si>
    <t xml:space="preserve">Cr. 19 C # 88 - 51 </t>
  </si>
  <si>
    <t>Diego Pachon</t>
  </si>
  <si>
    <t>Cl. 60 A # 5 - 23</t>
  </si>
  <si>
    <t>Juanita Tejeiro Concha</t>
  </si>
  <si>
    <t>Cl. 183 # 78 - 35</t>
  </si>
  <si>
    <t>Centro Ecuestre la lomita</t>
  </si>
  <si>
    <t>Mónica Silva Salcedo</t>
  </si>
  <si>
    <t>Cr. 22 A # 85 A - 27</t>
  </si>
  <si>
    <t>Siria Well Jiménez Orozco</t>
  </si>
  <si>
    <t xml:space="preserve">Cl. 142 # 16 -08 </t>
  </si>
  <si>
    <t>Edf. Santorini</t>
  </si>
  <si>
    <t>Juan Antonio Sanmiguel Herrera</t>
  </si>
  <si>
    <t>Cl. 102 # 15 - 58</t>
  </si>
  <si>
    <t>María Paula Sánchez Rivera</t>
  </si>
  <si>
    <t>Cr. 13 # 88 -17</t>
  </si>
  <si>
    <t xml:space="preserve">Jorge Navia </t>
  </si>
  <si>
    <t>Cr. 13 # 100 - 39</t>
  </si>
  <si>
    <t>Edf. Dama Juana</t>
  </si>
  <si>
    <t>Carolina Paredes Paz</t>
  </si>
  <si>
    <t>Cr. 87 A # 83 C - 29</t>
  </si>
  <si>
    <t>David M. González M.</t>
  </si>
  <si>
    <t>Tr. 3 Conj. La cascada</t>
  </si>
  <si>
    <t>María Carolina Rodríguez Bonilla</t>
  </si>
  <si>
    <t>Cr. 13 A # 110 - 48</t>
  </si>
  <si>
    <t>Catalina Gutiérrez Mendoza</t>
  </si>
  <si>
    <t>Cl. 147 # 12 - 72</t>
  </si>
  <si>
    <t>Edf. New Castle</t>
  </si>
  <si>
    <t>Laura Natalia Linares Pineda</t>
  </si>
  <si>
    <t>Cr. 9 A # 113 - 87</t>
  </si>
  <si>
    <t>Laura Mejía</t>
  </si>
  <si>
    <t>Cl. 71 # 2 A - 94</t>
  </si>
  <si>
    <t>Victoria Casas</t>
  </si>
  <si>
    <t>Laura Estefanía Cuervo Santamaría</t>
  </si>
  <si>
    <t>Cl. 127 # 17 A- 64</t>
  </si>
  <si>
    <t>SoHo 127</t>
  </si>
  <si>
    <t>Carolina Bustamante Zuluaga</t>
  </si>
  <si>
    <t>Trv. 21 # 95 -63</t>
  </si>
  <si>
    <t>Clara Ines Amaya</t>
  </si>
  <si>
    <t>Cl. 98 # 19 A - 21</t>
  </si>
  <si>
    <t>Alejandra Carrillo Cambas</t>
  </si>
  <si>
    <t>Cr. 14 # 104 - 74</t>
  </si>
  <si>
    <t>Tr.2 Edf. Morisot</t>
  </si>
  <si>
    <t>Lorena Heredia</t>
  </si>
  <si>
    <t>Tr. 2 Caminos del viento 2</t>
  </si>
  <si>
    <t>Patricia Pizano Narvaez</t>
  </si>
  <si>
    <t>Cl. 92 # 16 -30</t>
  </si>
  <si>
    <t>Alina Schuttmann Correa</t>
  </si>
  <si>
    <t>Cr. 76 # 145-51</t>
  </si>
  <si>
    <t>Tr. 4 Edf. Salamanca y Calatayud</t>
  </si>
  <si>
    <t>Pilar Hernández</t>
  </si>
  <si>
    <t>Cr. 6 # 86 - 60</t>
  </si>
  <si>
    <t>Ent. 7 Edf Mirador del refugio</t>
  </si>
  <si>
    <t>Sergio Ochoa Pérez</t>
  </si>
  <si>
    <t>Nicolás Achury González</t>
  </si>
  <si>
    <t>Cl .106 # 45 -39</t>
  </si>
  <si>
    <t>Andrea González León</t>
  </si>
  <si>
    <t>Cr. 13 A # 28 - 21</t>
  </si>
  <si>
    <t>Leticia Noriega</t>
  </si>
  <si>
    <t>Cr. 11 # 110 -31</t>
  </si>
  <si>
    <t>María Juliana Hernandez Marsiglia</t>
  </si>
  <si>
    <t>Cr. 103 D # 83 - 35</t>
  </si>
  <si>
    <t>Casa 21</t>
  </si>
  <si>
    <t>Manzana F</t>
  </si>
  <si>
    <t>Camila Ferro Yepes</t>
  </si>
  <si>
    <t>Laura Ibarra Méndez</t>
  </si>
  <si>
    <t>Cr. 73 # 152 B - 65</t>
  </si>
  <si>
    <t>Tr. 2 Conj. Ebano Veramonte</t>
  </si>
  <si>
    <t>Natalia Acevedo Moreu</t>
  </si>
  <si>
    <t>Cl. 64 # 5 - 22</t>
  </si>
  <si>
    <t>Edf. Berom 1</t>
  </si>
  <si>
    <t>María Andrea Ferro Vega</t>
  </si>
  <si>
    <t>Cl. 114 a# 18 -52</t>
  </si>
  <si>
    <t>Laura Botero Morales</t>
  </si>
  <si>
    <t>Trv. 2 A # 68 - 61</t>
  </si>
  <si>
    <t>Lilibeth Perez</t>
  </si>
  <si>
    <t>Cl. 144 # 12 -61</t>
  </si>
  <si>
    <t>Andres Mora Nava</t>
  </si>
  <si>
    <t>carera 11 # 109 -30</t>
  </si>
  <si>
    <t>torre B</t>
  </si>
  <si>
    <t>Valentina y Silvana Ricardo</t>
  </si>
  <si>
    <t>Cll 138 # 10a - 97</t>
  </si>
  <si>
    <t>Edificio Teyuna</t>
  </si>
  <si>
    <t>Andrea Angulo</t>
  </si>
  <si>
    <t>Crr 22 # 101 - 45</t>
  </si>
  <si>
    <t>Edificio Gardens 101</t>
  </si>
  <si>
    <t>Mariana Gutiérrez Reyes</t>
  </si>
  <si>
    <t>Cr 7b # 108 09</t>
  </si>
  <si>
    <t>casa 1</t>
  </si>
  <si>
    <t xml:space="preserve">Yolanda Cruz </t>
  </si>
  <si>
    <t>Crr 11bis # 124a - 66</t>
  </si>
  <si>
    <t>Buganvilla Torre 5</t>
  </si>
  <si>
    <t>Maria Camila Gonzalez</t>
  </si>
  <si>
    <t>Calle 96 no 21 33</t>
  </si>
  <si>
    <t>Edificio goa</t>
  </si>
  <si>
    <t>Alicia Pedraza</t>
  </si>
  <si>
    <t>Cll 126 # 11B - 90</t>
  </si>
  <si>
    <t>Blanca Libia Perdomo</t>
  </si>
  <si>
    <t>Calle 160 #60-07</t>
  </si>
  <si>
    <t>Tr 6</t>
  </si>
  <si>
    <t>Sonia Romero</t>
  </si>
  <si>
    <t>Diagonal 115a # 70d 95</t>
  </si>
  <si>
    <t>B03</t>
  </si>
  <si>
    <t>Bloque 4</t>
  </si>
  <si>
    <t xml:space="preserve">torres de valencia </t>
  </si>
  <si>
    <t>Estefanía López</t>
  </si>
  <si>
    <t>Calle 21 # 1 -35, Chía</t>
  </si>
  <si>
    <t>Blo 1</t>
  </si>
  <si>
    <t>Edificio portana</t>
  </si>
  <si>
    <t xml:space="preserve">Alexandra Mora </t>
  </si>
  <si>
    <t>Carrera 5 # 85-89</t>
  </si>
  <si>
    <t>Crr 13a # 107a - 10 (Cr. 1 Este # 84 B-91)</t>
  </si>
  <si>
    <t>201 -1(103)</t>
  </si>
  <si>
    <t>tre 1</t>
  </si>
  <si>
    <t>REVISAR CLIENTE</t>
  </si>
  <si>
    <t>Hernando Mora/ Isabel de Mora</t>
  </si>
  <si>
    <t xml:space="preserve">Cll 121 No. 3A-20 </t>
  </si>
  <si>
    <t xml:space="preserve">Cerros de Los Alpes codigo </t>
  </si>
  <si>
    <t xml:space="preserve">MARIA INES </t>
  </si>
  <si>
    <t>Camila Diaz Guevara</t>
  </si>
  <si>
    <t>Cl. 95 A # 71 A - 92</t>
  </si>
  <si>
    <t xml:space="preserve">Edf. Abedule </t>
  </si>
  <si>
    <t xml:space="preserve">cliente por revisar </t>
  </si>
  <si>
    <t>Claudia Herrera</t>
  </si>
  <si>
    <t>Cr. 15 # 127 - 66</t>
  </si>
  <si>
    <t xml:space="preserve">CLIENTE POR REVISAR </t>
  </si>
  <si>
    <t>María Alejandra Chocolates</t>
  </si>
  <si>
    <t>Cl. 57 # 8 - 24</t>
  </si>
  <si>
    <t>Vannesa Gamba Perilla</t>
  </si>
  <si>
    <t>Cr. 7 # 52 - 23</t>
  </si>
  <si>
    <t>Tr.1 Edf. Punto 52</t>
  </si>
  <si>
    <t>Christian Eduardo Geraldino Galindo</t>
  </si>
  <si>
    <t>Cl. 57 # 37 A - 38</t>
  </si>
  <si>
    <t>Elisa Echavarría Jaramillo</t>
  </si>
  <si>
    <t>Cl. 79 B # 5 -72</t>
  </si>
  <si>
    <t>Monica Alvarado Camero</t>
  </si>
  <si>
    <t>Cr. 10 # 113 -75</t>
  </si>
  <si>
    <t>Adriana Vasquez González</t>
  </si>
  <si>
    <t>Cl. 96 # 19 a-83</t>
  </si>
  <si>
    <t>Tr. 2 Edf. Casa chico</t>
  </si>
  <si>
    <t>Julieth Andrea Calderón Prieto</t>
  </si>
  <si>
    <t>Cl. 15 A sur # 29 C - 38</t>
  </si>
  <si>
    <t>La Fragua Casa</t>
  </si>
  <si>
    <t>Marinel Rincón Foronda</t>
  </si>
  <si>
    <t>Cl. 98 Bis # 20-46</t>
  </si>
  <si>
    <t>Edf. Edizione 2008</t>
  </si>
  <si>
    <t>Camila Melo</t>
  </si>
  <si>
    <t>Cr. 14 A # 127 A - 36</t>
  </si>
  <si>
    <t>Eliana Rodríguez Durán</t>
  </si>
  <si>
    <t>Cl 152b#73-26</t>
  </si>
  <si>
    <t>Tr 5</t>
  </si>
  <si>
    <t>Andrea Erika Nathalie Lopez</t>
  </si>
  <si>
    <t>Cl. 85 # 16 28</t>
  </si>
  <si>
    <t>Judy Eliana Samaca Vargas</t>
  </si>
  <si>
    <t>Cl. 176 # 54 - 15</t>
  </si>
  <si>
    <t xml:space="preserve">Nombre </t>
  </si>
  <si>
    <t xml:space="preserve">Dirección </t>
  </si>
  <si>
    <t>Apto</t>
  </si>
  <si>
    <t>Info. Adicional</t>
  </si>
  <si>
    <t>Zona</t>
  </si>
  <si>
    <t>Contacto</t>
  </si>
  <si>
    <t xml:space="preserve">Cedula </t>
  </si>
  <si>
    <t xml:space="preserve">Correo Electronico </t>
  </si>
  <si>
    <t xml:space="preserve">Maria Ines Aparecio Mama de Jose Pablo </t>
  </si>
  <si>
    <t>Crr 5 este # 109 - 15</t>
  </si>
  <si>
    <t xml:space="preserve">MAMA DE JOSE PABLO </t>
  </si>
  <si>
    <t>Cl. 106 A # 20 - 07</t>
  </si>
  <si>
    <t>claudia.hvicaria@gmail.com</t>
  </si>
  <si>
    <t>Cr. 47 # 56 B-31</t>
  </si>
  <si>
    <t>Edf. Castello</t>
  </si>
  <si>
    <t xml:space="preserve">angelarami07@yahoo.com
</t>
  </si>
  <si>
    <t>Calle 92# 17 -31</t>
  </si>
  <si>
    <t xml:space="preserve">valengarces04@gmail.com
</t>
  </si>
  <si>
    <t xml:space="preserve">Cra 16 #96-71 </t>
  </si>
  <si>
    <t>Edificio Atua 97</t>
  </si>
  <si>
    <t>mbberrio@hotmail.com</t>
  </si>
  <si>
    <t>Cr. 21 # 133-65</t>
  </si>
  <si>
    <t>Casa 23</t>
  </si>
  <si>
    <t>Edf. Itapúa</t>
  </si>
  <si>
    <t>veronica_acuna@hotmail.com</t>
  </si>
  <si>
    <t>ilsechavarriaga@hotmail.com</t>
  </si>
  <si>
    <t>Cr. 18 # 93-15</t>
  </si>
  <si>
    <t>Edf. Area 98</t>
  </si>
  <si>
    <t xml:space="preserve">andrea.montealegr92@gmail.com
</t>
  </si>
  <si>
    <t>Cr. 52 B # 116-24</t>
  </si>
  <si>
    <t>morales_7@hotmail.com</t>
  </si>
  <si>
    <t xml:space="preserve">Carrera 16 # 127-17 
</t>
  </si>
  <si>
    <t xml:space="preserve">Rivera de Santa Clara 
</t>
  </si>
  <si>
    <t>M.Camilavalderrama92@gmail.com</t>
  </si>
  <si>
    <t>Trv 3 #85-10</t>
  </si>
  <si>
    <t>Torre A</t>
  </si>
  <si>
    <t>dgschalma@gmail.com</t>
  </si>
  <si>
    <t>AK 9 # 127 C-36</t>
  </si>
  <si>
    <t>Tr. San Marino</t>
  </si>
  <si>
    <t>lauracov@gmail.com</t>
  </si>
  <si>
    <t>Julio Durán</t>
  </si>
  <si>
    <t>CL. 51 # 3 - 98</t>
  </si>
  <si>
    <t>Edi El Prado</t>
  </si>
  <si>
    <t>duranj87@hotmail.com</t>
  </si>
  <si>
    <t>Maria jose Rojas (Ana Abondano)</t>
  </si>
  <si>
    <t>Calle 93a#19-50</t>
  </si>
  <si>
    <t xml:space="preserve">CARRERA 5 # 4a SUR 79
</t>
  </si>
  <si>
    <t xml:space="preserve">Torre 3 Cajicá en el ed de spinning center conjunto residencial Pietra
</t>
  </si>
  <si>
    <t>cajica</t>
  </si>
  <si>
    <t xml:space="preserve">nataliapf27@hotmail.com
</t>
  </si>
  <si>
    <t>Victoria Galindo Cruz (Martha Cecilia Lopez)</t>
  </si>
  <si>
    <t>Cll 125 # 18a - 21</t>
  </si>
  <si>
    <t xml:space="preserve"> Cl. 94 # 18 -66</t>
  </si>
  <si>
    <t>Karen Guerrero Ayala</t>
  </si>
  <si>
    <t>Cl. 78 B # 120-92</t>
  </si>
  <si>
    <t>Prados de las sabana II</t>
  </si>
  <si>
    <t>Ka.digitalcreative@gmail.com</t>
  </si>
  <si>
    <t>Juliana Franco Fina</t>
  </si>
  <si>
    <t>Cl. 88 # 16-18</t>
  </si>
  <si>
    <t>julianaffnm@gmail.com</t>
  </si>
  <si>
    <t>Camilo Zuluaga Restrepo</t>
  </si>
  <si>
    <t>Cr. 16 # 85-66</t>
  </si>
  <si>
    <t>Cl. 128 # 18-47</t>
  </si>
  <si>
    <t>Santana de la Calleja II</t>
  </si>
  <si>
    <t xml:space="preserve">lorenaneira.ramirez@gmail.com
</t>
  </si>
  <si>
    <t xml:space="preserve">Cra 17 # 90-50 </t>
  </si>
  <si>
    <t>- arboesteban@gmail.com</t>
  </si>
  <si>
    <t>Cl. 85 A # 20-61</t>
  </si>
  <si>
    <t>mapecardona@gmail.com</t>
  </si>
  <si>
    <t>Cl. 118 # 51-13</t>
  </si>
  <si>
    <t>Edf. Ababol</t>
  </si>
  <si>
    <t>- tariasaleman@gmail.com</t>
  </si>
  <si>
    <t>Londres Davies</t>
  </si>
  <si>
    <t>Cl. 84 C # 7 A- 16 (Calle 84 #7-16)</t>
  </si>
  <si>
    <t xml:space="preserve">londondavies@gmail.com
</t>
  </si>
  <si>
    <t xml:space="preserve"> Carrera 11A # 96- 02</t>
  </si>
  <si>
    <t>lincamartinez@gmail.com</t>
  </si>
  <si>
    <t xml:space="preserve">Cl. 145A # 15 - 40 </t>
  </si>
  <si>
    <t>alejandrajjs@hotmail.com</t>
  </si>
  <si>
    <t>Cr. 10 No. 94 49</t>
  </si>
  <si>
    <t>Lorenzo.lojara@gmail.com</t>
  </si>
  <si>
    <t>Crr 53 # 103 b - 90</t>
  </si>
  <si>
    <t>504w</t>
  </si>
  <si>
    <t>Edificio Bosque Pasadena</t>
  </si>
  <si>
    <t>tibaquira_laura@yahoo.com</t>
  </si>
  <si>
    <t xml:space="preserve">Tre 1 - Conjunto Residencial Altavista
</t>
  </si>
  <si>
    <t>natarose11@gmail.com</t>
  </si>
  <si>
    <t>Adriana Giraldo Olmos</t>
  </si>
  <si>
    <t>Cl. 139 # 73 - 20</t>
  </si>
  <si>
    <t>Casa. Conj. El Velero</t>
  </si>
  <si>
    <t>agiraldolmos@gmail.com</t>
  </si>
  <si>
    <t>Ximena de la Vega</t>
  </si>
  <si>
    <t>Cl. 125 # 56 - 25</t>
  </si>
  <si>
    <t>Casa 52</t>
  </si>
  <si>
    <t>Niza Cordoba</t>
  </si>
  <si>
    <t>xdelavega0302@gmail.com</t>
  </si>
  <si>
    <t>Cl.86 # 8-55</t>
  </si>
  <si>
    <t>Tr. C Torres de San José</t>
  </si>
  <si>
    <t>Anamariacastrowey@gmail.com</t>
  </si>
  <si>
    <t>Maía Moreno Cordoba</t>
  </si>
  <si>
    <t>Cr. 10 # 90 -13</t>
  </si>
  <si>
    <t>Tr. C Edf. Cabrechi</t>
  </si>
  <si>
    <t>Morenocordobamaria@gmail.com</t>
  </si>
  <si>
    <t>María Clara Neira Bossa</t>
  </si>
  <si>
    <t>Cl. 160 # 72 - 51</t>
  </si>
  <si>
    <t>Tr. 5 Conj. Residencial Picasso</t>
  </si>
  <si>
    <t>mariac_neira@hotmail.com</t>
  </si>
  <si>
    <t>Verónica Bayer de Ramírez</t>
  </si>
  <si>
    <t>Cr. 14 A # 127 A - 67</t>
  </si>
  <si>
    <t>Edf. La Esperanza</t>
  </si>
  <si>
    <t>maria_ines_roa@hotmail.com</t>
  </si>
  <si>
    <t>Begoña Aristy Capitán</t>
  </si>
  <si>
    <t>Cr. 7 A # 97 - 19</t>
  </si>
  <si>
    <t>begoac@icloud.com</t>
  </si>
  <si>
    <t>Diagonal 5 A No. 37 B 19</t>
  </si>
  <si>
    <t>Bosques de Comuneros etapa 1 edificio 16</t>
  </si>
  <si>
    <t>Puente Aranda</t>
  </si>
  <si>
    <t xml:space="preserve">cvvarona@unal.edu.co
</t>
  </si>
  <si>
    <t>Ana María Mendez</t>
  </si>
  <si>
    <t>Cl.112 # 6 B - 22</t>
  </si>
  <si>
    <t>anismendez@hotmail.com</t>
  </si>
  <si>
    <t>César Hurtado</t>
  </si>
  <si>
    <t>Cl. 74 # 10 - 47</t>
  </si>
  <si>
    <t>⁠hurtadoreyescesar@gmail.com</t>
  </si>
  <si>
    <t>Trv. 13 D # 166 - 50</t>
  </si>
  <si>
    <t>Torre 3 Etapa 3</t>
  </si>
  <si>
    <t>sandra.ibagon@gmail.com</t>
  </si>
  <si>
    <t xml:space="preserve">Cr. 64A # 22 - 14 </t>
  </si>
  <si>
    <t xml:space="preserve">oficinadeprensasds@gmail.com
</t>
  </si>
  <si>
    <t>Ann Jessica Romo Novoa</t>
  </si>
  <si>
    <t>annjessicaromo@gmail.com</t>
  </si>
  <si>
    <t>Edf. Altos del PRATO</t>
  </si>
  <si>
    <t>m.aguirre16@gmail.com</t>
  </si>
  <si>
    <t>Laura María Alvarado</t>
  </si>
  <si>
    <t>Cr. 1 Este # 76 A - 36</t>
  </si>
  <si>
    <t>Edf. Engawa</t>
  </si>
  <si>
    <t>lauramarialvarado@hotmail.com</t>
  </si>
  <si>
    <t>Carrera 68B #78-24</t>
  </si>
  <si>
    <t xml:space="preserve"> int. 1</t>
  </si>
  <si>
    <t>diazliliana.ldr@gmail.com</t>
  </si>
  <si>
    <t>Cl. 56 A # 72-50</t>
  </si>
  <si>
    <t>heidi.mahecha@yahoo.com</t>
  </si>
  <si>
    <t>Angie Hollmann</t>
  </si>
  <si>
    <t xml:space="preserve">Cr.7 A # 94 - 48 </t>
  </si>
  <si>
    <t>hmaria-angel@hotmail.com</t>
  </si>
  <si>
    <t>Martha Rubiano</t>
  </si>
  <si>
    <t>rubianomartha@yahoo.com</t>
  </si>
  <si>
    <t>María del Pilar Anzola Gil</t>
  </si>
  <si>
    <t>Cl. 95 # 21 - 39</t>
  </si>
  <si>
    <t>Pilaranzolagil@gmail.com</t>
  </si>
  <si>
    <t>Cra 22 127D-80</t>
  </si>
  <si>
    <t xml:space="preserve">Edificio Calleja 2000
</t>
  </si>
  <si>
    <t>catabaron@gmail.com</t>
  </si>
  <si>
    <t>Elizabeth Hassig</t>
  </si>
  <si>
    <t>Cl. 75 # 5 - 58</t>
  </si>
  <si>
    <t>ehassig27@gmail.com</t>
  </si>
  <si>
    <r>
      <rPr>
        <sz val="10"/>
        <color theme="1"/>
        <rFont val="Calibri"/>
        <family val="2"/>
      </rPr>
      <t>Cristina Pérez Escobar (</t>
    </r>
    <r>
      <rPr>
        <b/>
        <sz val="10"/>
        <color theme="1"/>
        <rFont val="Calibri"/>
        <family val="2"/>
      </rPr>
      <t>María Eugenia Escobar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</si>
  <si>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(Carrera 13A # 104-41</t>
    </r>
  </si>
  <si>
    <t>cristinapereze@gmail.com</t>
  </si>
  <si>
    <t>Nydia García</t>
  </si>
  <si>
    <t>Calle 69C # 105F-84</t>
  </si>
  <si>
    <t>Nydiagarciasolano@gmail.com</t>
  </si>
  <si>
    <t>Marta Gutiérrez X</t>
  </si>
  <si>
    <t>Cl. 111 # 45 A - 70</t>
  </si>
  <si>
    <t>monoma12@yahoo.com</t>
  </si>
  <si>
    <t>Calle 25B # 70B-50</t>
  </si>
  <si>
    <t>Tr. 4 Gran Resetvar de Mallorca</t>
  </si>
  <si>
    <t>malacouture@gmail.com</t>
  </si>
  <si>
    <t>Alba Cecilia Dupont Cruz</t>
  </si>
  <si>
    <t xml:space="preserve">Cl. 137 # 16 A - 16 </t>
  </si>
  <si>
    <t>acedupont@yahoo.com</t>
  </si>
  <si>
    <t xml:space="preserve">Gloria Pinzon de Borja </t>
  </si>
  <si>
    <t>Cr. 8 A # 153 - 56</t>
  </si>
  <si>
    <t>Tr. B1</t>
  </si>
  <si>
    <t>Conj. Mixto el moral correo</t>
  </si>
  <si>
    <t>Yoapinzon@gmail.com</t>
  </si>
  <si>
    <t>Claudia Mantilla</t>
  </si>
  <si>
    <t>Clau.mantilla@hotmail.com</t>
  </si>
  <si>
    <t>María Paula Carrillo Meneses</t>
  </si>
  <si>
    <t xml:space="preserve">Cr. 50 # 125 - 30 </t>
  </si>
  <si>
    <t>macarrillom@unal.edu.co</t>
  </si>
  <si>
    <t>Cl. 126 # 11 B-31</t>
  </si>
  <si>
    <t>anampulido@yahoo.com</t>
  </si>
  <si>
    <t>Fanny Carrero Cabrera</t>
  </si>
  <si>
    <t>Cl. 87 # 20 - 42</t>
  </si>
  <si>
    <t>fannyus125@hotmail.com</t>
  </si>
  <si>
    <t>Calle 26 A Bis No.  3-80 Apto 101</t>
  </si>
  <si>
    <t>mejivalencia@gmail.com</t>
  </si>
  <si>
    <t>María Emilia Mor</t>
  </si>
  <si>
    <t>mariaemor@hotmail.com</t>
  </si>
  <si>
    <t>Viviana Suarez</t>
  </si>
  <si>
    <t>Cl. 112 # 47 A - 62</t>
  </si>
  <si>
    <t>vivianitasuarez@gmail.com</t>
  </si>
  <si>
    <t>camilagobernal@gmail.com</t>
  </si>
  <si>
    <t>Felipe Franco Gutierrez</t>
  </si>
  <si>
    <t xml:space="preserve">Cr. 11 # 110 - 31 </t>
  </si>
  <si>
    <t xml:space="preserve">Tr. 4 </t>
  </si>
  <si>
    <t>francofel@gmail.com</t>
  </si>
  <si>
    <t>Lizbeth Pernett</t>
  </si>
  <si>
    <t>Cr. 6 # 123-45</t>
  </si>
  <si>
    <t>Edf. Altamonte</t>
  </si>
  <si>
    <t>Lizpernett@hotmail.com</t>
  </si>
  <si>
    <t xml:space="preserve">Calle 102 # 50-57
</t>
  </si>
  <si>
    <t>TRE 1</t>
  </si>
  <si>
    <t xml:space="preserve">camilag1195@gmail.com
</t>
  </si>
  <si>
    <t>Cl. 125 # 47-20</t>
  </si>
  <si>
    <t>Rnavas68@hotmail.com</t>
  </si>
  <si>
    <t>Datio Jesus Pardo Salazar</t>
  </si>
  <si>
    <t>Cl. 129 # 7 D - 49</t>
  </si>
  <si>
    <t xml:space="preserve">Edf. Akaiah </t>
  </si>
  <si>
    <t>Chuchopardos@gmail.com</t>
  </si>
  <si>
    <t>Bibiana Pelaez</t>
  </si>
  <si>
    <t>Cl 119a # 57-97</t>
  </si>
  <si>
    <t>Int 1 Lagos de cordoba</t>
  </si>
  <si>
    <t>bibianapelaezm@yahoo.com</t>
  </si>
  <si>
    <t>Vanesa Rodríguez Villamil</t>
  </si>
  <si>
    <t>CLL 4B # 23A - 28</t>
  </si>
  <si>
    <t xml:space="preserve">INT 1 </t>
  </si>
  <si>
    <t>Vanesarodriguezvillamil8@gmail.com</t>
  </si>
  <si>
    <t>Tr. 1 Barrio Cantalejo</t>
  </si>
  <si>
    <t>kariquin8710@gmail.com</t>
  </si>
  <si>
    <t>Liliana Olivares</t>
  </si>
  <si>
    <t>Cl 53 # 85k -11</t>
  </si>
  <si>
    <t>CASA</t>
  </si>
  <si>
    <t xml:space="preserve">lilijon09@hotmail.com
</t>
  </si>
  <si>
    <t>Alba Pedrozo</t>
  </si>
  <si>
    <t>Ak 50 # 61-10</t>
  </si>
  <si>
    <t>Barrio Nicolas de Federman Edi. torre verne</t>
  </si>
  <si>
    <t xml:space="preserve">Patypedrozo@gmail.com </t>
  </si>
  <si>
    <t>Giseth Paola Suarez</t>
  </si>
  <si>
    <t>Transv. 23 # 95-06</t>
  </si>
  <si>
    <t>edificio toledo</t>
  </si>
  <si>
    <t xml:space="preserve">giseth_9002@hotmail.com 
</t>
  </si>
  <si>
    <t>Stephanie Wagner</t>
  </si>
  <si>
    <t>Cl126#7-88</t>
  </si>
  <si>
    <t xml:space="preserve">stephaniew1234@gmail.com
</t>
  </si>
  <si>
    <t>CRA  3 #74a-41</t>
  </si>
  <si>
    <t>patricia.irisarri@yahoo.com</t>
  </si>
  <si>
    <t>Av 9 # 127B - 68</t>
  </si>
  <si>
    <t>Edificio Uranova</t>
  </si>
  <si>
    <t xml:space="preserve">PATRCIA CAMERO </t>
  </si>
  <si>
    <t xml:space="preserve">Juan Esteban Cardona </t>
  </si>
  <si>
    <t>Cll 126a #7-54</t>
  </si>
  <si>
    <t>Edificio Uptown 127</t>
  </si>
  <si>
    <t>Santa Barbara</t>
  </si>
  <si>
    <t xml:space="preserve">Juanes1299@hotmail.com
</t>
  </si>
  <si>
    <t>Mireya Duarte (Juan Lopez)</t>
  </si>
  <si>
    <t>Cr 19a # 135-11</t>
  </si>
  <si>
    <t xml:space="preserve">mireyad51@hotmail.com
</t>
  </si>
  <si>
    <t>María Consuelo Plazas</t>
  </si>
  <si>
    <t xml:space="preserve">Cr.18 # 124-21 </t>
  </si>
  <si>
    <t>Jardínes de Santa Bárbara</t>
  </si>
  <si>
    <t>mc.plazas10@gmail.com</t>
  </si>
  <si>
    <t>Natalia Arias Baraho</t>
  </si>
  <si>
    <t>Cra 55 # 159 53</t>
  </si>
  <si>
    <t>Entre verde gran reserva</t>
  </si>
  <si>
    <t>Nathalia Sandoval Amaya</t>
  </si>
  <si>
    <t>Cll 25b # 32a - 48</t>
  </si>
  <si>
    <t>Torre 9</t>
  </si>
  <si>
    <t>Natys284@hotmail.com</t>
  </si>
  <si>
    <t>Tra 4# 52a - 59</t>
  </si>
  <si>
    <t xml:space="preserve">Altos de Montejo </t>
  </si>
  <si>
    <t>vpmagical44@gmail.com</t>
  </si>
  <si>
    <t>josefina de Mendoza</t>
  </si>
  <si>
    <t>Cra 16 # 103 - 41</t>
  </si>
  <si>
    <t>Parque Chico</t>
  </si>
  <si>
    <t xml:space="preserve">Franciscomendozal@gmail.com
</t>
  </si>
  <si>
    <t>Cr. 20 # 137-53</t>
  </si>
  <si>
    <t>pabloco14@gmail.com</t>
  </si>
  <si>
    <t>Monica Quintero A</t>
  </si>
  <si>
    <t xml:space="preserve">Cra 13 # 153 - 81 </t>
  </si>
  <si>
    <t xml:space="preserve">monisquintero@hotmail.com
</t>
  </si>
  <si>
    <t xml:space="preserve">Mariu Guzman </t>
  </si>
  <si>
    <t>Crr 9a # 119 - 41</t>
  </si>
  <si>
    <t>Atalaya de Santa Barbara</t>
  </si>
  <si>
    <t xml:space="preserve">mariu.guzman@hotmail.com
</t>
  </si>
  <si>
    <t>Francy Hernandez</t>
  </si>
  <si>
    <t>Cll 112 # 17- 77</t>
  </si>
  <si>
    <t>Francyh.91@gmail.com</t>
  </si>
  <si>
    <t>Ivan Mojica</t>
  </si>
  <si>
    <t>Crr 19b # 86a - 31</t>
  </si>
  <si>
    <t>ivanmojicao@gmail.com</t>
  </si>
  <si>
    <t>Juanita Uribe Londoño</t>
  </si>
  <si>
    <t xml:space="preserve">Av Carrera 19 # 91 - 16 </t>
  </si>
  <si>
    <t xml:space="preserve">Chico Royal </t>
  </si>
  <si>
    <t>juanauribe58@hotmail.com</t>
  </si>
  <si>
    <t xml:space="preserve">Monica Linares Moreno </t>
  </si>
  <si>
    <t>Crr 50 # 19 - 32</t>
  </si>
  <si>
    <t>Estacion de servicio Petrobras</t>
  </si>
  <si>
    <t xml:space="preserve">mlinares@alpuvensa.com 
</t>
  </si>
  <si>
    <t>María Clara Escobar ( Lina Gutierrez)</t>
  </si>
  <si>
    <t>Trav 1 este # 54a - 47</t>
  </si>
  <si>
    <t>Kubik 54</t>
  </si>
  <si>
    <t xml:space="preserve">gutierrezvasquezlina@gmail.com
</t>
  </si>
  <si>
    <t>Antonio jose Cardozo</t>
  </si>
  <si>
    <t xml:space="preserve">Cll 112 # 1 - 16 </t>
  </si>
  <si>
    <t>anjoca1@hotmail.com</t>
  </si>
  <si>
    <t>Ana Sevillano</t>
  </si>
  <si>
    <t>Cll 118 # 11a - 05</t>
  </si>
  <si>
    <t xml:space="preserve">anam.sevillano@gmail.com
</t>
  </si>
  <si>
    <t>Carmen Pollyanna Restrepo</t>
  </si>
  <si>
    <t>Cll 72a # 20a - 53</t>
  </si>
  <si>
    <t xml:space="preserve">asesorias@cpretrepo.com
</t>
  </si>
  <si>
    <t>Magda Cepeda</t>
  </si>
  <si>
    <t xml:space="preserve">Crr 12a # 145a - 22 </t>
  </si>
  <si>
    <t xml:space="preserve">mccepedag@gmail.com
</t>
  </si>
  <si>
    <t>Cll 146# 12a - 40</t>
  </si>
  <si>
    <t>Torre almeria 1</t>
  </si>
  <si>
    <t xml:space="preserve">y.romero.1989@gmail.com
</t>
  </si>
  <si>
    <t>Caroline Johnson</t>
  </si>
  <si>
    <t xml:space="preserve">Cll 12 # 2 - 77  </t>
  </si>
  <si>
    <t xml:space="preserve">carolineckj@gmail.com
</t>
  </si>
  <si>
    <t>Juana Arbelaez</t>
  </si>
  <si>
    <t>Crr 17 # 136 - 53</t>
  </si>
  <si>
    <t>Torre B</t>
  </si>
  <si>
    <t>39686 445</t>
  </si>
  <si>
    <t>juanateresaarbelaez@yahoo.com</t>
  </si>
  <si>
    <t xml:space="preserve">Daniela Ceron Delgado </t>
  </si>
  <si>
    <t xml:space="preserve">Cll 92 # 13 - 21 </t>
  </si>
  <si>
    <t xml:space="preserve">dani_c.d@hotmail.com 
</t>
  </si>
  <si>
    <t xml:space="preserve">Angelica Gomez </t>
  </si>
  <si>
    <t>Cll 123#10a-12</t>
  </si>
  <si>
    <t>angelicagomeztorres@hotmail.com</t>
  </si>
  <si>
    <t xml:space="preserve">Maria Paula Godoy </t>
  </si>
  <si>
    <t>Cll 126 # 51 - 12</t>
  </si>
  <si>
    <t xml:space="preserve">mpgodoycasasbuenas@gmail.com 
</t>
  </si>
  <si>
    <t xml:space="preserve">Victor Sandoval </t>
  </si>
  <si>
    <t>Cll 147#14-69</t>
  </si>
  <si>
    <t xml:space="preserve">victorgabo88@hotmail.com 
</t>
  </si>
  <si>
    <t xml:space="preserve">Cll 94 # 16 - 83 </t>
  </si>
  <si>
    <t xml:space="preserve">aeo3000@gmail.com 
</t>
  </si>
  <si>
    <t>Juliana Castro</t>
  </si>
  <si>
    <t>Carrera 17#90-57 apto 203</t>
  </si>
  <si>
    <t>castrojuliana89@gmail.com</t>
  </si>
  <si>
    <t>Beatriz Rojas</t>
  </si>
  <si>
    <t xml:space="preserve">CRA 21#35-31 </t>
  </si>
  <si>
    <t xml:space="preserve">bearojas70@gmail.com
</t>
  </si>
  <si>
    <t>Nelly Muñoz</t>
  </si>
  <si>
    <t>Cra 12 A # 77-22</t>
  </si>
  <si>
    <t>Nellymroldan@gmail.com</t>
  </si>
  <si>
    <t xml:space="preserve">CHIA </t>
  </si>
  <si>
    <t>andrecc_74@hotmail.com</t>
  </si>
  <si>
    <t>Tania Setzer Espino</t>
  </si>
  <si>
    <t>Cra 17a # 103a - 31</t>
  </si>
  <si>
    <t xml:space="preserve">ts.espino@gmail.com
</t>
  </si>
  <si>
    <t>Laura Alejandra Dueñas Gonzales</t>
  </si>
  <si>
    <t>Cll 163b # 50-32</t>
  </si>
  <si>
    <t>Estancia 1</t>
  </si>
  <si>
    <t xml:space="preserve">Laudg12@gmail.com
</t>
  </si>
  <si>
    <t xml:space="preserve">Calle 95 no 9 - 80 
</t>
  </si>
  <si>
    <t xml:space="preserve">Aurapi78@hotmail.com
</t>
  </si>
  <si>
    <t>Cra 7b # 135- 77</t>
  </si>
  <si>
    <t>Tre 1</t>
  </si>
  <si>
    <t>isateno@gmail.com</t>
  </si>
  <si>
    <t>Cl. 68 # 4 A - 61</t>
  </si>
  <si>
    <t>PISO 4</t>
  </si>
  <si>
    <t>fatyesparza@yahoo.com</t>
  </si>
  <si>
    <t>Raul Eduardo MartInez lugo</t>
  </si>
  <si>
    <t>Cra 11D # 125A -51</t>
  </si>
  <si>
    <t>rmartinl@me.com</t>
  </si>
  <si>
    <t>Valeria Jimenez</t>
  </si>
  <si>
    <t>Cll 86 # 19c -23</t>
  </si>
  <si>
    <t xml:space="preserve">valejimenezga@hotmail.com
</t>
  </si>
  <si>
    <t>Mariana Ramirez Gome</t>
  </si>
  <si>
    <t>Cra 1#84a-71</t>
  </si>
  <si>
    <t>Mayitaramirez@gmail.com</t>
  </si>
  <si>
    <t xml:space="preserve">Tomas Santander </t>
  </si>
  <si>
    <t>Cll 100 # 49 - 83</t>
  </si>
  <si>
    <t>Interior 2</t>
  </si>
  <si>
    <t xml:space="preserve">tomas.santander@gmail.com
</t>
  </si>
  <si>
    <t>Cll 114A # 18A - 41</t>
  </si>
  <si>
    <t>tatyesguerra@yahoo.com</t>
  </si>
  <si>
    <t>Angela Maria Ruiz</t>
  </si>
  <si>
    <t>Cll 66 # 11-50</t>
  </si>
  <si>
    <t xml:space="preserve">angelarecuperarte@gmail.com
</t>
  </si>
  <si>
    <t>Jenny López</t>
  </si>
  <si>
    <t xml:space="preserve">Cll  151 # 54A. 59 
</t>
  </si>
  <si>
    <t>Int. 1 Olmos de la Colina. 3 y 4
Victoria norte</t>
  </si>
  <si>
    <t>Susana Gómez Ramírez</t>
  </si>
  <si>
    <t>Cr. 11 # 78-22</t>
  </si>
  <si>
    <t>gomezrsusana@gmail.com</t>
  </si>
  <si>
    <t>diagonal 76#3-47</t>
  </si>
  <si>
    <t>edificio yambitara</t>
  </si>
  <si>
    <t>barrios rosales</t>
  </si>
  <si>
    <t>ljgara@yahoo.com.mx</t>
  </si>
  <si>
    <t xml:space="preserve">Carlos Gomez </t>
  </si>
  <si>
    <t xml:space="preserve">Cra 12 # 101 - 29 </t>
  </si>
  <si>
    <t xml:space="preserve">Maria angelica </t>
  </si>
  <si>
    <t>Ricardo arango</t>
  </si>
  <si>
    <t>Calle 100#13-41</t>
  </si>
  <si>
    <t>arangoric2@gmail.com</t>
  </si>
  <si>
    <t>Marlene de Falla</t>
  </si>
  <si>
    <t>Cra 73 nro 163-21</t>
  </si>
  <si>
    <t>Torre 3 Takali del parque</t>
  </si>
  <si>
    <t xml:space="preserve">Maria Lucia Espinosa (Ultrabac Ltda )
</t>
  </si>
  <si>
    <t>Cra 7c # 108a - 53</t>
  </si>
  <si>
    <t xml:space="preserve">900028926-1
</t>
  </si>
  <si>
    <t xml:space="preserve">ultrabacltda@yahoo.com 
</t>
  </si>
  <si>
    <t>Calle 104 # 19a 18</t>
  </si>
  <si>
    <t>jfrestrepo@gmail.com</t>
  </si>
  <si>
    <t>Elias Suarez</t>
  </si>
  <si>
    <t xml:space="preserve">Cll 23 # 4a - 20 </t>
  </si>
  <si>
    <t>eliasd.suarez@gmail.com</t>
  </si>
  <si>
    <t>Paula Beltran</t>
  </si>
  <si>
    <t>Diagonal 72 # 1 -16</t>
  </si>
  <si>
    <t xml:space="preserve">Balcones de Alcala </t>
  </si>
  <si>
    <t>Circunvalar</t>
  </si>
  <si>
    <t>paulie888@hotmail.com</t>
  </si>
  <si>
    <t xml:space="preserve">Maria Cristina Garcia </t>
  </si>
  <si>
    <t xml:space="preserve">Crr 7a # 69 - 59 </t>
  </si>
  <si>
    <t>mariacristinagarciav@gmail.com</t>
  </si>
  <si>
    <t>cajica Cll 3#20-120 Coju MATIZ</t>
  </si>
  <si>
    <t>paogallos@gmail.com</t>
  </si>
  <si>
    <t>Cra 10d # 26b - 39 sur</t>
  </si>
  <si>
    <t>olcaribe72@gmail.com</t>
  </si>
  <si>
    <t>Carmiña Cepeda</t>
  </si>
  <si>
    <t xml:space="preserve">Crr 13 # 102 - 65 </t>
  </si>
  <si>
    <t>Rincon del Chico</t>
  </si>
  <si>
    <t>carmi.cepe@gmail.com</t>
  </si>
  <si>
    <t>Crr 17 # 91 - 11</t>
  </si>
  <si>
    <t>IOS Living Virrey</t>
  </si>
  <si>
    <t xml:space="preserve">zavaman@icloud.com
</t>
  </si>
  <si>
    <t>Crr 1 este # 72a - 12</t>
  </si>
  <si>
    <t>Edificio Cerro 72</t>
  </si>
  <si>
    <t>alansolano@me.com</t>
  </si>
  <si>
    <t>Graciela Margarita Hollmann</t>
  </si>
  <si>
    <t>Crr 57B # 128B - 68</t>
  </si>
  <si>
    <t>gracielama.hofe@gmail.com</t>
  </si>
  <si>
    <t>David Rizzo</t>
  </si>
  <si>
    <t>Calle 115 #9B-16</t>
  </si>
  <si>
    <t>Edificio Támesis</t>
  </si>
  <si>
    <t>md.david.rizzo@gmail.com</t>
  </si>
  <si>
    <t>Claudia P. Martin</t>
  </si>
  <si>
    <t xml:space="preserve">Crr 24 # 87 - 15 </t>
  </si>
  <si>
    <t>Polo club</t>
  </si>
  <si>
    <t>Cpmartinb@gmail.com</t>
  </si>
  <si>
    <t xml:space="preserve">Maria Isabel Morales Alejandra Cleves </t>
  </si>
  <si>
    <t>Cll 112 # 17 - 77</t>
  </si>
  <si>
    <t>Edificio Lineato</t>
  </si>
  <si>
    <t>moralesisabel25@yahoo.com</t>
  </si>
  <si>
    <t>Cl. 105 # 17 - 46</t>
  </si>
  <si>
    <t>soydianacaro@gmail.com</t>
  </si>
  <si>
    <t>Claudia Jimena Ródiguez</t>
  </si>
  <si>
    <t>Cra 15a # 124 - 45</t>
  </si>
  <si>
    <t>Claudiajime@icloud.com</t>
  </si>
  <si>
    <t>Cr. 7 A # 150-36</t>
  </si>
  <si>
    <t>Edificio fox</t>
  </si>
  <si>
    <t>mariafernandaa950@hotmail.com</t>
  </si>
  <si>
    <t>Silvia Patricia Cerón Delgado</t>
  </si>
  <si>
    <t>Trv. 2 A # 67 - 03</t>
  </si>
  <si>
    <t>Edf. Kubik 68</t>
  </si>
  <si>
    <t>Spceron_arq@outlook.com</t>
  </si>
  <si>
    <t>Cr. 5 # 87-19</t>
  </si>
  <si>
    <t>Edf. Duo</t>
  </si>
  <si>
    <t>Josemendoza21@hotmail.com</t>
  </si>
  <si>
    <t>Nita Nadal Gómez</t>
  </si>
  <si>
    <t>Cr. 16 # 103 - 50</t>
  </si>
  <si>
    <t>Nadal3nadal@man.com</t>
  </si>
  <si>
    <t>Cra 71c # 54 - 17</t>
  </si>
  <si>
    <t>Edificio el Cidral</t>
  </si>
  <si>
    <t xml:space="preserve"> fhbarrera@hotmail.com</t>
  </si>
  <si>
    <t xml:space="preserve">Cra 7F 146-97 </t>
  </si>
  <si>
    <t>ginaorrego@gmail.com</t>
  </si>
  <si>
    <t xml:space="preserve">CRA 8 #85-31 </t>
  </si>
  <si>
    <t>Cristinacastrowey@gmail.com</t>
  </si>
  <si>
    <t>Cll 46 # 3 - 35</t>
  </si>
  <si>
    <t>Edfc . Studio class 46</t>
  </si>
  <si>
    <t>Mc.vanegas.c@gmail.com</t>
  </si>
  <si>
    <t>Rafael Quevedo</t>
  </si>
  <si>
    <t>Crr 12 # 15 - 81</t>
  </si>
  <si>
    <t>Piso 5</t>
  </si>
  <si>
    <t>901217932-0</t>
  </si>
  <si>
    <t>Impo_skylights@outlook.com</t>
  </si>
  <si>
    <t>Paula Daniela Gil Ojeda</t>
  </si>
  <si>
    <t>Cl. 97 # 16- 10</t>
  </si>
  <si>
    <t>pauuls93@gmail.com</t>
  </si>
  <si>
    <t>Andrea Fernández Marin</t>
  </si>
  <si>
    <t xml:space="preserve">Cr. 17 A # 175 - 82 </t>
  </si>
  <si>
    <t>Blq. 2</t>
  </si>
  <si>
    <t>acfernandezm@gmail.com</t>
  </si>
  <si>
    <t>Cr. 12 # 90 - 42</t>
  </si>
  <si>
    <t>Edf. Jamar 3</t>
  </si>
  <si>
    <t>vissand@gmail.com</t>
  </si>
  <si>
    <t>Juan Carlos Henao</t>
  </si>
  <si>
    <t>Tr. 23 # 93 - 70</t>
  </si>
  <si>
    <t xml:space="preserve">jchenaop@gmail.com
</t>
  </si>
  <si>
    <t>Av. Cr. 15 # 142-68</t>
  </si>
  <si>
    <t>olgalumolinav@gmail.com</t>
  </si>
  <si>
    <t>Dámarit Pérez González</t>
  </si>
  <si>
    <t>Cl. 94 a # 21-60</t>
  </si>
  <si>
    <t xml:space="preserve">Edf. Chicó Village </t>
  </si>
  <si>
    <t>- damaritpg@gmail.com</t>
  </si>
  <si>
    <t>Juan Carlos Garrido</t>
  </si>
  <si>
    <t>Cl. 116 # 52 - 61</t>
  </si>
  <si>
    <t>juancgarrido@gmail.com</t>
  </si>
  <si>
    <t>Carolina Cárdenas Montero</t>
  </si>
  <si>
    <t>Cr. 14 # 127 -47</t>
  </si>
  <si>
    <t>Edf. Altos de nepal</t>
  </si>
  <si>
    <t>dicamos@hotmail.com</t>
  </si>
  <si>
    <t>alejitacurrea@gmail.com</t>
  </si>
  <si>
    <t>CRA 2 # 76A-08</t>
  </si>
  <si>
    <t>n_freydell@hotmail.com</t>
  </si>
  <si>
    <t>Carolina González Buendía</t>
  </si>
  <si>
    <t xml:space="preserve">Tv 3 no 55-07
</t>
  </si>
  <si>
    <t xml:space="preserve">cgbuendia@gmail.com
</t>
  </si>
  <si>
    <t>Ivonne Arias Alemán</t>
  </si>
  <si>
    <t>Cll 114 A Bis # 45-15</t>
  </si>
  <si>
    <t>Ivonne.arias@gmail.com</t>
  </si>
  <si>
    <t>Diana Silva</t>
  </si>
  <si>
    <t>Cr. 14 A # 109 - 55</t>
  </si>
  <si>
    <t>Dxsa@hotmail.com</t>
  </si>
  <si>
    <t>Cr. 16 A # 145 A - 15</t>
  </si>
  <si>
    <t>Edf. Cedro Alto</t>
  </si>
  <si>
    <t>Pandresmed40@hotmail.com</t>
  </si>
  <si>
    <t>CLL 106A # 20 - 53</t>
  </si>
  <si>
    <t>daniela.bula.aristizabal@gmail.com</t>
  </si>
  <si>
    <t>Cr. 21 # 127d - 79</t>
  </si>
  <si>
    <t>A201</t>
  </si>
  <si>
    <t>Tr.3 Conjunto Lancatria</t>
  </si>
  <si>
    <t>Fpinzogo@gmail.com</t>
  </si>
  <si>
    <t>Cr. 3A # 30-10</t>
  </si>
  <si>
    <t>macarena</t>
  </si>
  <si>
    <t>fhvargas29@gmail.com</t>
  </si>
  <si>
    <t>Laura Marcela Giraldo Montes</t>
  </si>
  <si>
    <t>Tr. 4 Este # 61- 05</t>
  </si>
  <si>
    <t xml:space="preserve">Tr.2 Conj. Sierras del este </t>
  </si>
  <si>
    <t>lauramarcelagiraldom@gmail.com</t>
  </si>
  <si>
    <t>Joseau Ahmed Dasuki Ballestas</t>
  </si>
  <si>
    <t>Cl. 72 A # 1- 40</t>
  </si>
  <si>
    <t>Edif El mirador</t>
  </si>
  <si>
    <t>joseau@dasukigroup.com</t>
  </si>
  <si>
    <t>Cr. 1 # 84 A-71</t>
  </si>
  <si>
    <t>Edf. Luz Marina</t>
  </si>
  <si>
    <t>lilianaosunasandino@hotmail.com</t>
  </si>
  <si>
    <t>Katherine Simancas Akle</t>
  </si>
  <si>
    <t>Cl. 106 A # 19A-20</t>
  </si>
  <si>
    <t xml:space="preserve">kathrines@gmail.com
</t>
  </si>
  <si>
    <t>Daniela Herrera Loza</t>
  </si>
  <si>
    <t>Cll 101 # 16-84</t>
  </si>
  <si>
    <t xml:space="preserve"> Torre borne</t>
  </si>
  <si>
    <t>dherreralozada18@gmail.com</t>
  </si>
  <si>
    <t>Ariela Guevara Espitia</t>
  </si>
  <si>
    <t>Cr. 60 # 22-99</t>
  </si>
  <si>
    <t>Tr. 2 Arboleda del salitre</t>
  </si>
  <si>
    <t>aguevaraes@gmail.com</t>
  </si>
  <si>
    <t>María Margarita Viteri Toro</t>
  </si>
  <si>
    <t>Cr. 21 # 105-47</t>
  </si>
  <si>
    <t>Edf. Ryalto Chico Navarra</t>
  </si>
  <si>
    <t>marga_031@hotmail.com</t>
  </si>
  <si>
    <t>Cl. 74 A # 4 -56</t>
  </si>
  <si>
    <t>f-gaona@hotmail.com</t>
  </si>
  <si>
    <t>Cr. 5 # 81-15</t>
  </si>
  <si>
    <t>cbarrero21@gmail.com</t>
  </si>
  <si>
    <t>Juliana Gómez Mesa</t>
  </si>
  <si>
    <t xml:space="preserve">Cra 11 # 119 - 31 </t>
  </si>
  <si>
    <t>NO TIENE WHATSAPP</t>
  </si>
  <si>
    <t>julianagomezm@hotmail.com</t>
  </si>
  <si>
    <t>Catalina Beltrán González</t>
  </si>
  <si>
    <t xml:space="preserve">Cll 145A# 12A-09 </t>
  </si>
  <si>
    <t>Belcatalina@gmail.com</t>
  </si>
  <si>
    <t>Cr. 19 A # 88 -23</t>
  </si>
  <si>
    <t>andreasernau@gmail.com</t>
  </si>
  <si>
    <t>Cll 122 # 21 - 55</t>
  </si>
  <si>
    <t>Edificio Imoval iv</t>
  </si>
  <si>
    <t>jolivars@gmail.com</t>
  </si>
  <si>
    <t>Annie Velazquez</t>
  </si>
  <si>
    <t>Cr. 65 # 173 A - 45</t>
  </si>
  <si>
    <t>Casa 3 Conj. Plama del río III</t>
  </si>
  <si>
    <t>anaa.velasquez2016@gmail.com</t>
  </si>
  <si>
    <t>Adriana Moros Garcia</t>
  </si>
  <si>
    <t>Cr. 21 # 128 D - 50</t>
  </si>
  <si>
    <t>Conj. Residencial Padua</t>
  </si>
  <si>
    <t>Morosita@gmail.com</t>
  </si>
  <si>
    <t>Nita Davila</t>
  </si>
  <si>
    <t>Cr. 14 # 119 - 96</t>
  </si>
  <si>
    <t>PH2</t>
  </si>
  <si>
    <t>nitadavila@hotmail.com</t>
  </si>
  <si>
    <t>Sandra Guerrero</t>
  </si>
  <si>
    <t>Trv. 74 # 11 A - 35</t>
  </si>
  <si>
    <t>Tr. 4 Conjt. Santa María de los Ángeles</t>
  </si>
  <si>
    <t>sjannethgm@gmail.com</t>
  </si>
  <si>
    <t>Trv. 54 # 114-51</t>
  </si>
  <si>
    <t>Int. 5 Conj. Santa María del parque</t>
  </si>
  <si>
    <t>Vtribin23@gmail.com</t>
  </si>
  <si>
    <t>Cl. 123 # 52 - 41</t>
  </si>
  <si>
    <t>soniahr@gmail.com</t>
  </si>
  <si>
    <t>Isabella Díaz Quintero</t>
  </si>
  <si>
    <t>Cr. 36 a # 53 - 56</t>
  </si>
  <si>
    <t>Diaz20isa11@gmail.com</t>
  </si>
  <si>
    <t>Karla Montealegre</t>
  </si>
  <si>
    <t>Trv. 59 # 104 - 65</t>
  </si>
  <si>
    <t>Karlati_90@hotmail.com</t>
  </si>
  <si>
    <t>María Clara Noguera</t>
  </si>
  <si>
    <t>Cl. 81 # 9 -36</t>
  </si>
  <si>
    <t>mcnoguera@kiamotors.com.co</t>
  </si>
  <si>
    <t>Mónica Mariño</t>
  </si>
  <si>
    <t xml:space="preserve">cr. 10 # 128 - 60 </t>
  </si>
  <si>
    <t>Tr. 3 Conj. Balcones del country</t>
  </si>
  <si>
    <t>monicadeidrobo@yahoo.com</t>
  </si>
  <si>
    <t>Johana Polanco Lozano</t>
  </si>
  <si>
    <t>Cr. 2 # 110 - 30</t>
  </si>
  <si>
    <t xml:space="preserve">johanapolanco411@gmail.com
</t>
  </si>
  <si>
    <t>Cr. 9 # 88 - 40</t>
  </si>
  <si>
    <t>mterebecerra@hotmail.com</t>
  </si>
  <si>
    <t>Claudia Almaza</t>
  </si>
  <si>
    <t>Cr. 68 B # 23 B - 35</t>
  </si>
  <si>
    <t>Clami19@gmail.com</t>
  </si>
  <si>
    <t>Cl. 134 # 5 A - 26</t>
  </si>
  <si>
    <t>edf. Parque medina</t>
  </si>
  <si>
    <t>malegonz@hotmail.com</t>
  </si>
  <si>
    <t>Daniela Jaramillo</t>
  </si>
  <si>
    <t>Cll 96  # 17-39</t>
  </si>
  <si>
    <t>danielajaramilloh@gmail.com</t>
  </si>
  <si>
    <t>Cr. 5 # 131 - 96</t>
  </si>
  <si>
    <t>Edf Balcone de Medina</t>
  </si>
  <si>
    <t xml:space="preserve"> jgp1954@outlook.com</t>
  </si>
  <si>
    <t>Maria Letizia de Luca Diago</t>
  </si>
  <si>
    <t>Cl 93 a # 9 - 51</t>
  </si>
  <si>
    <t>delucamaria@gmail.com</t>
  </si>
  <si>
    <t xml:space="preserve">Cr. 13 # 122 - 34 </t>
  </si>
  <si>
    <t>amhproduccion@hotmail.com</t>
  </si>
  <si>
    <t>Salome Rivera German Romero</t>
  </si>
  <si>
    <t>Cll 191a#11a-92</t>
  </si>
  <si>
    <t>cc2romero@gmail.com</t>
  </si>
  <si>
    <t>Alejandra Castro Wey</t>
  </si>
  <si>
    <t>cra 11B no. 123-71</t>
  </si>
  <si>
    <t>edificio olivar 88</t>
  </si>
  <si>
    <t>alecastrowey@gmail.com</t>
  </si>
  <si>
    <t>Cra 2#10a-208 sur</t>
  </si>
  <si>
    <t>Casa 89</t>
  </si>
  <si>
    <t>Conjunto campestre Piedra Luna</t>
  </si>
  <si>
    <t>Cajica</t>
  </si>
  <si>
    <t>Esperanzamreina@gmail.com</t>
  </si>
  <si>
    <t>Eduardo Dávila</t>
  </si>
  <si>
    <t>Cl. 86 # 11 - 89</t>
  </si>
  <si>
    <t>davilaed@me.com</t>
  </si>
  <si>
    <t>Marjorie Wey</t>
  </si>
  <si>
    <t>Cl 135c # 12b -18</t>
  </si>
  <si>
    <t>marjoriewey@hotmail.com</t>
  </si>
  <si>
    <t>Carolina Blackburn Cardona</t>
  </si>
  <si>
    <t>carrera 8 # 95 - 61</t>
  </si>
  <si>
    <t>edificio Pportal Parque 96</t>
  </si>
  <si>
    <t>carolblackburn@hotmail.com</t>
  </si>
  <si>
    <t>Maria Ckaudia Stanich Maldonado</t>
  </si>
  <si>
    <t>Cr. 14 # 127 B-46</t>
  </si>
  <si>
    <t xml:space="preserve">cstanich53@hotmail.com
</t>
  </si>
  <si>
    <t>Wendy Karina Díaz Lobo</t>
  </si>
  <si>
    <t>Cl. 139 # 73-20</t>
  </si>
  <si>
    <t>Casa 56</t>
  </si>
  <si>
    <t>Port. 2 Conj El Velero</t>
  </si>
  <si>
    <t>wendykdiaz@gmail.com</t>
  </si>
  <si>
    <t>Jessica Castañeda</t>
  </si>
  <si>
    <t>Trv. 3 # 84A - 35</t>
  </si>
  <si>
    <t>Jessicap34@hotmail.com</t>
  </si>
  <si>
    <t>Cr. 13 A # 101-96</t>
  </si>
  <si>
    <t>gomezma1977@gmail.com</t>
  </si>
  <si>
    <t>Natalia Blanco Benavides</t>
  </si>
  <si>
    <t xml:space="preserve">Cra 14a #109-55
</t>
  </si>
  <si>
    <t xml:space="preserve">Edificio Jade plus apto 511
</t>
  </si>
  <si>
    <t xml:space="preserve">nataliablancob@hotmail.com
</t>
  </si>
  <si>
    <t>Cl 109 # 11-90</t>
  </si>
  <si>
    <t>dr.juanpablogarciaz@gmail.com</t>
  </si>
  <si>
    <t>TV 15este #100b-87</t>
  </si>
  <si>
    <t xml:space="preserve">Rodamonte </t>
  </si>
  <si>
    <t xml:space="preserve">la calera </t>
  </si>
  <si>
    <t>Dcano99@gmail.com</t>
  </si>
  <si>
    <t>Hernán Posada</t>
  </si>
  <si>
    <t>Cll 127C bis # 7D - 40</t>
  </si>
  <si>
    <t xml:space="preserve">OJO   CLIENTE NO PAGA </t>
  </si>
  <si>
    <t>hposadap@yahoo.com</t>
  </si>
  <si>
    <t>María Del Pilar Flórez</t>
  </si>
  <si>
    <t>Cl. 126 A # 7 c - 67</t>
  </si>
  <si>
    <t>pilar.florezp@gmail.com</t>
  </si>
  <si>
    <t>Cr. 8 # 86-53</t>
  </si>
  <si>
    <t>Edf.  Vista de la sabana</t>
  </si>
  <si>
    <t>La Cabrera</t>
  </si>
  <si>
    <t>Fancyfitfun@gmail.com</t>
  </si>
  <si>
    <t>Cr. 7 C # 110 A-16</t>
  </si>
  <si>
    <t>paulamontoya94@gmail.com</t>
  </si>
  <si>
    <t>Juan Pablo Garrido</t>
  </si>
  <si>
    <t>Cra 4 # 77 - 50</t>
  </si>
  <si>
    <t xml:space="preserve"> juan.p.garrido@gmail.com</t>
  </si>
  <si>
    <t>Int. 11</t>
  </si>
  <si>
    <t>adriana.m.serra@hotmail.com</t>
  </si>
  <si>
    <t>Laura Pardo</t>
  </si>
  <si>
    <t>Calle 96 No. 19a - 83</t>
  </si>
  <si>
    <t>Laura.pardozuloaga@hotmail.com</t>
  </si>
  <si>
    <t>Cr. 14 # 116-45</t>
  </si>
  <si>
    <t>samave@hotmail.com</t>
  </si>
  <si>
    <t>Cristína Quirama</t>
  </si>
  <si>
    <t>Cr. 13 A # 104-38</t>
  </si>
  <si>
    <t>Edf. Valterra</t>
  </si>
  <si>
    <t>crisquirama@gmail.com</t>
  </si>
  <si>
    <t>Cl. 74 # 1-85</t>
  </si>
  <si>
    <t xml:space="preserve">escallon@gmail.com </t>
  </si>
  <si>
    <t>María Lucía Quintero</t>
  </si>
  <si>
    <t>Cr. 14 B # 106-45</t>
  </si>
  <si>
    <t>Maluciaquintero@gmail.com</t>
  </si>
  <si>
    <t xml:space="preserve">Diagonal 92 # 3-49este 
</t>
  </si>
  <si>
    <t>Edif ASAIA</t>
  </si>
  <si>
    <t xml:space="preserve">f.zarama@obreval.com
</t>
  </si>
  <si>
    <t>Cr. 19 A # 104-16</t>
  </si>
  <si>
    <t xml:space="preserve"> Edf. Terramonte </t>
  </si>
  <si>
    <t>Chicó Navarra</t>
  </si>
  <si>
    <t>Ale.sierra.pop@gmail.com</t>
  </si>
  <si>
    <t>Luz Angela Cervera</t>
  </si>
  <si>
    <t xml:space="preserve">Cl. 121 # 3 A-20 </t>
  </si>
  <si>
    <t>Torre C Cerros de los alpes</t>
  </si>
  <si>
    <t>Lolocervera@yahoo.es</t>
  </si>
  <si>
    <t>Jennifer Andrea Gutiérrez Varela</t>
  </si>
  <si>
    <t xml:space="preserve">Cra 58 # 119a 49 </t>
  </si>
  <si>
    <t>Jennifer.agv@gmail.com</t>
  </si>
  <si>
    <t>Lourdes Tinoco Ripol</t>
  </si>
  <si>
    <t>Cl. 135 B # 13 - 24</t>
  </si>
  <si>
    <t>Edificio San Basilio</t>
  </si>
  <si>
    <t>lulitinocoripoll@hotmail.com</t>
  </si>
  <si>
    <t>Cl 213 # 114-10</t>
  </si>
  <si>
    <t>Int.1 Casa 12</t>
  </si>
  <si>
    <t>Conj. Camino de Arrayanes</t>
  </si>
  <si>
    <t>Linampinto@hotmail.com</t>
  </si>
  <si>
    <t>Tr. 2 sur C</t>
  </si>
  <si>
    <t>Mateiregui@hotmail.com</t>
  </si>
  <si>
    <t>María Teresa Auzas</t>
  </si>
  <si>
    <t>Cll 92 # 16-30</t>
  </si>
  <si>
    <t>Trre 1</t>
  </si>
  <si>
    <t>maria.auzas@gmail.com</t>
  </si>
  <si>
    <t>Andrés Márquez Leiva</t>
  </si>
  <si>
    <t>Cll 112 #18-15</t>
  </si>
  <si>
    <t xml:space="preserve">andresmarquezl15@gmail.com
</t>
  </si>
  <si>
    <t>Cl. 131 # 6-12</t>
  </si>
  <si>
    <t>Bosque Medina Edf. Lombardía</t>
  </si>
  <si>
    <t>mcarolinairegui@hotmail.com</t>
  </si>
  <si>
    <t>Daniela Bermúdez</t>
  </si>
  <si>
    <t xml:space="preserve">calle 109#19a-25
</t>
  </si>
  <si>
    <t>daniela.bermudez.rozo@gmail.com</t>
  </si>
  <si>
    <t>Esteban Sarmiento</t>
  </si>
  <si>
    <t>cra 19 # 93 -52</t>
  </si>
  <si>
    <t>Esteban-sarmiento@hotmail.com</t>
  </si>
  <si>
    <t>Cr. 24 # 87 - 15</t>
  </si>
  <si>
    <t xml:space="preserve">Tr.3 </t>
  </si>
  <si>
    <t>Polo Club</t>
  </si>
  <si>
    <t>Gerenciaestrategica2011@gmail.com</t>
  </si>
  <si>
    <t>Cll 25B # 71 - 18</t>
  </si>
  <si>
    <t>Torre 3A</t>
  </si>
  <si>
    <t>birodriguezc@gmail.com</t>
  </si>
  <si>
    <t>Cr. 23 # 137-41</t>
  </si>
  <si>
    <t>Edificio Parque de Alcalá</t>
  </si>
  <si>
    <t>ivosago@gmail.com</t>
  </si>
  <si>
    <t>María Teresa Muñóz Losada</t>
  </si>
  <si>
    <t>Calle 127C # 3-81 torre 1 apartamento 305. Conjunto Altos del Cerro</t>
  </si>
  <si>
    <t>mariatem2403@gmail.com</t>
  </si>
  <si>
    <t>María Helena Alvarez</t>
  </si>
  <si>
    <t>Cr. 6 # 116 41</t>
  </si>
  <si>
    <t>Mariahelena_at@hotmail.com</t>
  </si>
  <si>
    <t>Catalina García</t>
  </si>
  <si>
    <t>CRA 14 # 106a-27</t>
  </si>
  <si>
    <t>Edificio TO.A</t>
  </si>
  <si>
    <t>catalina.garcia.b@hotmail.com</t>
  </si>
  <si>
    <t>Cl. 81 # 8 - 51</t>
  </si>
  <si>
    <t xml:space="preserve">Edf. Almería </t>
  </si>
  <si>
    <t>Maria-cervera19@hotmail.com</t>
  </si>
  <si>
    <t>Cr. 13 # 89-23</t>
  </si>
  <si>
    <t>Angelitapel@hotmail.com</t>
  </si>
  <si>
    <t>Cra 17 # 90 - 50</t>
  </si>
  <si>
    <t>⁠1020787315</t>
  </si>
  <si>
    <t>tatianadecastrob@gmail.com</t>
  </si>
  <si>
    <t>Sonia Cuervo Rocha</t>
  </si>
  <si>
    <t>Cra 56 # 152 - 77</t>
  </si>
  <si>
    <t>casa86</t>
  </si>
  <si>
    <t>Versalles real II</t>
  </si>
  <si>
    <t>Soniacuervor@gmail.com</t>
  </si>
  <si>
    <t>Ana María Cancelado</t>
  </si>
  <si>
    <t xml:space="preserve">Cl. 112 # 15 - 29 </t>
  </si>
  <si>
    <t>anacancelado@gmail.com</t>
  </si>
  <si>
    <t>Annie Carrillo</t>
  </si>
  <si>
    <t>Cra 3 #6B - 53</t>
  </si>
  <si>
    <t>D104</t>
  </si>
  <si>
    <t>Edi Oticonjunto Montfort Suites Royal House</t>
  </si>
  <si>
    <t>angiecarrtorres@gmail.com</t>
  </si>
  <si>
    <t>Cr. 11 B # 96-54</t>
  </si>
  <si>
    <t>Edi  Area 97</t>
  </si>
  <si>
    <t>mariak_viteri852@hotmail.com</t>
  </si>
  <si>
    <t>Cr. 2 A # 66-52</t>
  </si>
  <si>
    <t>Torre A Und. Resid. Nueva Granada</t>
  </si>
  <si>
    <t>ardilamafe@hotmail.com</t>
  </si>
  <si>
    <t>Cr. 21 # 122-52</t>
  </si>
  <si>
    <t>laliangel90@hotmail.com</t>
  </si>
  <si>
    <t>Cl. 150 A # 50-07</t>
  </si>
  <si>
    <t xml:space="preserve">Edf. Coquivacoa </t>
  </si>
  <si>
    <t>mlfarah@hotmail.com</t>
  </si>
  <si>
    <t>Guillermo Marroquín De Castro</t>
  </si>
  <si>
    <t>Cra 3 # 74a - 41</t>
  </si>
  <si>
    <t>Marroquin05@hotmail.com</t>
  </si>
  <si>
    <t>Cl.122 # 11 C-51</t>
  </si>
  <si>
    <t xml:space="preserve">mafetaminas@gmail.com
</t>
  </si>
  <si>
    <t>Cl. 92 # 19 C-44</t>
  </si>
  <si>
    <t>Edf. Torr da Málaga</t>
  </si>
  <si>
    <t>carobahamon2204@hotmail.com</t>
  </si>
  <si>
    <t>ClL. 75 # 5-26</t>
  </si>
  <si>
    <t>anna_caicedo@hotmail.com</t>
  </si>
  <si>
    <t>Erika Eliana Escalante Blanco</t>
  </si>
  <si>
    <t xml:space="preserve">Cll  53 #37a-38 </t>
  </si>
  <si>
    <t>CAN</t>
  </si>
  <si>
    <t xml:space="preserve">Edificio Estevez localidad Teusaquillo </t>
  </si>
  <si>
    <t xml:space="preserve">Nicolás de federman </t>
  </si>
  <si>
    <t>Erikaescalanteblanco@gmail.com</t>
  </si>
  <si>
    <t>Liliana Tigreros</t>
  </si>
  <si>
    <t>Cr. 11 # 95-37</t>
  </si>
  <si>
    <t>Lilo_to@hotmail.com</t>
  </si>
  <si>
    <t>Juanita Forero Cañón</t>
  </si>
  <si>
    <t>Cl. 187 Bis # 20-45</t>
  </si>
  <si>
    <t>Marantá</t>
  </si>
  <si>
    <t>Juanita.forero@outlook.com</t>
  </si>
  <si>
    <t>Estefanía Lecompte Vergara</t>
  </si>
  <si>
    <t>Cll 112 # 18 - 15</t>
  </si>
  <si>
    <t xml:space="preserve"> Edificio Seppia </t>
  </si>
  <si>
    <t>Estefanialecomp@gmail.com</t>
  </si>
  <si>
    <t>Av. Caracas # 47-39</t>
  </si>
  <si>
    <t>mariluzg@yahoo.com</t>
  </si>
  <si>
    <t>Cr. 7 # 62-43</t>
  </si>
  <si>
    <t>dennysdelrocio@gmail.com</t>
  </si>
  <si>
    <t>Cr. 17 # 106-30</t>
  </si>
  <si>
    <t>zaryavila@gmail.com</t>
  </si>
  <si>
    <t>Edificio Teruel</t>
  </si>
  <si>
    <t>monaguerrero@hotmail.com</t>
  </si>
  <si>
    <t>Isabella Mendoza Díaz</t>
  </si>
  <si>
    <t>Cr. 23 # 106-84</t>
  </si>
  <si>
    <t>isamendoza@gmail.com</t>
  </si>
  <si>
    <t>AK 1 # 42 - 60</t>
  </si>
  <si>
    <t>Casa 244</t>
  </si>
  <si>
    <t>Conjunto Miramonte</t>
  </si>
  <si>
    <t>heidiuesseler@yahoo.com</t>
  </si>
  <si>
    <t>Cr. 1 # 64-61</t>
  </si>
  <si>
    <t>Edf. Segal</t>
  </si>
  <si>
    <t>bi777@hotmail.com</t>
  </si>
  <si>
    <t>María Lucía Ferro H.</t>
  </si>
  <si>
    <t>Cl. 127 C # 9 A-21</t>
  </si>
  <si>
    <t>Edf. 88/17</t>
  </si>
  <si>
    <t>Recodo Del Country</t>
  </si>
  <si>
    <t>Mferrohe@gmail.com</t>
  </si>
  <si>
    <t>Cr. 1 Este #76-04</t>
  </si>
  <si>
    <t>palalopez@gmaill.com</t>
  </si>
  <si>
    <t>Angela María Méndez Zamudio</t>
  </si>
  <si>
    <t>Cl. 145 A # 13 A-10</t>
  </si>
  <si>
    <t>angelamariamendezz@gmail.com</t>
  </si>
  <si>
    <t>Cr. 10 # 88-01</t>
  </si>
  <si>
    <t>Sara_mhz@hotmail.com</t>
  </si>
  <si>
    <t>Lina Parra Remolina</t>
  </si>
  <si>
    <t>Av. Cl. 147 # 15-41</t>
  </si>
  <si>
    <t>Edf. El Solar</t>
  </si>
  <si>
    <t>linam.parra@gmail.com</t>
  </si>
  <si>
    <t>Luisa Fernanda Uribe Larrota</t>
  </si>
  <si>
    <t>Cll 146 # 19-53</t>
  </si>
  <si>
    <t>Edificio Melena 1</t>
  </si>
  <si>
    <t>- luisaftz@gmail.com</t>
  </si>
  <si>
    <t>Cr. 18 # 86 A-47</t>
  </si>
  <si>
    <t>EDIFICIO METRO 86</t>
  </si>
  <si>
    <t>mariabula@hotmail.com</t>
  </si>
  <si>
    <t>Cl. 96 #17-18</t>
  </si>
  <si>
    <t>Cdegamboa@gmail.com</t>
  </si>
  <si>
    <t>Verónica Vazart</t>
  </si>
  <si>
    <t>Cr.14b # 110 - 07</t>
  </si>
  <si>
    <t>Veronicavazart@gmail.com</t>
  </si>
  <si>
    <t>martemilia@hotmail.com</t>
  </si>
  <si>
    <t>Cl. 25 # 68 A-49</t>
  </si>
  <si>
    <t>Tr. 4 Edf. Arrecife</t>
  </si>
  <si>
    <t>ciudad salitre</t>
  </si>
  <si>
    <t>Ncanasar@outlook.com</t>
  </si>
  <si>
    <t>Cr. 6 # 151-80</t>
  </si>
  <si>
    <t>901549728-9</t>
  </si>
  <si>
    <t>asistentegerencia@pamacol.com</t>
  </si>
  <si>
    <t>Conchita García</t>
  </si>
  <si>
    <t>Cr. 54 # 107 A-25</t>
  </si>
  <si>
    <t>Casa 103</t>
  </si>
  <si>
    <t>cogaso61@gmail.com</t>
  </si>
  <si>
    <t>Cll 107 a # 7 - 96</t>
  </si>
  <si>
    <t>catalinasanchezandrade@hotmail.com</t>
  </si>
  <si>
    <t>Pilar Olaya</t>
  </si>
  <si>
    <t xml:space="preserve">CLL 147 # 13-53
</t>
  </si>
  <si>
    <t xml:space="preserve">olayapilar@gmail.com
</t>
  </si>
  <si>
    <t>Camila Vergara</t>
  </si>
  <si>
    <t>Cll 108A # 22-58</t>
  </si>
  <si>
    <t>camilavergaradv@gmail.com</t>
  </si>
  <si>
    <t>Inversiones Lagoz SAS</t>
  </si>
  <si>
    <t>Cl.119 # 9 A-15</t>
  </si>
  <si>
    <t>Cl. 78 B # 116 B-50</t>
  </si>
  <si>
    <t xml:space="preserve">Torre 5 Conj Lausana </t>
  </si>
  <si>
    <t>stephanycuellar@hotmail.com</t>
  </si>
  <si>
    <t>Ave 116 # 50a09</t>
  </si>
  <si>
    <t>bloque 1f</t>
  </si>
  <si>
    <t xml:space="preserve">la calleja </t>
  </si>
  <si>
    <t xml:space="preserve">anamao24@yahoo.com </t>
  </si>
  <si>
    <t>Cl. 138 # 72 A-40</t>
  </si>
  <si>
    <t>saracuervo@gmail.com</t>
  </si>
  <si>
    <t>Tatiana Urrea</t>
  </si>
  <si>
    <t>Cr. 70 D # 120-33</t>
  </si>
  <si>
    <t>Int. 6  Gratamira</t>
  </si>
  <si>
    <t>Niza Antigua</t>
  </si>
  <si>
    <t>Tatianaurrea@gmail.com</t>
  </si>
  <si>
    <t>Lucía Patrón Saade</t>
  </si>
  <si>
    <t>Cl. 61 # 3 D - 42</t>
  </si>
  <si>
    <t>Tempo 61</t>
  </si>
  <si>
    <t xml:space="preserve">lpatrons@gmail.com
</t>
  </si>
  <si>
    <t>Sandra Acuña Páez</t>
  </si>
  <si>
    <t>Cr. 15 # 127 B-48</t>
  </si>
  <si>
    <t>Edf. mirador del Contry</t>
  </si>
  <si>
    <t xml:space="preserve">sandrarap72@hotmail.com
</t>
  </si>
  <si>
    <t>Cl. 152c  #  72 -87</t>
  </si>
  <si>
    <t>andrea.garcia291@gmail.com</t>
  </si>
  <si>
    <t>Cl 112 # 11 A-55</t>
  </si>
  <si>
    <t>401 C</t>
  </si>
  <si>
    <t>Campoalegre 3</t>
  </si>
  <si>
    <t>Andregarcia0209@gmail.com</t>
  </si>
  <si>
    <t>cr. 55 #152b-68</t>
  </si>
  <si>
    <t>Tr.1 Mazuren 1</t>
  </si>
  <si>
    <t>aqv4@hotmail.com</t>
  </si>
  <si>
    <t>CRA 13bis # 110-49</t>
  </si>
  <si>
    <t>dagoir@hotmail.com</t>
  </si>
  <si>
    <t>María Emilia Delgado Feuillet</t>
  </si>
  <si>
    <t xml:space="preserve">Cll 152#7c 04
</t>
  </si>
  <si>
    <t xml:space="preserve">mariaemiliadf@gmail.com
</t>
  </si>
  <si>
    <t>Av Cr. 19 # 131 - 40</t>
  </si>
  <si>
    <t>margaritamantilla@hotmail.com</t>
  </si>
  <si>
    <t>Cr. 14 A # 112-50</t>
  </si>
  <si>
    <t>luisalvaro47@hotmail.com</t>
  </si>
  <si>
    <t>Cra. 72 C # 22 D - 27 (Cl. 160 # 58-75 Apt 101)</t>
  </si>
  <si>
    <t>Conjunto Residencial La Montaña</t>
  </si>
  <si>
    <t>Barrio La Felicidad</t>
  </si>
  <si>
    <t>facevedo7402@gmail.com</t>
  </si>
  <si>
    <t>María Fernanda Callejas López</t>
  </si>
  <si>
    <t>Cl. 94 A #16-36</t>
  </si>
  <si>
    <t>callejasmariafernanda2@gmail.com</t>
  </si>
  <si>
    <t>Marcela Gómez</t>
  </si>
  <si>
    <t>Cr. 17 # 118-27</t>
  </si>
  <si>
    <t xml:space="preserve">Barrio La Roca </t>
  </si>
  <si>
    <t>Mgomez_Rojas@hotmail.com</t>
  </si>
  <si>
    <t>Marcela Hoyos Vivas</t>
  </si>
  <si>
    <t>Cr. 6 # 55-52</t>
  </si>
  <si>
    <t>Edf. Umbral 55</t>
  </si>
  <si>
    <t>mhoyosvivas@gmail.com</t>
  </si>
  <si>
    <t>Cr. 9 A # 93-76</t>
  </si>
  <si>
    <t>Torres de Kanna V</t>
  </si>
  <si>
    <t>.patino944@gmail.com</t>
  </si>
  <si>
    <t>Cra 17 # 88-64</t>
  </si>
  <si>
    <t>bysylviabarrero@gmail.com</t>
  </si>
  <si>
    <t>María José Martínez Garzón</t>
  </si>
  <si>
    <t>Cl. 127  B Bis # 20-49</t>
  </si>
  <si>
    <t>mjmartinez00@hotmail.com</t>
  </si>
  <si>
    <t>Armando José Bueno Moriones</t>
  </si>
  <si>
    <t>Cl. 129 # 7-32</t>
  </si>
  <si>
    <t>Ewdf. Bella Suiza Reservado</t>
  </si>
  <si>
    <t>armandojbueno@gmail.com</t>
  </si>
  <si>
    <t>Cr. 14 a #127 A-67</t>
  </si>
  <si>
    <t xml:space="preserve">Edificó la esperanza </t>
  </si>
  <si>
    <t xml:space="preserve">camillavisbal@gmail.com
</t>
  </si>
  <si>
    <t>Marcela Villabón Prieto</t>
  </si>
  <si>
    <t>Cl. 88 # 13-17</t>
  </si>
  <si>
    <t>marcelavillabon@hotmail.com</t>
  </si>
  <si>
    <t>Crr 12 # 122 - 32</t>
  </si>
  <si>
    <t>Multicentro</t>
  </si>
  <si>
    <t xml:space="preserve">catavelasquez@gmail.com
</t>
  </si>
  <si>
    <t>Sandra Catalina Bayer</t>
  </si>
  <si>
    <t>Cra 64 A, 22-41</t>
  </si>
  <si>
    <t xml:space="preserve"> T.4  Edf. Camino de compostela</t>
  </si>
  <si>
    <t>Sacaba1@hotmail.com</t>
  </si>
  <si>
    <t>María Mónica Martínez</t>
  </si>
  <si>
    <t xml:space="preserve">Cr. 13 # 127 - 43 </t>
  </si>
  <si>
    <t xml:space="preserve">Edificio guaday La Carolina </t>
  </si>
  <si>
    <t>mariamonica.martinez@gmail.com</t>
  </si>
  <si>
    <t>Natalia Baene Navarro</t>
  </si>
  <si>
    <t>Cl. 151 # 9-17</t>
  </si>
  <si>
    <t>Tr. 5 Edf. Torres de Capellanía</t>
  </si>
  <si>
    <t>natabaene@hotmail.com</t>
  </si>
  <si>
    <t>calle 114A #15b-10</t>
  </si>
  <si>
    <t>angelaquim@yahoo.es</t>
  </si>
  <si>
    <t>CLL 135 # 15 - 11</t>
  </si>
  <si>
    <t xml:space="preserve">CONFIRMAR SIMPRE DIRECCION </t>
  </si>
  <si>
    <t>marineslunac@gmail.com</t>
  </si>
  <si>
    <t>Lina Garzón</t>
  </si>
  <si>
    <t>Cr.9 # 54 A-36</t>
  </si>
  <si>
    <t>Edf. Carvajal</t>
  </si>
  <si>
    <t>Lm2garzon@gmail.com</t>
  </si>
  <si>
    <t>María Inés Cuervo</t>
  </si>
  <si>
    <t>Cll 124 21 A 12</t>
  </si>
  <si>
    <t xml:space="preserve">mariainescuervo@gmail.com
</t>
  </si>
  <si>
    <t>Trv. 26 D Bis A # 31A-07 SUR</t>
  </si>
  <si>
    <t>Barrio Libertador-Matatigres</t>
  </si>
  <si>
    <t>Erikaquintero11@hotmail.com</t>
  </si>
  <si>
    <t>Juan Camilo Aguirre Delgado</t>
  </si>
  <si>
    <t>Cr. 17 # 95-27</t>
  </si>
  <si>
    <t>OJO PAGO</t>
  </si>
  <si>
    <t>juancamilo.aguirredelgado@gmail.com</t>
  </si>
  <si>
    <t>Cr. 1 # 69-99</t>
  </si>
  <si>
    <t>Belmira</t>
  </si>
  <si>
    <t>danielagonzalezpelaez@gmail.com</t>
  </si>
  <si>
    <t>Cr. 10 # 84 C-35</t>
  </si>
  <si>
    <t>martinarangorincon@gmail.com</t>
  </si>
  <si>
    <t>Ximena Silva</t>
  </si>
  <si>
    <t>Cr. 17 A # 127-54</t>
  </si>
  <si>
    <t>Edf. Bell 134 A</t>
  </si>
  <si>
    <t>Ximenasilvago@gmail.com</t>
  </si>
  <si>
    <t>Cr. 11 # 93-72</t>
  </si>
  <si>
    <t>aliciatatianasanz@hotmail.Com</t>
  </si>
  <si>
    <t xml:space="preserve">Margarita Rico </t>
  </si>
  <si>
    <t>TR3</t>
  </si>
  <si>
    <t>Crr 14 # 111 - 32</t>
  </si>
  <si>
    <t>Mariah.morales2@gmail.com</t>
  </si>
  <si>
    <t>Ana Milena Rodríguez Malaver</t>
  </si>
  <si>
    <t>Cr. 16 # 134 A-12</t>
  </si>
  <si>
    <t>Edf. Oasis de La Sierra</t>
  </si>
  <si>
    <t>Contador</t>
  </si>
  <si>
    <t>amilenar@gmail.com</t>
  </si>
  <si>
    <t>Cra 15 # 183 A - 22</t>
  </si>
  <si>
    <t>paofg27@gmail.com</t>
  </si>
  <si>
    <t>Sandra Fuentes</t>
  </si>
  <si>
    <t>Cr. 79 # 19 A-28</t>
  </si>
  <si>
    <t>Torre 2 Conjunto La Sierra</t>
  </si>
  <si>
    <t>La Felicidad</t>
  </si>
  <si>
    <t>Patricfuent@gmail.com</t>
  </si>
  <si>
    <t>Estefanía Henao</t>
  </si>
  <si>
    <t xml:space="preserve">Trv. 1 # 83-02 </t>
  </si>
  <si>
    <t>Tefahenao@hotmail.com</t>
  </si>
  <si>
    <t>Valentina Perdomo Ceballos</t>
  </si>
  <si>
    <t>Cr. 7 # 52-73</t>
  </si>
  <si>
    <t xml:space="preserve">valentinaperdomoc@gmail.com
</t>
  </si>
  <si>
    <t xml:space="preserve">Paula García </t>
  </si>
  <si>
    <t xml:space="preserve">Tr. 7 parque de los cipreses, modelo norte </t>
  </si>
  <si>
    <t>Pau_0928@hotmail.com</t>
  </si>
  <si>
    <t xml:space="preserve">María Isabel Archila Gomez
</t>
  </si>
  <si>
    <t>Cl. 72 # 2 A-44</t>
  </si>
  <si>
    <t>Portal de Rosales</t>
  </si>
  <si>
    <t>miarchila@yahoo.com</t>
  </si>
  <si>
    <t>Cl. 121 # 9-77</t>
  </si>
  <si>
    <t>Olalulu@hotmail.com</t>
  </si>
  <si>
    <t>Cl. 112 # 1-10 Este</t>
  </si>
  <si>
    <t>marrapenalozag@gmail.com</t>
  </si>
  <si>
    <t>Cl. 108 B # 6-24</t>
  </si>
  <si>
    <t>giraldomateo@hotmail.com</t>
  </si>
  <si>
    <t>Mónica Acevedo</t>
  </si>
  <si>
    <t>Mima570@gmail.com</t>
  </si>
  <si>
    <t>Cr. 1 Este # 78-06</t>
  </si>
  <si>
    <t>Adrianaumnna@gmail.com</t>
  </si>
  <si>
    <t>Patricia de Castro</t>
  </si>
  <si>
    <t xml:space="preserve">Cr. 2 # 70-19 </t>
  </si>
  <si>
    <t>pdecastrol@hotmail.com</t>
  </si>
  <si>
    <t>Patricia González González</t>
  </si>
  <si>
    <t xml:space="preserve">Cll 77 # 11 - 91 </t>
  </si>
  <si>
    <t>Mcamiparra10@gmail.com</t>
  </si>
  <si>
    <t>Cll 107A # 7 a -81</t>
  </si>
  <si>
    <t>Trr 8</t>
  </si>
  <si>
    <t xml:space="preserve">cristinagi88@gmail.com
</t>
  </si>
  <si>
    <t>Clemencia Vargas</t>
  </si>
  <si>
    <t>Cr. 49 A # 100-03</t>
  </si>
  <si>
    <t>blq 2 ent 5 edificio Teruel 1</t>
  </si>
  <si>
    <t>Pasadena</t>
  </si>
  <si>
    <t>clemenciaharker@gmail.com</t>
  </si>
  <si>
    <t>Laura Bonnet</t>
  </si>
  <si>
    <t>Cra 1 # 77-37</t>
  </si>
  <si>
    <t>Laurabonnet922@gmail.com</t>
  </si>
  <si>
    <t xml:space="preserve">Cr. 19 # 88-27 </t>
  </si>
  <si>
    <t>coserli@gmail.com</t>
  </si>
  <si>
    <t>Cr. 19 B # 86 A-63</t>
  </si>
  <si>
    <t>Balcones del Virrey</t>
  </si>
  <si>
    <t>Juanauribehenao@gmail.com</t>
  </si>
  <si>
    <t>Beatríz Vallejo</t>
  </si>
  <si>
    <t xml:space="preserve">Cl. 79 B # 4-34 </t>
  </si>
  <si>
    <t>C 203</t>
  </si>
  <si>
    <t>beatrizeugeniavallejo@gmail.com</t>
  </si>
  <si>
    <t>Cl. 90 # 7 A-32</t>
  </si>
  <si>
    <t>Edf. Tenerife</t>
  </si>
  <si>
    <t>Natalia.zambranor@gmail.com</t>
  </si>
  <si>
    <t>María Paula Cometa</t>
  </si>
  <si>
    <t>Cl. 104 # 19 A-80</t>
  </si>
  <si>
    <t>Edf. Mediterráneo</t>
  </si>
  <si>
    <t>maria.cometa90@gmail.com</t>
  </si>
  <si>
    <t>Juanita Monsalve</t>
  </si>
  <si>
    <t>Cll  24 # 1 - 0 Finca</t>
  </si>
  <si>
    <t>Los Sauce, Vereda Bojaca. Chia</t>
  </si>
  <si>
    <t>juanismonsalve@gmail.com</t>
  </si>
  <si>
    <t xml:space="preserve">Tatiana Ivonne  Vergara Oñate </t>
  </si>
  <si>
    <t>Cl. 79 # 7 A-61</t>
  </si>
  <si>
    <t xml:space="preserve">tatianavo@hotmail.com
</t>
  </si>
  <si>
    <t>Sandra Moreno López</t>
  </si>
  <si>
    <t>Samymols@gmail.com</t>
  </si>
  <si>
    <t>Av. Cr. 45 #147-12</t>
  </si>
  <si>
    <t>Conj. Res. Buganvilla Bl. B</t>
  </si>
  <si>
    <t>Caceres.paula91@gmail.com</t>
  </si>
  <si>
    <t>Angela García García</t>
  </si>
  <si>
    <t>Cl. 123 # 45 A-29</t>
  </si>
  <si>
    <t>Edf. Scala 123</t>
  </si>
  <si>
    <t>Angelagarcia80@gmail.com</t>
  </si>
  <si>
    <t>Cr. 12 # 124-30 (Cra 11#120-31 torre7 apt403)</t>
  </si>
  <si>
    <t>Mz. J Int. 5</t>
  </si>
  <si>
    <t>monileka1@yahoo.com</t>
  </si>
  <si>
    <t>Cr. 4 # 74-30</t>
  </si>
  <si>
    <t>caroisaza@gmail.com</t>
  </si>
  <si>
    <t>Sonia Rocío Grosso</t>
  </si>
  <si>
    <t>Cll 147 # 7b - 58</t>
  </si>
  <si>
    <t xml:space="preserve">Mirador club residencial </t>
  </si>
  <si>
    <t>Sorogro@gmail.com</t>
  </si>
  <si>
    <t>Ave Cra 45 no 94-34</t>
  </si>
  <si>
    <t>Lauraperazat@gmail.com</t>
  </si>
  <si>
    <t>Isabel Cristína Bedoya</t>
  </si>
  <si>
    <t>Cr. 8 # 167 D-62</t>
  </si>
  <si>
    <t>Miramont Park</t>
  </si>
  <si>
    <t>Isabelbedoyac@gmail.com</t>
  </si>
  <si>
    <t>Ruby Pérez</t>
  </si>
  <si>
    <t>Cl. 25b # 72 - 80</t>
  </si>
  <si>
    <t xml:space="preserve"> Int. 10</t>
  </si>
  <si>
    <t>ru.pepe@hotmail.com</t>
  </si>
  <si>
    <t>Ana María Rodríguez Tous</t>
  </si>
  <si>
    <t>Cl. 147 # 7B - 58</t>
  </si>
  <si>
    <t>anitamtous@hotmail.com</t>
  </si>
  <si>
    <t>Ana María Pineda Piedrahíta</t>
  </si>
  <si>
    <t>CRA 58a #128b - 57</t>
  </si>
  <si>
    <t>anamaria1800@gmail.com</t>
  </si>
  <si>
    <t>Nelly Esperanza Gómez Acero</t>
  </si>
  <si>
    <t>Cr. 22 # 101 - 32</t>
  </si>
  <si>
    <t>Edf. Parlmira</t>
  </si>
  <si>
    <t>Esperagom@hotmai.com</t>
  </si>
  <si>
    <t>Calle 131 a # 53 - 31</t>
  </si>
  <si>
    <t>Trr 2</t>
  </si>
  <si>
    <t>vaneacme123@gmail.com</t>
  </si>
  <si>
    <t>Cr. 47 #151a 23</t>
  </si>
  <si>
    <t>Entrada Norte 5 . Rivier Norte</t>
  </si>
  <si>
    <t xml:space="preserve">albuitragom@gmail.com
</t>
  </si>
  <si>
    <t>Lucía Cuadros</t>
  </si>
  <si>
    <t xml:space="preserve">Cra 14 A #118A - 21 </t>
  </si>
  <si>
    <t>⁠lucia.cuadros@hotmail.com</t>
  </si>
  <si>
    <t>Marcela Rendón</t>
  </si>
  <si>
    <t>Cra 13A # 104 - 41</t>
  </si>
  <si>
    <t>Edi. Millenia</t>
  </si>
  <si>
    <t>marcerendon03@gmail.com</t>
  </si>
  <si>
    <t>María Claudia Montoya</t>
  </si>
  <si>
    <t>Edf. Murat</t>
  </si>
  <si>
    <t>mcmontoya2004@
yahoo.com</t>
  </si>
  <si>
    <t>Cl. 166 # 8 H-56</t>
  </si>
  <si>
    <t>Tr. 2 Torres del Ferrocarril</t>
  </si>
  <si>
    <t>faithmarcela@gmail.com</t>
  </si>
  <si>
    <t>Maria Del Rosario Martinez(Cecilia Martinez)</t>
  </si>
  <si>
    <t>Cra 8A # 153 - 51</t>
  </si>
  <si>
    <t>Trr 2 Altos del Moral</t>
  </si>
  <si>
    <t>mdelrmartinez@gmail.com</t>
  </si>
  <si>
    <t>María Clara Turrini Bernardoni</t>
  </si>
  <si>
    <t>Cr. 51 # 102 A-49</t>
  </si>
  <si>
    <t>Turrinimc@hotmail.com</t>
  </si>
  <si>
    <t>Jessica Algeciras</t>
  </si>
  <si>
    <t>Cll 75 #23-43</t>
  </si>
  <si>
    <t>jessicaalgeciras@hotmail.com</t>
  </si>
  <si>
    <t>Cl. 129 # 7D - 23</t>
  </si>
  <si>
    <t>bonilla@gmail.com</t>
  </si>
  <si>
    <t>Cll 94 # 72A - 87,</t>
  </si>
  <si>
    <t>Interior 1</t>
  </si>
  <si>
    <t>psi.tatianasosa@hotmail.com</t>
  </si>
  <si>
    <t>Gloria Vallejo</t>
  </si>
  <si>
    <t>Cr. 13 A # 127 A-32</t>
  </si>
  <si>
    <t xml:space="preserve">gloriavallejof01@hotmail.com
</t>
  </si>
  <si>
    <t>Paloma Sánchez</t>
  </si>
  <si>
    <t>CLL 66A # 4A - 55</t>
  </si>
  <si>
    <t>Unapalomae@gmail.com</t>
  </si>
  <si>
    <t>María Angélica Malo Pinzón</t>
  </si>
  <si>
    <t>Cl. 159 # 54-78</t>
  </si>
  <si>
    <t xml:space="preserve">malito82@hotmail.com
</t>
  </si>
  <si>
    <t>Violeta  Vásquez De Rojas</t>
  </si>
  <si>
    <t xml:space="preserve">Cra 9A # 134B - 41 </t>
  </si>
  <si>
    <t>viovasquez@hotmail.com</t>
  </si>
  <si>
    <t>Cl. 108  # 17 A-45</t>
  </si>
  <si>
    <t>Pfandino@gmail.com</t>
  </si>
  <si>
    <t>Carola Rojas Wulkop</t>
  </si>
  <si>
    <t>Cr. 7 A # 87-81</t>
  </si>
  <si>
    <t>carolarojasw@gmail.com</t>
  </si>
  <si>
    <t>Marta Helena Vargas</t>
  </si>
  <si>
    <t>Cr. 10# 85-47</t>
  </si>
  <si>
    <t>flacsvar@gmail.com</t>
  </si>
  <si>
    <t>Cr. 1 este # 70 - 31</t>
  </si>
  <si>
    <t>latt13@hotmail.com</t>
  </si>
  <si>
    <t>Maribel Gordillo Ruiz</t>
  </si>
  <si>
    <t>Carrera 16 # 112 - 38</t>
  </si>
  <si>
    <t>Marygordillo11@gmail.com</t>
  </si>
  <si>
    <t xml:space="preserve">Diagona 127B bis #72-87 </t>
  </si>
  <si>
    <t>cvenegas2@hotmail.com</t>
  </si>
  <si>
    <t>Cl.  85 # 8-36</t>
  </si>
  <si>
    <t>Polymarti@gmail.com</t>
  </si>
  <si>
    <t>Adriana Sanclemente Alzate</t>
  </si>
  <si>
    <t>Cr. 7 # 89-50</t>
  </si>
  <si>
    <t>Adsanclemente@yahoo.com</t>
  </si>
  <si>
    <t>Dora Luz Arango</t>
  </si>
  <si>
    <t>Cr. 2 A # 116-20</t>
  </si>
  <si>
    <t>Tr. B Torres de Santa Barbara Alta 3</t>
  </si>
  <si>
    <t>Laluarangouribe@gmail.com</t>
  </si>
  <si>
    <t>Jessica Ramírez Gómez (Nicolas Bandera)</t>
  </si>
  <si>
    <t>Transversal 93# 22D-31</t>
  </si>
  <si>
    <t>Casa 131</t>
  </si>
  <si>
    <t>Modelia imperial etapa 1</t>
  </si>
  <si>
    <t xml:space="preserve">ramirez.gomez1989@hotmail.com
</t>
  </si>
  <si>
    <t>Claudia Rodríguez Velásquez</t>
  </si>
  <si>
    <t>Edf. Portal de Rosales</t>
  </si>
  <si>
    <t>Rosalaes</t>
  </si>
  <si>
    <t>estudio.juridicofr.@gmail.com</t>
  </si>
  <si>
    <t>Angela Beatríz Pineda Jiménez</t>
  </si>
  <si>
    <t>Cr. 7 # 2-38</t>
  </si>
  <si>
    <t>anbepiji@gmail.com</t>
  </si>
  <si>
    <t>Dg. 86 A # 103 D-22</t>
  </si>
  <si>
    <t>casa 45</t>
  </si>
  <si>
    <t xml:space="preserve">Juliana.plazas@gmail.com
</t>
  </si>
  <si>
    <t>Cl. 93 Bis # 19 - 24</t>
  </si>
  <si>
    <t>Edificio Chicó Norte</t>
  </si>
  <si>
    <t>camilaforero2002@yahoo.com</t>
  </si>
  <si>
    <t>Carolina Cruz Corzo</t>
  </si>
  <si>
    <t>Trv. 23 # 94-50</t>
  </si>
  <si>
    <t>Caritocruz25@gmail.com</t>
  </si>
  <si>
    <t>Ana María Carrasquilla Barrera</t>
  </si>
  <si>
    <t>Cr. 1 Este # 76 - 04</t>
  </si>
  <si>
    <t>amcarrasquilla@gmail.com</t>
  </si>
  <si>
    <t>Viviana Ferro Buitrago</t>
  </si>
  <si>
    <t>Viviana.ferro@gmail.com</t>
  </si>
  <si>
    <t>Margarita de Meza</t>
  </si>
  <si>
    <t>Cr. 7c Bis # 141a-27</t>
  </si>
  <si>
    <t>ma.mabotero@gmail.com</t>
  </si>
  <si>
    <t>Cl. 127 A Bis # 15-38</t>
  </si>
  <si>
    <t>EDIFICIO TABAGO 3 BARRIO LA CAROLINA</t>
  </si>
  <si>
    <t xml:space="preserve">maria.venegas1964@gmail.com
</t>
  </si>
  <si>
    <t>Cl. 94 # 18-66</t>
  </si>
  <si>
    <t>izacarrascal@hotmail.com</t>
  </si>
  <si>
    <t>Cr. 44 B # 22-23</t>
  </si>
  <si>
    <t>maribell_moreno@hotmail.com</t>
  </si>
  <si>
    <t>Cl. 175  # 70 - 75</t>
  </si>
  <si>
    <t>Scastelom@gmail.com</t>
  </si>
  <si>
    <t>Cl. 213 # 114 - 10</t>
  </si>
  <si>
    <t>casa 3</t>
  </si>
  <si>
    <t>Mz. 3</t>
  </si>
  <si>
    <t>yovannan@gmail.com</t>
  </si>
  <si>
    <t>Edf. ventura</t>
  </si>
  <si>
    <t>santa Barbara</t>
  </si>
  <si>
    <t>cpcl63@gmail.com</t>
  </si>
  <si>
    <t xml:space="preserve">Cll 118 # 11a - 05 </t>
  </si>
  <si>
    <t>Edificio vita</t>
  </si>
  <si>
    <t>Diana8camacho@gmail.com</t>
  </si>
  <si>
    <t>Anne de Wasseige</t>
  </si>
  <si>
    <t>what 3227310371</t>
  </si>
  <si>
    <t>extr 73716</t>
  </si>
  <si>
    <t>annebogota@hotmail.com</t>
  </si>
  <si>
    <t>Cr. 10 N 93-42</t>
  </si>
  <si>
    <t>carlosmarioisaza@gmail.com</t>
  </si>
  <si>
    <t>María Angelica Rodríguez Prada</t>
  </si>
  <si>
    <t>CLL  23 # 33 - 50</t>
  </si>
  <si>
    <t>enfrente de Corferias</t>
  </si>
  <si>
    <t>Pradangelik@gmail.com</t>
  </si>
  <si>
    <t>Adriana Gaviria Trujillo</t>
  </si>
  <si>
    <t>Av Circunv. # 84 C-50</t>
  </si>
  <si>
    <t xml:space="preserve"> Torre 5 Edificio Altos de la Cabrera</t>
  </si>
  <si>
    <t>Adrianam.gaviria@hotmail.com</t>
  </si>
  <si>
    <t>Juanita Zota González</t>
  </si>
  <si>
    <t>Cra 9a # 96 - 22</t>
  </si>
  <si>
    <t>zotajuanita@hotmail.com</t>
  </si>
  <si>
    <t>Av. Cr. 19 # 37-89</t>
  </si>
  <si>
    <t>La Magdalena</t>
  </si>
  <si>
    <t>Sonja.porrasm@gmail.com</t>
  </si>
  <si>
    <t xml:space="preserve">Andres / Melissa Bustos </t>
  </si>
  <si>
    <t>Transversal 2a # 67-20</t>
  </si>
  <si>
    <t xml:space="preserve"> Edificio Aktuell</t>
  </si>
  <si>
    <t>andresh14@hotmail.com</t>
  </si>
  <si>
    <t>Cr. 111C # 81-10</t>
  </si>
  <si>
    <t>Int. 14 Conj. Los Gualandayes</t>
  </si>
  <si>
    <t xml:space="preserve">sophia.bo.91@gmail.com
</t>
  </si>
  <si>
    <t>Calle 122 # 19A -06 apt 302</t>
  </si>
  <si>
    <t>ethlyn50@gmail.com</t>
  </si>
  <si>
    <t>Ana Agudelo Echeverry</t>
  </si>
  <si>
    <t>Cr. 57A # 127 - 14</t>
  </si>
  <si>
    <t>Bl. 2</t>
  </si>
  <si>
    <t>ana.isag192@gmail.com</t>
  </si>
  <si>
    <t xml:space="preserve">alejandra.dz@yahoo.com
</t>
  </si>
  <si>
    <t>Cra 10 A # 120-49</t>
  </si>
  <si>
    <t>Marthaluciagomez@gmail.com</t>
  </si>
  <si>
    <t>Cr. 22 # 101-32</t>
  </si>
  <si>
    <t>Edf. Palmeria</t>
  </si>
  <si>
    <t>Chico Navarra</t>
  </si>
  <si>
    <t>Esperagom@hotmail.com</t>
  </si>
  <si>
    <t>Angela Ochoa Arango</t>
  </si>
  <si>
    <t>Cra 7 A # 90-33</t>
  </si>
  <si>
    <t>Angela.ochoa@apseguros.com.co</t>
  </si>
  <si>
    <t>Claudia Hoyos</t>
  </si>
  <si>
    <t>Cl 113 # 57-20</t>
  </si>
  <si>
    <t>Hoyos_claudia@yahoo.es</t>
  </si>
  <si>
    <t>Cl. 123 # 9-15</t>
  </si>
  <si>
    <t>Edf. Época 123</t>
  </si>
  <si>
    <t>guedale@yahoo.com</t>
  </si>
  <si>
    <t>María Carolina Navia</t>
  </si>
  <si>
    <t>caritonavia@hotmail.com</t>
  </si>
  <si>
    <t>Gloria Taborda</t>
  </si>
  <si>
    <t>Mzna 2 Casa 14</t>
  </si>
  <si>
    <t>Camino de Arrayanes</t>
  </si>
  <si>
    <t>gloriataborda@gmail.com</t>
  </si>
  <si>
    <t>Cl. 74 A # 4-12</t>
  </si>
  <si>
    <t>Edf.El Trébol</t>
  </si>
  <si>
    <t>mazsevilla@yahoo.com</t>
  </si>
  <si>
    <t>Marcela Restrepo Hung</t>
  </si>
  <si>
    <t>Cl. 119 A # 57-97</t>
  </si>
  <si>
    <t>Tr.3 Unidad residencial lagos de cordoba</t>
  </si>
  <si>
    <t>marcelar57@hotmail.com</t>
  </si>
  <si>
    <t>Cr. 19 B # 86 A-32</t>
  </si>
  <si>
    <t>monipalma@gmail.com</t>
  </si>
  <si>
    <t>CRA 9 bis # 97-19</t>
  </si>
  <si>
    <t xml:space="preserve">Camilatribin@gmail.com </t>
  </si>
  <si>
    <t>Nohora Uribe</t>
  </si>
  <si>
    <t>Edf. Cristal</t>
  </si>
  <si>
    <t>El Nogal</t>
  </si>
  <si>
    <t>nohorauribe2002@yahoo.com</t>
  </si>
  <si>
    <t>Cl. 77 # 7-64</t>
  </si>
  <si>
    <t>laurabiologia@gmail.com</t>
  </si>
  <si>
    <t>Cr 18  C # 112-76</t>
  </si>
  <si>
    <t>Edf. Parque 112</t>
  </si>
  <si>
    <t>luis_miguel_martinez@hotmail.com</t>
  </si>
  <si>
    <t>Cr 18 A # 137-43</t>
  </si>
  <si>
    <t>dorismerlano@hotmail.com</t>
  </si>
  <si>
    <t>Patricia Gaviria De Barco</t>
  </si>
  <si>
    <t>Cr. 13 # 157-40</t>
  </si>
  <si>
    <t>Conj. Toscana</t>
  </si>
  <si>
    <t>patricia.gaviria18@hotmail.com</t>
  </si>
  <si>
    <t>Tatiana Reviakina</t>
  </si>
  <si>
    <t>Cr. 54 B # 120-27</t>
  </si>
  <si>
    <t>Int. 5 conjunto residencial se llama MALIBU Cordoba</t>
  </si>
  <si>
    <t xml:space="preserve">tprev64@gmail.com
</t>
  </si>
  <si>
    <t>Claudia Restrepo SONIA SANCHEZ</t>
  </si>
  <si>
    <t>CLL 106 # 23-21</t>
  </si>
  <si>
    <t xml:space="preserve"> EDIF IBIZA</t>
  </si>
  <si>
    <t>Restrepoa.claudia@gmail.com</t>
  </si>
  <si>
    <t xml:space="preserve">CRA 7c # 110a-16
</t>
  </si>
  <si>
    <t>TRE 5</t>
  </si>
  <si>
    <t xml:space="preserve">ashleyschmalbach@hotmail.com
</t>
  </si>
  <si>
    <t>Cl. 145 # 7F - 89</t>
  </si>
  <si>
    <t xml:space="preserve">omsn06@yahoo.com
</t>
  </si>
  <si>
    <t xml:space="preserve">María del Pilar Díaz Gaitán </t>
  </si>
  <si>
    <t>Cr. 7 # 111-75</t>
  </si>
  <si>
    <t>Sta. Ana de Molinos</t>
  </si>
  <si>
    <t>mapi73@hotmail.com</t>
  </si>
  <si>
    <t>Lorena Zuluaga Maldonado</t>
  </si>
  <si>
    <t>Cll 188 # 55a - 62</t>
  </si>
  <si>
    <t>Casa 151</t>
  </si>
  <si>
    <t xml:space="preserve">Conjunto quintas de san Pedro 4 </t>
  </si>
  <si>
    <t>Lzuluagam@gmail.com</t>
  </si>
  <si>
    <t>Tr. 4 Bella Suiza</t>
  </si>
  <si>
    <t>psompolas@mail.com</t>
  </si>
  <si>
    <t xml:space="preserve"> Cr. 14 # 91-29</t>
  </si>
  <si>
    <t xml:space="preserve">lauragomezg@gmail.com
</t>
  </si>
  <si>
    <t>Adriana Patricia Yepes Quintero</t>
  </si>
  <si>
    <t>Cr. 6 # 57-44</t>
  </si>
  <si>
    <t>Tr. 1 Edificio Pinar 57</t>
  </si>
  <si>
    <t>Barrio Bosque Calderón</t>
  </si>
  <si>
    <t>apyepes@gmail.com</t>
  </si>
  <si>
    <t>Cl. 106 # 22-21</t>
  </si>
  <si>
    <t>angela.mejia@unimilitar.edu.co</t>
  </si>
  <si>
    <t>Mónica Pinilla</t>
  </si>
  <si>
    <t>Peaje de patios  en Warehouse</t>
  </si>
  <si>
    <t>Calera</t>
  </si>
  <si>
    <t xml:space="preserve">Calera </t>
  </si>
  <si>
    <t>monica _2581@hotmail.com</t>
  </si>
  <si>
    <t>Lina Fernanda Sepúlveda Sánchez</t>
  </si>
  <si>
    <t>Cra 21 #135-12</t>
  </si>
  <si>
    <t>Ed Itapua</t>
  </si>
  <si>
    <t>sepulvedalina@yahoo.com</t>
  </si>
  <si>
    <t>Cll 128 # 7c - 22</t>
  </si>
  <si>
    <t>eenm1948@hotmail.com</t>
  </si>
  <si>
    <t>Maryan Amitai Liberman</t>
  </si>
  <si>
    <t>Cr. 14 # 100-51</t>
  </si>
  <si>
    <t>Edf. Bali</t>
  </si>
  <si>
    <t>maryamli2@hotmail.com</t>
  </si>
  <si>
    <t>Andrea Báez Guevara</t>
  </si>
  <si>
    <t>Cl. 145 # 7 F-57</t>
  </si>
  <si>
    <t>Andreabaezg@gmail.com</t>
  </si>
  <si>
    <t>Gabriel Sánchez</t>
  </si>
  <si>
    <t xml:space="preserve">Cra 19 No 85-73
</t>
  </si>
  <si>
    <t>Edificio Balcony 85</t>
  </si>
  <si>
    <t xml:space="preserve">gabrielmsanchez@hotmail.com
</t>
  </si>
  <si>
    <t xml:space="preserve">Alejandro Umaña Alvarez </t>
  </si>
  <si>
    <t xml:space="preserve">cll 68 # 1E - 54 </t>
  </si>
  <si>
    <t>aumanaa@yahoo.com</t>
  </si>
  <si>
    <t>Cr.17 # 106-52</t>
  </si>
  <si>
    <t>ilonamurciai@gmail.com</t>
  </si>
  <si>
    <t>Dg. 72 # 1-16</t>
  </si>
  <si>
    <t>Edificio Balcones de Alcala</t>
  </si>
  <si>
    <t>maria106@gmail.com</t>
  </si>
  <si>
    <t>Cr. 15 # 110-18</t>
  </si>
  <si>
    <t>paulal.garciav@gmail.com</t>
  </si>
  <si>
    <t>Sharon Estrada</t>
  </si>
  <si>
    <t xml:space="preserve">Cll 86A # 27-04 </t>
  </si>
  <si>
    <t>Sharon.estrada.avella@gmail.com</t>
  </si>
  <si>
    <t>carrera 14A#151A-39</t>
  </si>
  <si>
    <t>TRE 2</t>
  </si>
  <si>
    <t>Lulavallecilla10@gmail.com</t>
  </si>
  <si>
    <t>Nanjovas@hotmail.com</t>
  </si>
  <si>
    <t>María Fernanda Acosta</t>
  </si>
  <si>
    <t>calle 60 # 35a-31</t>
  </si>
  <si>
    <t>mafe2005@gmail.com</t>
  </si>
  <si>
    <t>Cl. 69 # 5-81</t>
  </si>
  <si>
    <t>Linarango80@hotmail.com</t>
  </si>
  <si>
    <t>Rosa M. Correa P.</t>
  </si>
  <si>
    <t>Cr. 4 A # 59-02</t>
  </si>
  <si>
    <t>Edf. Parque Portugal</t>
  </si>
  <si>
    <t xml:space="preserve"> rosecopi@yahoo.com</t>
  </si>
  <si>
    <t>Paula Orozco</t>
  </si>
  <si>
    <t>Conj. Santa Coloma</t>
  </si>
  <si>
    <t>pacarozco@hotmail.com</t>
  </si>
  <si>
    <t>Mónica Plata</t>
  </si>
  <si>
    <t>Cl 127 B # 12-16</t>
  </si>
  <si>
    <t>Monicaplata420@hotmail.com</t>
  </si>
  <si>
    <t xml:space="preserve">Emillia Hernandez María Clara Sinning  </t>
  </si>
  <si>
    <t>Cl. 85 # 8-81</t>
  </si>
  <si>
    <t>Neolaia.col@gmail.com</t>
  </si>
  <si>
    <t>Juliana Ferrer</t>
  </si>
  <si>
    <t>Cl. 105 # 21-12</t>
  </si>
  <si>
    <t>Edf. Casablanca</t>
  </si>
  <si>
    <t>Cl. 104 A # 21-77</t>
  </si>
  <si>
    <t>Edf. Montecarlo</t>
  </si>
  <si>
    <t>margara182@gmail.com</t>
  </si>
  <si>
    <t>Cr. 53 # 134-96</t>
  </si>
  <si>
    <t>Int. 5 Condado de Iberia</t>
  </si>
  <si>
    <t>falozbar@hotmail.com</t>
  </si>
  <si>
    <t>Cr. 45 A # 123-85</t>
  </si>
  <si>
    <t xml:space="preserve">Barrio el batán </t>
  </si>
  <si>
    <t>Angelamarianavas@gmail.com</t>
  </si>
  <si>
    <t>María Camila Madrid Fernández</t>
  </si>
  <si>
    <t>Cll 114a #58-65</t>
  </si>
  <si>
    <t xml:space="preserve"> edf Vassaris 1</t>
  </si>
  <si>
    <t>puente largo</t>
  </si>
  <si>
    <t>mariacmadrid14@me.com</t>
  </si>
  <si>
    <t>María Isabel Alvarez</t>
  </si>
  <si>
    <t>Cl. 140 # 10 A-61</t>
  </si>
  <si>
    <t>Primavera Del cedro Int. 3</t>
  </si>
  <si>
    <t>buenhabitatph@gmail.com</t>
  </si>
  <si>
    <t>Ana María Pedraza</t>
  </si>
  <si>
    <t>Cll 127a # 13 - 25</t>
  </si>
  <si>
    <t>pedrazac.anam@gmail.com</t>
  </si>
  <si>
    <t>TR. 3 Conj. Palo verde</t>
  </si>
  <si>
    <t>macaya31@yahoo.com</t>
  </si>
  <si>
    <t>Dg. 85 # 76-21</t>
  </si>
  <si>
    <t>dianasalazarsolis@yahoo.com</t>
  </si>
  <si>
    <t xml:space="preserve">Cristina Gutierrez Gutierrez
</t>
  </si>
  <si>
    <t xml:space="preserve">CLL 79#8-21
</t>
  </si>
  <si>
    <t>Edificio mallorquin</t>
  </si>
  <si>
    <t xml:space="preserve">cristinagutierrez@yahoo.com
</t>
  </si>
  <si>
    <t>Edf. Cedritos 147</t>
  </si>
  <si>
    <t xml:space="preserve">estefaniamoralessanchez@gmail.com </t>
  </si>
  <si>
    <t>Cr. 70 D # 79-27</t>
  </si>
  <si>
    <t>amparitodms@gmail.com</t>
  </si>
  <si>
    <t>Tr. 3 Portal de Versalles</t>
  </si>
  <si>
    <t>Mazurén</t>
  </si>
  <si>
    <t>Luzdary_gahona@hotmail.com</t>
  </si>
  <si>
    <t>Jimena Alviar Nelson Hernandez</t>
  </si>
  <si>
    <t>Calle 62 # 24-39</t>
  </si>
  <si>
    <t>Balcones del Campin 3</t>
  </si>
  <si>
    <t>menaalviar@gmail.com</t>
  </si>
  <si>
    <t>Cr. 5 Este # 109-15</t>
  </si>
  <si>
    <t>santa ana oriental</t>
  </si>
  <si>
    <t>lauris845@gmail.com</t>
  </si>
  <si>
    <t xml:space="preserve">Cra 16 #101 -30 </t>
  </si>
  <si>
    <t>Tekto Navarra</t>
  </si>
  <si>
    <t xml:space="preserve">ESTA VIVIENDO EN MEDELLIN </t>
  </si>
  <si>
    <t>julicserna@hotmail.com</t>
  </si>
  <si>
    <t>Laura González Amaya</t>
  </si>
  <si>
    <t>Cl. 22 D #72-38</t>
  </si>
  <si>
    <t>Lauragonzalezamaya85@gmail.com</t>
  </si>
  <si>
    <t>Cr. 18 # 119 A-44</t>
  </si>
  <si>
    <t>monicasilvag@yahoo.com</t>
  </si>
  <si>
    <t>Laura Velásquez</t>
  </si>
  <si>
    <t>Calle 151 #12b-16</t>
  </si>
  <si>
    <t>Edf Cedral 2 de Asís</t>
  </si>
  <si>
    <t>lgvr_22@yahoo.com</t>
  </si>
  <si>
    <t>Adriana Alvarez</t>
  </si>
  <si>
    <t>Cr. 48 # 123-15</t>
  </si>
  <si>
    <t>Adry8204@hotmail.com</t>
  </si>
  <si>
    <t>Laura Pulido</t>
  </si>
  <si>
    <t>CLL 146 a # 53 a 82</t>
  </si>
  <si>
    <t>lalapu@gmail.com</t>
  </si>
  <si>
    <t xml:space="preserve">CLL  95 # 21-73
</t>
  </si>
  <si>
    <t>No hay portero. Marcar número del apto en el intercomunicador</t>
  </si>
  <si>
    <t xml:space="preserve">lbulbena@gmail.com
</t>
  </si>
  <si>
    <t xml:space="preserve">Torre 3 conjunto cerrado sierras del este </t>
  </si>
  <si>
    <t>alcarrillomendoza@gmail.com</t>
  </si>
  <si>
    <t>Lore_17m@hotmail.com</t>
  </si>
  <si>
    <t>Trr 2 Aitana del salitre</t>
  </si>
  <si>
    <t>angelicagog@hotmail.com</t>
  </si>
  <si>
    <t>Sonia Prieto Ruiz</t>
  </si>
  <si>
    <t>Cl. 64 # 4 A-85</t>
  </si>
  <si>
    <t>soni_caro@hotmail.com</t>
  </si>
  <si>
    <t>Ingrid Esperanza Lugo Perez</t>
  </si>
  <si>
    <t>CLL 22 sur # 10d - 73</t>
  </si>
  <si>
    <t>ingridlugo90@gmail.com</t>
  </si>
  <si>
    <t>Claudia Andrea Valencia Sánchez</t>
  </si>
  <si>
    <t>Cr. 53 # 134 A-47</t>
  </si>
  <si>
    <t>Klaupy2010@gmail.com</t>
  </si>
  <si>
    <t>Mónica Saavedra Poveda</t>
  </si>
  <si>
    <t>Cra 20 # 107-41 apto 203</t>
  </si>
  <si>
    <t>monicamo85@hotmail.com</t>
  </si>
  <si>
    <t xml:space="preserve">Tr. 8 </t>
  </si>
  <si>
    <t>meezapata@hotmail.com</t>
  </si>
  <si>
    <t>Rossana La Rotta</t>
  </si>
  <si>
    <t>larotta3@hotmail.com</t>
  </si>
  <si>
    <t>CLL 77 # 11 -91</t>
  </si>
  <si>
    <t>Ed Oicata</t>
  </si>
  <si>
    <t>1026254 272</t>
  </si>
  <si>
    <t>July_212@hotmail.com</t>
  </si>
  <si>
    <t>Cr. 7 B # 124-20</t>
  </si>
  <si>
    <t>Edf. Antara</t>
  </si>
  <si>
    <t>sanpipe@yahoo.com</t>
  </si>
  <si>
    <t>Cl. 76A # 1 - 10</t>
  </si>
  <si>
    <t>amcartagena@sar.net.co</t>
  </si>
  <si>
    <t>Marisol Ramírez Lopera</t>
  </si>
  <si>
    <t>Cr. 65 # 103 - 62</t>
  </si>
  <si>
    <t xml:space="preserve">Barrio Andes Norte  </t>
  </si>
  <si>
    <t>ortomarysol@hotmail.com</t>
  </si>
  <si>
    <t>María Luisa Concha Izquierdo</t>
  </si>
  <si>
    <t>mlconcha2@gmail.com</t>
  </si>
  <si>
    <t>Magda Beltrán Cotrino</t>
  </si>
  <si>
    <t>Cr. 19 A # 88 - 14</t>
  </si>
  <si>
    <t>Edi Le Parc</t>
  </si>
  <si>
    <t>cotrino66@yahoo.com</t>
  </si>
  <si>
    <t>Ana María Quiroga</t>
  </si>
  <si>
    <t>Cll 93bis # 20-46</t>
  </si>
  <si>
    <t>Aquirogamatiz@gmail.com</t>
  </si>
  <si>
    <t>Sarah Toro Espitia</t>
  </si>
  <si>
    <t>Cl. 116 #14b -06</t>
  </si>
  <si>
    <t>sara.toroe@gmail.com</t>
  </si>
  <si>
    <t>María Paula Pasquier</t>
  </si>
  <si>
    <t>Cr. 11 # 109-39</t>
  </si>
  <si>
    <t>Mapa14@hotmail.com</t>
  </si>
  <si>
    <t>Cr. 16 # 127 31</t>
  </si>
  <si>
    <t>Torre 1 Reserva de Santa Clara</t>
  </si>
  <si>
    <t>Diana.stand@gmail.com</t>
  </si>
  <si>
    <t>CRA 21#102-86</t>
  </si>
  <si>
    <t xml:space="preserve">josefina@delcastillop.com </t>
  </si>
  <si>
    <t>Cl. 106 # 50-21</t>
  </si>
  <si>
    <t>Edf. Green</t>
  </si>
  <si>
    <t>rocig12@gmail.com</t>
  </si>
  <si>
    <t>Margarita Briceño Delgado</t>
  </si>
  <si>
    <t>Cl. 146 # 21-76</t>
  </si>
  <si>
    <t>Int. 2 barrio Cedritos</t>
  </si>
  <si>
    <t xml:space="preserve"> margaritabriceno@gmail.com</t>
  </si>
  <si>
    <t>Alexander Salazar Reviakina</t>
  </si>
  <si>
    <t>Crr 10 # 54 - 13</t>
  </si>
  <si>
    <t>alexsr36@gmail.com</t>
  </si>
  <si>
    <t>Crr 49A # 100 - 03</t>
  </si>
  <si>
    <t>Cf 37</t>
  </si>
  <si>
    <t>Conjunto Teruel</t>
  </si>
  <si>
    <t>Calle 100</t>
  </si>
  <si>
    <t>Marlogor35@gmail.com</t>
  </si>
  <si>
    <t xml:space="preserve">Calle 62 # 3F - 25 </t>
  </si>
  <si>
    <t>Edificio Balcones de Altaloma III</t>
  </si>
  <si>
    <t xml:space="preserve">rasalatin@hotmail.com
</t>
  </si>
  <si>
    <t>Isabela Gonzalez</t>
  </si>
  <si>
    <t>Cll 94a # 21 - 41</t>
  </si>
  <si>
    <t>isaggon94@gmail.com</t>
  </si>
  <si>
    <t>Daniela Greiffenstei</t>
  </si>
  <si>
    <t>Cra 13bis # 110 - 58</t>
  </si>
  <si>
    <t>danigreif@gmail.com</t>
  </si>
  <si>
    <t>Fernando Mayorga García</t>
  </si>
  <si>
    <t>CRA 19 # 82-42</t>
  </si>
  <si>
    <t>fmayorga2028@gmail.com</t>
  </si>
  <si>
    <t>Liliana Galeano</t>
  </si>
  <si>
    <t>Cra 73 bis # 53 - 58</t>
  </si>
  <si>
    <t>lilianagaleanop@gmail.com</t>
  </si>
  <si>
    <t>Claudia Galan</t>
  </si>
  <si>
    <t>Cra 11d # 122 - 19</t>
  </si>
  <si>
    <t>Mclaudiagalan@hotmail.com</t>
  </si>
  <si>
    <t>Catalina Duque</t>
  </si>
  <si>
    <t>Cra 6 # 45 - 25</t>
  </si>
  <si>
    <t xml:space="preserve">Edf Cerros de la Javeriana </t>
  </si>
  <si>
    <t>anacataduke@gmail.com</t>
  </si>
  <si>
    <t xml:space="preserve">Valentina Vanegas </t>
  </si>
  <si>
    <t>Cra 20 # 125 - 46</t>
  </si>
  <si>
    <t>Nhora Alicia Olano</t>
  </si>
  <si>
    <t xml:space="preserve">Cra 91 # 19 a - 29 </t>
  </si>
  <si>
    <t xml:space="preserve">Bloque 3 santa clara </t>
  </si>
  <si>
    <t>nhoraaliciaolanogonzalez@gmail.com</t>
  </si>
  <si>
    <t xml:space="preserve">Monica Garcia </t>
  </si>
  <si>
    <t>Cll 72a # 62-14</t>
  </si>
  <si>
    <t>52.781.464</t>
  </si>
  <si>
    <t>mojogarco@yahoo.com</t>
  </si>
  <si>
    <t xml:space="preserve">Elsa Patricia Perez </t>
  </si>
  <si>
    <t xml:space="preserve">Cra 35 # 10-27 sur </t>
  </si>
  <si>
    <t xml:space="preserve">Santa Matilde </t>
  </si>
  <si>
    <t xml:space="preserve">perezarangoe@gmail.com </t>
  </si>
  <si>
    <t xml:space="preserve">Maria Camila Parra </t>
  </si>
  <si>
    <t>Cll 72 # 4 - 54</t>
  </si>
  <si>
    <t>Cra 87 # 17 - 35</t>
  </si>
  <si>
    <t>yencymile@gmail.com</t>
  </si>
  <si>
    <t xml:space="preserve">Santiago Mariño Escallon </t>
  </si>
  <si>
    <t>Cll 121 # 3A - 20</t>
  </si>
  <si>
    <t>santiagomarinoe@gmail.com</t>
  </si>
  <si>
    <t>Paula Cárdenas</t>
  </si>
  <si>
    <t>Cra 10 # 94a - 7</t>
  </si>
  <si>
    <t xml:space="preserve">Edificio El Magnolio </t>
  </si>
  <si>
    <t>paulacardenas01@gmail.com</t>
  </si>
  <si>
    <t xml:space="preserve">Cra 69h # 86 - 22 </t>
  </si>
  <si>
    <t>oscarrodriguez2613@hotmail.com</t>
  </si>
  <si>
    <t>Ana Carolina Gomez</t>
  </si>
  <si>
    <t>Cll 112 # 16 - 69</t>
  </si>
  <si>
    <t xml:space="preserve">San Patricio </t>
  </si>
  <si>
    <t>carogomezprada@gmail.com</t>
  </si>
  <si>
    <t>Cra 10 No 128-60</t>
  </si>
  <si>
    <t>Katianatia@gmail.com</t>
  </si>
  <si>
    <t xml:space="preserve">Maria Clara Paez </t>
  </si>
  <si>
    <t>Cll 103 No 22-30</t>
  </si>
  <si>
    <t>maclarapaez@me.com</t>
  </si>
  <si>
    <t>Veronica Dorado</t>
  </si>
  <si>
    <t xml:space="preserve">Cra 15 # 135-45 </t>
  </si>
  <si>
    <t>Verodorado@hotmail.com</t>
  </si>
  <si>
    <t>Cra 11a No. 112-06</t>
  </si>
  <si>
    <t>juanita.gutierrez.orozco@gmail.com</t>
  </si>
  <si>
    <t>Karen Hernandez</t>
  </si>
  <si>
    <t>Cll 101 # 11b - 04</t>
  </si>
  <si>
    <t>Kari.herza@gmail.com</t>
  </si>
  <si>
    <t>María Isabel Becerrra Ferreira</t>
  </si>
  <si>
    <t>Cra 1 Este # 84b-91</t>
  </si>
  <si>
    <t xml:space="preserve">Torre 2 Edificio ULB Gold 
</t>
  </si>
  <si>
    <t>Mibecerraf@hotmail.com</t>
  </si>
  <si>
    <t xml:space="preserve">Stephanie Rojas </t>
  </si>
  <si>
    <t>Cra 57#138-66</t>
  </si>
  <si>
    <t>Interior 7 Conjunto Surala II</t>
  </si>
  <si>
    <t xml:space="preserve">Stephyro.morales@gmail.com </t>
  </si>
  <si>
    <t>Liz Hernandez Serrato</t>
  </si>
  <si>
    <t xml:space="preserve">Cra  49 # 91 -50 </t>
  </si>
  <si>
    <t xml:space="preserve">Edificio castellana plaza </t>
  </si>
  <si>
    <t>Conecta@lizhernandezserrato.com</t>
  </si>
  <si>
    <t>Cra 7A # 135-78</t>
  </si>
  <si>
    <t xml:space="preserve">Int. 1 </t>
  </si>
  <si>
    <t>luisavergara@hotmail.com</t>
  </si>
  <si>
    <t xml:space="preserve">Catalina Vargas </t>
  </si>
  <si>
    <t>Cra 4 # 56A-56</t>
  </si>
  <si>
    <t>vargasgotuzzo@gmail.com</t>
  </si>
  <si>
    <t xml:space="preserve">Amparo Rojas </t>
  </si>
  <si>
    <t>Cll 127c bis #7c - 34</t>
  </si>
  <si>
    <t xml:space="preserve">Edifi Escuadra </t>
  </si>
  <si>
    <t>Larojas14@gmail.com</t>
  </si>
  <si>
    <t>Luis Fernando Castaño</t>
  </si>
  <si>
    <t>Cll 87 - 19c - 71</t>
  </si>
  <si>
    <t xml:space="preserve">luisfernandoc@hotmail.com </t>
  </si>
  <si>
    <t xml:space="preserve">Esperanza Ortiz </t>
  </si>
  <si>
    <t>Cll 146A # 53A - 94</t>
  </si>
  <si>
    <t>Bloque 94</t>
  </si>
  <si>
    <t xml:space="preserve">espeortizc@gmail.com </t>
  </si>
  <si>
    <t>David Gonzalez</t>
  </si>
  <si>
    <t>Cra 75a #20-31</t>
  </si>
  <si>
    <t xml:space="preserve">Conjunto residencial el roble. </t>
  </si>
  <si>
    <t xml:space="preserve">guarodg@gmail.com </t>
  </si>
  <si>
    <t>Isabel Bravo Umaña</t>
  </si>
  <si>
    <t>Cll  79b # 4-68</t>
  </si>
  <si>
    <t>bravo.isabel3@hotmail.com</t>
  </si>
  <si>
    <t xml:space="preserve">Maria Paula Pineda </t>
  </si>
  <si>
    <t xml:space="preserve">Cll  106 # 22 - 21 </t>
  </si>
  <si>
    <t>Vidasoa 106</t>
  </si>
  <si>
    <t>mppinedac11@gmail.com</t>
  </si>
  <si>
    <t xml:space="preserve">Amparo Guzmán </t>
  </si>
  <si>
    <t>Cra 53B # 121 - 80</t>
  </si>
  <si>
    <t>Maria Piedad Machado</t>
  </si>
  <si>
    <t>Ak 7 #75-98</t>
  </si>
  <si>
    <t>mapimachado@yahoo.co.uk</t>
  </si>
  <si>
    <t>Cr 15 # 127A 39</t>
  </si>
  <si>
    <t>acortesc@icloud.com</t>
  </si>
  <si>
    <t>Cra 21#39-24</t>
  </si>
  <si>
    <t>victoriaherser@gmail.com</t>
  </si>
  <si>
    <t xml:space="preserve">Cll 127A BIS A # 15-85 </t>
  </si>
  <si>
    <t>Mcmorenolinero@gmail.com</t>
  </si>
  <si>
    <t xml:space="preserve">Monica Esguerra </t>
  </si>
  <si>
    <t>Cra 18#113-52</t>
  </si>
  <si>
    <t>mnica.esguerra@yahoo.com</t>
  </si>
  <si>
    <t xml:space="preserve">Fabiola Matamoros </t>
  </si>
  <si>
    <t>Oikos Savanna Monterrey</t>
  </si>
  <si>
    <t>casa 96A</t>
  </si>
  <si>
    <t>fabitrabajo@gmail.com</t>
  </si>
  <si>
    <t>Sonia Rosales</t>
  </si>
  <si>
    <t xml:space="preserve">Cra 58 b # 135-49 </t>
  </si>
  <si>
    <t>Torre 2 onjunto parqués de la colina 2</t>
  </si>
  <si>
    <t>Nenaalvira@hotmail.com</t>
  </si>
  <si>
    <t>Cra. 19a #105-14</t>
  </si>
  <si>
    <t>CE 761732</t>
  </si>
  <si>
    <t>alexandrafw@gmail.com</t>
  </si>
  <si>
    <t xml:space="preserve">CRA 14B # 119 - 47 </t>
  </si>
  <si>
    <t xml:space="preserve">natato841@hotmail.com </t>
  </si>
  <si>
    <t xml:space="preserve">Paola Campos </t>
  </si>
  <si>
    <t>Cra  10 # 117 A -69</t>
  </si>
  <si>
    <t xml:space="preserve">camposcaceres@gmail.com </t>
  </si>
  <si>
    <t>Karen Hayek</t>
  </si>
  <si>
    <t>Carrera 44 no 17Csur 40</t>
  </si>
  <si>
    <t>poblado verde</t>
  </si>
  <si>
    <t>310 8747867</t>
  </si>
  <si>
    <t xml:space="preserve">k_hayek@hotmail.com </t>
  </si>
  <si>
    <t xml:space="preserve">Laura Sáenz </t>
  </si>
  <si>
    <t>Carrera 13 # 88-26</t>
  </si>
  <si>
    <t>PH</t>
  </si>
  <si>
    <t xml:space="preserve">Laura@laura-saenz.com </t>
  </si>
  <si>
    <t xml:space="preserve">Carmen Garcia </t>
  </si>
  <si>
    <t xml:space="preserve">Cra 7 # 64-50 </t>
  </si>
  <si>
    <t xml:space="preserve">MAMA DE PALOMA </t>
  </si>
  <si>
    <t xml:space="preserve"> Paula Moreno</t>
  </si>
  <si>
    <t xml:space="preserve">Transversal 19a#94a-19 </t>
  </si>
  <si>
    <t>Edificio Akai 95</t>
  </si>
  <si>
    <t>pmlg21.94@gmail.com</t>
  </si>
  <si>
    <t>Elsa Lobo Guerrero</t>
  </si>
  <si>
    <t>Carrera 9 # 97-19</t>
  </si>
  <si>
    <t>Elsita.lgd68@gmail.com</t>
  </si>
  <si>
    <t xml:space="preserve">Cristina Soler </t>
  </si>
  <si>
    <t>Cra 4 #70-68</t>
  </si>
  <si>
    <t>Edificio El Mandarino</t>
  </si>
  <si>
    <t xml:space="preserve">cristinasolervelez@gmail.com </t>
  </si>
  <si>
    <t xml:space="preserve">Diana López </t>
  </si>
  <si>
    <t>Cra 4# 80A-48</t>
  </si>
  <si>
    <t>edif Belmonte 1- Barrio Rosales</t>
  </si>
  <si>
    <t>María Angulo</t>
  </si>
  <si>
    <t>Trans 5# 86-91</t>
  </si>
  <si>
    <t>Edifico Cenit de la Cabrera</t>
  </si>
  <si>
    <t>carolinita33@gmail.com</t>
  </si>
  <si>
    <t>Milena Vargas</t>
  </si>
  <si>
    <t xml:space="preserve">Cll 118 # 12-40 </t>
  </si>
  <si>
    <t>leidymile@hotmail.com</t>
  </si>
  <si>
    <t>Natalia Arango</t>
  </si>
  <si>
    <t>Cra 5 # 72A - 38</t>
  </si>
  <si>
    <t>n.arangob@gmail.com</t>
  </si>
  <si>
    <t>Cra 16A # 85 - 37</t>
  </si>
  <si>
    <t>lilianamon@gmail.com</t>
  </si>
  <si>
    <t>Adriana pinto Echeve</t>
  </si>
  <si>
    <t>Cll 109 # 1 - 30</t>
  </si>
  <si>
    <t>adripinto3@gmail.com</t>
  </si>
  <si>
    <t>Maria Carolina Angulo</t>
  </si>
  <si>
    <t xml:space="preserve">Edifico Cenit de la Cabrera </t>
  </si>
  <si>
    <t>Anna Lamonova</t>
  </si>
  <si>
    <t>Calle 29 4-24</t>
  </si>
  <si>
    <t xml:space="preserve">CE 332086 </t>
  </si>
  <si>
    <t>79lanyae@gmail.com</t>
  </si>
  <si>
    <t>Sandra frias</t>
  </si>
  <si>
    <t>Cra 32 A # 25 B 75</t>
  </si>
  <si>
    <t>Tr 6 conjunto MIrador de Takay</t>
  </si>
  <si>
    <t>sandrafrias1@hotmail.com</t>
  </si>
  <si>
    <t>Diagonal 46 n 76 -39</t>
  </si>
  <si>
    <t>Normandia</t>
  </si>
  <si>
    <t>Patico403@hotmail.com</t>
  </si>
  <si>
    <t>Cra 7 F No 145 _ 88</t>
  </si>
  <si>
    <t>Barrio Belmira</t>
  </si>
  <si>
    <t>alix8888@gmail.com</t>
  </si>
  <si>
    <t xml:space="preserve">Carrera 17 # 113-22 </t>
  </si>
  <si>
    <t>expeabril@gmail.com</t>
  </si>
  <si>
    <t>Una Bustamante Afiuni</t>
  </si>
  <si>
    <t>carrera 58c # 147-81</t>
  </si>
  <si>
    <t>Trr 1 conjunto Rossetti</t>
  </si>
  <si>
    <t>unabustamante@gmail.com</t>
  </si>
  <si>
    <t xml:space="preserve">Karen Rodríguez </t>
  </si>
  <si>
    <t>Calle 128 # 9-59</t>
  </si>
  <si>
    <t>Int 2 Recido del Country Etapa 3</t>
  </si>
  <si>
    <t>Karenrodva@hotmail.com</t>
  </si>
  <si>
    <t>Marlene Barboza</t>
  </si>
  <si>
    <t>Cll 131a # 53 - 31</t>
  </si>
  <si>
    <t xml:space="preserve">Trr 3  conjunto Aminte la colina </t>
  </si>
  <si>
    <t>ficciones2020@gmail.com</t>
  </si>
  <si>
    <t>Martha Liliana Huérfano</t>
  </si>
  <si>
    <t>Carrera 118#86-35</t>
  </si>
  <si>
    <t>Bloque 1</t>
  </si>
  <si>
    <t>Lilianahm30@yahoo.com</t>
  </si>
  <si>
    <t>Juan Carlos Samper</t>
  </si>
  <si>
    <t xml:space="preserve">Cll   121 N 3 A - 20 </t>
  </si>
  <si>
    <t>jcsamper@jcsamper.com</t>
  </si>
  <si>
    <t>Cll  22a # 50-49</t>
  </si>
  <si>
    <t>Tre 5</t>
  </si>
  <si>
    <t>Mofelema@hotmail.com</t>
  </si>
  <si>
    <t xml:space="preserve">Katherine Carrillo </t>
  </si>
  <si>
    <t>Calle 142 #13-44</t>
  </si>
  <si>
    <t>dif. Akaroa. Barrio Cedritos</t>
  </si>
  <si>
    <t xml:space="preserve">kathecarri26@gmail.com </t>
  </si>
  <si>
    <t xml:space="preserve">Fransbel Rodríguez </t>
  </si>
  <si>
    <t>CRA 50 #3-10</t>
  </si>
  <si>
    <t xml:space="preserve">Segundo piso casa  </t>
  </si>
  <si>
    <t>fransbel@gmail.com</t>
  </si>
  <si>
    <t>Isabel Cañón</t>
  </si>
  <si>
    <t xml:space="preserve">Cra 17a # 119a - 41 </t>
  </si>
  <si>
    <t>Edificio Torres de Cirales</t>
  </si>
  <si>
    <t>Isabelcnms@gmail.com</t>
  </si>
  <si>
    <t>María Lopera</t>
  </si>
  <si>
    <t>Cll 112 # 3-84</t>
  </si>
  <si>
    <t>marialoperaf@gmail.com</t>
  </si>
  <si>
    <t>Daniel Acosta</t>
  </si>
  <si>
    <t>Cra 23 # 103A - 31</t>
  </si>
  <si>
    <t>daac83@mail.com</t>
  </si>
  <si>
    <t>Alexandra Alvarez</t>
  </si>
  <si>
    <t>Cra 27 q bis # 74 c bis Sur 86</t>
  </si>
  <si>
    <t>alexalvagz@hotmail.com</t>
  </si>
  <si>
    <t>Maria Camila Paredes</t>
  </si>
  <si>
    <t>Cra 11 # 110 - 31</t>
  </si>
  <si>
    <t>Tre 6</t>
  </si>
  <si>
    <t>Mparedesneira@gmail.com</t>
  </si>
  <si>
    <t>Lina Larsen</t>
  </si>
  <si>
    <t>Cra 49 # 124-54</t>
  </si>
  <si>
    <t>Edificio Goya</t>
  </si>
  <si>
    <t xml:space="preserve">Linalarsen63@gmail.com </t>
  </si>
  <si>
    <t xml:space="preserve">Ana Prieto </t>
  </si>
  <si>
    <t xml:space="preserve">Cra 17a #105-25 </t>
  </si>
  <si>
    <t>Torre Jazmín del cabo</t>
  </si>
  <si>
    <t>Miguel Zarama</t>
  </si>
  <si>
    <t>Cll 85 # 7 24</t>
  </si>
  <si>
    <t>miguelzarsal@gmail.com</t>
  </si>
  <si>
    <t>Cll 141 a # 7c 53</t>
  </si>
  <si>
    <t>Tefany89@hotmail.com</t>
  </si>
  <si>
    <t>Ximena Monsalve Cadavid</t>
  </si>
  <si>
    <t xml:space="preserve">Cll  104A # 45A-55 </t>
  </si>
  <si>
    <t xml:space="preserve">xmonsalve@hotmail.com </t>
  </si>
  <si>
    <t>Carlos Molina &amp; Prosperify Ltda</t>
  </si>
  <si>
    <t>Cra 13 # 122 - 34</t>
  </si>
  <si>
    <t>Itr 4 Multicentro Manzana E Barrio Santa Barbara</t>
  </si>
  <si>
    <t>901794339-6</t>
  </si>
  <si>
    <t xml:space="preserve">prosperifyltda@gmail.com </t>
  </si>
  <si>
    <t xml:space="preserve">Ángela Patricia Pradilla Reyes </t>
  </si>
  <si>
    <t xml:space="preserve">Cll 152#72-02 </t>
  </si>
  <si>
    <t>Torre 4 gratamira campestre 3</t>
  </si>
  <si>
    <t>aprpsicologia07@gmail.com</t>
  </si>
  <si>
    <t>Adriana Gallego</t>
  </si>
  <si>
    <t>CRA 6 # 86-87</t>
  </si>
  <si>
    <t>ED. 6X86 B. EL REFUGIO</t>
  </si>
  <si>
    <t>adrianamaria28@hotmail.com</t>
  </si>
  <si>
    <t>Cll 69 #5-20</t>
  </si>
  <si>
    <t>Carolachas@yahoo.com</t>
  </si>
  <si>
    <t>Diana Estupiñan</t>
  </si>
  <si>
    <t>Cll 128 A 57c 04</t>
  </si>
  <si>
    <t xml:space="preserve">barrio las villas </t>
  </si>
  <si>
    <t>dianamev@gmail.com</t>
  </si>
  <si>
    <t>Juan Diego Leal</t>
  </si>
  <si>
    <t>Cll 109#19-51</t>
  </si>
  <si>
    <t>Juanolealo@outlook.com</t>
  </si>
  <si>
    <t>CRA 6A #132-37</t>
  </si>
  <si>
    <t>Tre 3 BOSQUE MEDINA. PALO VERDE</t>
  </si>
  <si>
    <t>mcardenasparra@yahoo.com</t>
  </si>
  <si>
    <t>Julieta Merino</t>
  </si>
  <si>
    <t>Cll 110A # 6 - 06</t>
  </si>
  <si>
    <t>Edifi Santa Ana</t>
  </si>
  <si>
    <t>julietamerinog@yahoo.es</t>
  </si>
  <si>
    <t>Carlos Arango varon</t>
  </si>
  <si>
    <t>CLL 107a # 7a - 81</t>
  </si>
  <si>
    <t>Tre 8</t>
  </si>
  <si>
    <t>CARLOSARANGO159@GMAIL.COM</t>
  </si>
  <si>
    <t xml:space="preserve">Adriana Bahamón </t>
  </si>
  <si>
    <t>CLL 124 # 18 - 43</t>
  </si>
  <si>
    <t>Adriana.bahamonm@gmail.com</t>
  </si>
  <si>
    <t xml:space="preserve">Carolina Alvarez </t>
  </si>
  <si>
    <t>Cr 11a N 91-16</t>
  </si>
  <si>
    <t>Carolina.alvarez000@gmail.com</t>
  </si>
  <si>
    <t>Andrés Jiménez</t>
  </si>
  <si>
    <t>Kr 13 #40b-74</t>
  </si>
  <si>
    <t>edf Tekto San Marcos</t>
  </si>
  <si>
    <t>Maria Laura Cuccaro</t>
  </si>
  <si>
    <t>Cll 118 # 20-51</t>
  </si>
  <si>
    <t xml:space="preserve">marialauracuccaro@gmail.com </t>
  </si>
  <si>
    <t>Paola Avila Suarez</t>
  </si>
  <si>
    <t>Cra 65 # 103-62</t>
  </si>
  <si>
    <t>conjunto Portobello 2</t>
  </si>
  <si>
    <t xml:space="preserve">Pao_avila6@hotmail.com </t>
  </si>
  <si>
    <t>Cra 7 #75-98</t>
  </si>
  <si>
    <t>edificio Urapanes</t>
  </si>
  <si>
    <t>3104273500 (525544741584)</t>
  </si>
  <si>
    <t>Kikagonzalezpont@gmail.com</t>
  </si>
  <si>
    <t>Isabella rodado</t>
  </si>
  <si>
    <t>Cll 92# 10 -36</t>
  </si>
  <si>
    <t>Isa.rodado@hotmail.com</t>
  </si>
  <si>
    <t>María Helena Duque M</t>
  </si>
  <si>
    <t>Cra 9 # 85 - 80</t>
  </si>
  <si>
    <t>Mariahelenaduque@hotmail.com</t>
  </si>
  <si>
    <t>Martha Giraldo</t>
  </si>
  <si>
    <t>Cra 13 # 19- 85</t>
  </si>
  <si>
    <t>Terraluna chia</t>
  </si>
  <si>
    <t>danitamesaguraldo@gmail.com</t>
  </si>
  <si>
    <t>Cra 14 # 106a - 60</t>
  </si>
  <si>
    <t>jorge@runnerslab.com.co</t>
  </si>
  <si>
    <t xml:space="preserve">Nathalie León </t>
  </si>
  <si>
    <t>Calle 152#54-39</t>
  </si>
  <si>
    <t>int 4 parque Aragón Barrio Mazuren</t>
  </si>
  <si>
    <t xml:space="preserve">nataleon20@hotmail.com </t>
  </si>
  <si>
    <t xml:space="preserve">Alexandra Garcia </t>
  </si>
  <si>
    <t>Cll 22a # 50 - 49</t>
  </si>
  <si>
    <t>Trr 3</t>
  </si>
  <si>
    <t>Alexgado73@hotmail.com</t>
  </si>
  <si>
    <t>Diana Velez</t>
  </si>
  <si>
    <t>Cll 127A # 11 B - 76</t>
  </si>
  <si>
    <t>Ed Prado alto- Barrio country</t>
  </si>
  <si>
    <t>diana.velezvelez12@gmail.com</t>
  </si>
  <si>
    <t>Cra 6 # 84b-55</t>
  </si>
  <si>
    <t>Lalarb100@gmail.com</t>
  </si>
  <si>
    <t>Cra 61#97-15</t>
  </si>
  <si>
    <t>Barrio Andes</t>
  </si>
  <si>
    <t>fbinversiones@hotmail.com</t>
  </si>
  <si>
    <t>David Uribe</t>
  </si>
  <si>
    <t>KM 33 VIA Briceño</t>
  </si>
  <si>
    <t>227 Bis</t>
  </si>
  <si>
    <t>Parcelación Aposentos</t>
  </si>
  <si>
    <t>david@daviduribe.me</t>
  </si>
  <si>
    <t>Luis Gabriel Urrego Fonseca</t>
  </si>
  <si>
    <t>Cll 152a # 46a-60</t>
  </si>
  <si>
    <t>Tre 7 Mazuren 4</t>
  </si>
  <si>
    <t>lguf78@yahoo.com</t>
  </si>
  <si>
    <t>Ana Maria Holguín Leyva</t>
  </si>
  <si>
    <t>Cra 7 b bis a # 151-37</t>
  </si>
  <si>
    <t>Anacahoca@gmail.com</t>
  </si>
  <si>
    <t>Maria Jose Idrobo</t>
  </si>
  <si>
    <t>Cll  82 # 9-71</t>
  </si>
  <si>
    <t>mariajoseidrobo@gmail.com</t>
  </si>
  <si>
    <t xml:space="preserve">Suhaida Santander </t>
  </si>
  <si>
    <t>CRA  11A # 117 - 24</t>
  </si>
  <si>
    <t xml:space="preserve">Edificio Atlantis II </t>
  </si>
  <si>
    <t>Suha_4224@hotmail.com</t>
  </si>
  <si>
    <t>Yolanda Riaño De Gordillo</t>
  </si>
  <si>
    <t>CRA 55-D No 170-35</t>
  </si>
  <si>
    <t>CASA 35</t>
  </si>
  <si>
    <t>Casa Familia Gordillo No. 35</t>
  </si>
  <si>
    <t xml:space="preserve">Yolandasantamatilde@outlook.com </t>
  </si>
  <si>
    <t>Ana María Supelano</t>
  </si>
  <si>
    <t>Calle 127# 13-08</t>
  </si>
  <si>
    <t>Anamsupe@gmail.com</t>
  </si>
  <si>
    <t xml:space="preserve">Luz Marina Pinzon </t>
  </si>
  <si>
    <t>Cra 37 # 22 - 38</t>
  </si>
  <si>
    <t>Edilma Alemán</t>
  </si>
  <si>
    <t>Cll  92-7a-40</t>
  </si>
  <si>
    <t>Chico Embajada de Panama</t>
  </si>
  <si>
    <t>Edilmaaleman@gmail.com</t>
  </si>
  <si>
    <t>Inés Vargas de Alarcón</t>
  </si>
  <si>
    <t>Cra 11 #119-87</t>
  </si>
  <si>
    <t xml:space="preserve">Edificio Caracolí </t>
  </si>
  <si>
    <t>1983monito@gmail.com</t>
  </si>
  <si>
    <t>María Alejandra Palacio</t>
  </si>
  <si>
    <t>Cll 127 A Bis # 15-31</t>
  </si>
  <si>
    <t>marialepalacio@gmail.com</t>
  </si>
  <si>
    <t>Ave Cll 32 # 06 a 15</t>
  </si>
  <si>
    <t>Edificio equilibrium</t>
  </si>
  <si>
    <t>Josealejandro.cad@gmail.com</t>
  </si>
  <si>
    <t>Claudette Neubauer</t>
  </si>
  <si>
    <t>Cra 6ª No. 3-95</t>
  </si>
  <si>
    <t>Blo 6 La Calera</t>
  </si>
  <si>
    <t>ccatalinabermudez@gmail.com</t>
  </si>
  <si>
    <t>Cll 32#13-52</t>
  </si>
  <si>
    <t xml:space="preserve">Lulaposada@gmail.com </t>
  </si>
  <si>
    <t>Cra 4 # 76-58</t>
  </si>
  <si>
    <t>Eulogia Rodgers M.</t>
  </si>
  <si>
    <t>CRA  112 bis # 81-51</t>
  </si>
  <si>
    <t>Conj.Res. Haycatá Bloq 2</t>
  </si>
  <si>
    <t>Cll 113 No 11a-26</t>
  </si>
  <si>
    <t xml:space="preserve">dmarcela536@gmail.com </t>
  </si>
  <si>
    <t>Carolina Calderón Bahamon</t>
  </si>
  <si>
    <t>Cra 7b bis 123 55</t>
  </si>
  <si>
    <t>Carolinacalderonbahamon@gmail.com</t>
  </si>
  <si>
    <t>Martha Correa</t>
  </si>
  <si>
    <t>Cll 106A#18B-27</t>
  </si>
  <si>
    <t>marthalucorrea@yahoo.es</t>
  </si>
  <si>
    <t>Cll 63# 45-33</t>
  </si>
  <si>
    <t>900233573-3</t>
  </si>
  <si>
    <t>luzangelicaforero@hotmail.com</t>
  </si>
  <si>
    <t>Cr 68f 25-05 sur</t>
  </si>
  <si>
    <t xml:space="preserve">chicagostylegourmet@gmail.com </t>
  </si>
  <si>
    <t>Ximena Mazorra Blanco</t>
  </si>
  <si>
    <t xml:space="preserve">Cra 4#26D-05 </t>
  </si>
  <si>
    <t>xmazorra@hotmail.com</t>
  </si>
  <si>
    <t>Johana Meza</t>
  </si>
  <si>
    <t xml:space="preserve">Cll 65a 77a 45 </t>
  </si>
  <si>
    <t>gerentcomercial@outlook.com</t>
  </si>
  <si>
    <t>Cesar Hernan Leano Diaz</t>
  </si>
  <si>
    <t>CRA 17 # 50 - 43</t>
  </si>
  <si>
    <t>cesarleaodiaz@gmail.com</t>
  </si>
  <si>
    <t xml:space="preserve">Cll  57#8-24 </t>
  </si>
  <si>
    <t>Mileam193@gmail.com</t>
  </si>
  <si>
    <t>Adriana Gutiérrez</t>
  </si>
  <si>
    <t>CRA 23 # 100-62</t>
  </si>
  <si>
    <t>adr-guti@hotmail.com</t>
  </si>
  <si>
    <t>Cll 182 45 24</t>
  </si>
  <si>
    <t xml:space="preserve">Daduaos@gmail.com </t>
  </si>
  <si>
    <t>Catalina Castillo</t>
  </si>
  <si>
    <t>CRA 68B # 24A-64</t>
  </si>
  <si>
    <t>catalinaburg@gmail.com</t>
  </si>
  <si>
    <t>Cra 13bis # 110 - 09</t>
  </si>
  <si>
    <t>cuentapersonaldepaola@gmail.com</t>
  </si>
  <si>
    <t>Daniel García</t>
  </si>
  <si>
    <t xml:space="preserve">Cra 51 #122-62 </t>
  </si>
  <si>
    <t>Enrique.931@outlook.com</t>
  </si>
  <si>
    <t xml:space="preserve">Lina Cadena </t>
  </si>
  <si>
    <t>Cll 101 # 16 - 51</t>
  </si>
  <si>
    <t>Ana coral</t>
  </si>
  <si>
    <t>Cll 57#8-24</t>
  </si>
  <si>
    <t>Cll 63f no 28a-39</t>
  </si>
  <si>
    <t>jaimefrancog@gmail.com</t>
  </si>
  <si>
    <t>Cra 7# 6-48</t>
  </si>
  <si>
    <t xml:space="preserve">TRe 9 Tenjo-cundinamarca 
</t>
  </si>
  <si>
    <t xml:space="preserve">Tenjo-cundinamarca </t>
  </si>
  <si>
    <t>Dsanchezquitian@gmail.com</t>
  </si>
  <si>
    <t>Catalina Sánchez</t>
  </si>
  <si>
    <t>Diagonal 91 # 4-69</t>
  </si>
  <si>
    <t>Cra 11b no 98 - 48</t>
  </si>
  <si>
    <t>santivillamil@gmail.com</t>
  </si>
  <si>
    <t>Alberto José Echeverri</t>
  </si>
  <si>
    <t>Av Calle 85 #7A-45</t>
  </si>
  <si>
    <t>alberto.echeverri@gmail.com</t>
  </si>
  <si>
    <t>Juliana Palacino</t>
  </si>
  <si>
    <t>Cll 145a # 17 - 69</t>
  </si>
  <si>
    <t>julipala@hotmail.com</t>
  </si>
  <si>
    <t xml:space="preserve">Silvia Carrasquilla </t>
  </si>
  <si>
    <t>Cra 19 A 104-48</t>
  </si>
  <si>
    <t>scarrasquilla@gmail.com</t>
  </si>
  <si>
    <t xml:space="preserve">Manuela Quijano </t>
  </si>
  <si>
    <t>TV 60 # 114a-50</t>
  </si>
  <si>
    <t>Torr sur</t>
  </si>
  <si>
    <t>Maniqr15@hotmail.com</t>
  </si>
  <si>
    <t>Claudia  Troncoso</t>
  </si>
  <si>
    <t>Avenida Chilacos 1-35 (calle 21 # 1-35</t>
  </si>
  <si>
    <t>clau_tron@yahoo.com</t>
  </si>
  <si>
    <t xml:space="preserve">Natalia Jimenez </t>
  </si>
  <si>
    <t>CLL  128a#18-06</t>
  </si>
  <si>
    <t>qiinmotionvet@gmail.com</t>
  </si>
  <si>
    <t>Diego Arango</t>
  </si>
  <si>
    <t>Cra 10 #84c-35</t>
  </si>
  <si>
    <t xml:space="preserve">NO ENVIAR INFORMACION </t>
  </si>
  <si>
    <t>diegoarangov@gmail.com</t>
  </si>
  <si>
    <t xml:space="preserve">Cra 58#119A-98
</t>
  </si>
  <si>
    <t>TRE 7 Edificio Provenza Campestre fase 2</t>
  </si>
  <si>
    <t>Lagos de Córdoba</t>
  </si>
  <si>
    <t>ivettezamorag@gmail.com</t>
  </si>
  <si>
    <t>Cll 124 #19-46</t>
  </si>
  <si>
    <t>yina.paola2385@gmail.com</t>
  </si>
  <si>
    <t>María Camila Villamizar</t>
  </si>
  <si>
    <t>CLL 127C # 6a-40</t>
  </si>
  <si>
    <t xml:space="preserve">Maca.Villamizar13@gmail.com </t>
  </si>
  <si>
    <t>Paula Amaya</t>
  </si>
  <si>
    <t>CLL  128 #7d-60</t>
  </si>
  <si>
    <t>Edif Camino de Bella Suiza</t>
  </si>
  <si>
    <r>
      <rPr>
        <u/>
        <sz val="10"/>
        <color theme="1"/>
        <rFont val="Calibri"/>
        <family val="2"/>
      </rPr>
      <t>amayapaula46@gmail.com</t>
    </r>
  </si>
  <si>
    <t>Diana Bohorquez</t>
  </si>
  <si>
    <t>Cra 13 # 122 -34</t>
  </si>
  <si>
    <t>Intr 4</t>
  </si>
  <si>
    <t>dianacb23@gmail.com</t>
  </si>
  <si>
    <t>Santiago Adarve</t>
  </si>
  <si>
    <t>CLL  104A No 11B 45</t>
  </si>
  <si>
    <t>sadarve@gmail.com</t>
  </si>
  <si>
    <t>Julio Hernandez</t>
  </si>
  <si>
    <t>Cll 152 58-50</t>
  </si>
  <si>
    <t>trre 4</t>
  </si>
  <si>
    <t>jch@mcucolombia.com</t>
  </si>
  <si>
    <t>Calle 140A 15 26</t>
  </si>
  <si>
    <t>dimagogo4@hotmail.com</t>
  </si>
  <si>
    <t>Stephania Castro Alarcon</t>
  </si>
  <si>
    <t>Cra 8 # 65- 29</t>
  </si>
  <si>
    <t>CLL  79#7a -61</t>
  </si>
  <si>
    <t>danielaortizr98@hotmail.com</t>
  </si>
  <si>
    <t>Lía Álvarez</t>
  </si>
  <si>
    <t>CLL 97 No 71 C 20</t>
  </si>
  <si>
    <t xml:space="preserve">Edificio Irlanda </t>
  </si>
  <si>
    <t>Barrio Pontevedra</t>
  </si>
  <si>
    <t>limalvarez@yahoo.com</t>
  </si>
  <si>
    <t xml:space="preserve">Cra 1 # 67 21 </t>
  </si>
  <si>
    <t>Edificio nueva granada</t>
  </si>
  <si>
    <t>piacadena@hotmail.com</t>
  </si>
  <si>
    <t>Sandra Delgado</t>
  </si>
  <si>
    <t>Cra 58 138-63</t>
  </si>
  <si>
    <t>Tr 1</t>
  </si>
  <si>
    <t xml:space="preserve">sandramilenadelgadoa@gmail.com
</t>
  </si>
  <si>
    <t>Juan Bonnet</t>
  </si>
  <si>
    <t>Diagonal 75 # 2-16</t>
  </si>
  <si>
    <t>juanbonnet@msn.com</t>
  </si>
  <si>
    <t>Sonia Rojas</t>
  </si>
  <si>
    <t>Cll 92 # 7A 56</t>
  </si>
  <si>
    <t>Ed El parque</t>
  </si>
  <si>
    <t>Soniarojasss@gmail.com</t>
  </si>
  <si>
    <t>Luisa Báez Toro</t>
  </si>
  <si>
    <t>CLL 2 sur #2-100</t>
  </si>
  <si>
    <t>TR 1 Conjunto el Molino CAJICA</t>
  </si>
  <si>
    <t>CAJICA</t>
  </si>
  <si>
    <t>luisabaez1997@gmail.com</t>
  </si>
  <si>
    <t xml:space="preserve">CLL 86#18-24 
</t>
  </si>
  <si>
    <t xml:space="preserve">cleivaaguilar86@gmail.com
</t>
  </si>
  <si>
    <t>Cristina Davila</t>
  </si>
  <si>
    <t>Cra 6 #123a 74</t>
  </si>
  <si>
    <t>TR, 6</t>
  </si>
  <si>
    <t>cristinadavila@hotmail.com</t>
  </si>
  <si>
    <t xml:space="preserve">Camino Arriba Sas ( Isabel)
</t>
  </si>
  <si>
    <t xml:space="preserve">Calle 85 N 9-70
</t>
  </si>
  <si>
    <t xml:space="preserve">CLIENTE QUE NO QUIERE VOLVE A PROBAR </t>
  </si>
  <si>
    <t xml:space="preserve">901262387-7
</t>
  </si>
  <si>
    <t xml:space="preserve">icastipi@hotmail.com
</t>
  </si>
  <si>
    <t xml:space="preserve">Ofelia Alvarez gallardo
</t>
  </si>
  <si>
    <t xml:space="preserve">Cll 167a #55a 60
</t>
  </si>
  <si>
    <t>Edificio park 170</t>
  </si>
  <si>
    <t xml:space="preserve">ofeliaalvarezg@gmail.com
</t>
  </si>
  <si>
    <t>Vicky Piedrahita</t>
  </si>
  <si>
    <t>Cra 5 # 63 - 27</t>
  </si>
  <si>
    <t>Vickypilates2000@gmail.com</t>
  </si>
  <si>
    <t>Catalina Salcedo</t>
  </si>
  <si>
    <t>CLL 104 # 17-37</t>
  </si>
  <si>
    <t xml:space="preserve">CLIENTE FURA DEL PAIS </t>
  </si>
  <si>
    <t>catalina.salcedo.82@ergeon.com</t>
  </si>
  <si>
    <t xml:space="preserve">Maria Helena Briceño Delgado
</t>
  </si>
  <si>
    <t xml:space="preserve">Cll  152#56-75
</t>
  </si>
  <si>
    <t>Itr 1 Conjunto Mazuren 23</t>
  </si>
  <si>
    <t xml:space="preserve">dcmariabriceno@yahoo.com
</t>
  </si>
  <si>
    <t xml:space="preserve">Melania Venegas </t>
  </si>
  <si>
    <t>CRA 20 # 127a -05</t>
  </si>
  <si>
    <t>melaniavenegas71@gmail.com</t>
  </si>
  <si>
    <t xml:space="preserve">Edith Vanessa Garcia </t>
  </si>
  <si>
    <t>Cra 100 # 138a - 06</t>
  </si>
  <si>
    <t>Itr 2 Conjunto Ventura</t>
  </si>
  <si>
    <t>evagarciab23@hotmail.com</t>
  </si>
  <si>
    <t xml:space="preserve">Sandra Diaz Brand ( Britta Sophia Brand)
</t>
  </si>
  <si>
    <t xml:space="preserve">Cra 64 # 103C -16
</t>
  </si>
  <si>
    <t xml:space="preserve">SUITE FAMILIAR
</t>
  </si>
  <si>
    <t xml:space="preserve">sanday84@gmail.com
</t>
  </si>
  <si>
    <t xml:space="preserve">Lizdey Romero Morales
</t>
  </si>
  <si>
    <t xml:space="preserve">CLL  98 # 68-63
</t>
  </si>
  <si>
    <t>TRE 4</t>
  </si>
  <si>
    <t xml:space="preserve">lizdeyromero05@gmail.com
</t>
  </si>
  <si>
    <t>Cra 20 # 22- 31</t>
  </si>
  <si>
    <t>sur</t>
  </si>
  <si>
    <t>Mestiza Market</t>
  </si>
  <si>
    <t xml:space="preserve">Kelsey Lyle </t>
  </si>
  <si>
    <t>CLL 94a #9-43</t>
  </si>
  <si>
    <t xml:space="preserve">kelseylyle@gmail.com </t>
  </si>
  <si>
    <t xml:space="preserve">Francisco Gonzalez
</t>
  </si>
  <si>
    <t xml:space="preserve">Cll 145 # 7 F - 57 
</t>
  </si>
  <si>
    <t xml:space="preserve">fgonzale99@gmail.com
</t>
  </si>
  <si>
    <t>Nubia Rodelo</t>
  </si>
  <si>
    <t xml:space="preserve">Cra 48 # 150A - 24
</t>
  </si>
  <si>
    <t>EDIFICIO OIKOS 146A VICTORIA NORTE</t>
  </si>
  <si>
    <t>nubiarodelo@hotmail.com</t>
  </si>
  <si>
    <t>Julian Jimenez</t>
  </si>
  <si>
    <t xml:space="preserve">Cra 6a # 149 - 58 </t>
  </si>
  <si>
    <t>Terrazas del Bosque Inte 5</t>
  </si>
  <si>
    <t>judajiro86@hotmail.com</t>
  </si>
  <si>
    <t>Cra24 # 87 - 15</t>
  </si>
  <si>
    <t>Itr 2</t>
  </si>
  <si>
    <t>Cristian.florezn@gmail.com</t>
  </si>
  <si>
    <t>María Claudia Durán</t>
  </si>
  <si>
    <t xml:space="preserve">Cll  91#8-29 </t>
  </si>
  <si>
    <t>mariaclo52116@gmail.com</t>
  </si>
  <si>
    <t>Maria Camila Arango</t>
  </si>
  <si>
    <t>transversal 5c # 127-70</t>
  </si>
  <si>
    <t>arango2@un.org</t>
  </si>
  <si>
    <t>Cra 23 #103A-31</t>
  </si>
  <si>
    <t>cata.canizales@gmail.com</t>
  </si>
  <si>
    <t xml:space="preserve">Andrés Mauricio Moreno </t>
  </si>
  <si>
    <t>Cll 55 # 36 - 15</t>
  </si>
  <si>
    <t>Edificio castillo de Federman</t>
  </si>
  <si>
    <t xml:space="preserve">Barrio Nicolás de federman </t>
  </si>
  <si>
    <t>Andresbdc562@hotmail.com</t>
  </si>
  <si>
    <t xml:space="preserve">Santiago Garcia </t>
  </si>
  <si>
    <t>Cra 12A # 134-10</t>
  </si>
  <si>
    <t>Casa E8</t>
  </si>
  <si>
    <t>Santiagogarcia17@hotmail.com</t>
  </si>
  <si>
    <t>CRA 11B # 135 A-08</t>
  </si>
  <si>
    <t>INT 2 Edificio Alameda antigua</t>
  </si>
  <si>
    <t>lara.alvaro@gmail.com</t>
  </si>
  <si>
    <t>Gissel Diaz Perez</t>
  </si>
  <si>
    <t>Cll  62 #5-24</t>
  </si>
  <si>
    <t>Edf la salle</t>
  </si>
  <si>
    <t>gissel_182@hotmail.com</t>
  </si>
  <si>
    <t xml:space="preserve">Roberto Guzman </t>
  </si>
  <si>
    <t>Cll 101A # 11B-11</t>
  </si>
  <si>
    <t>edificio Peñaverde</t>
  </si>
  <si>
    <t>robguz1961@icloud.com</t>
  </si>
  <si>
    <t>CRA 7 B # 135 - 77</t>
  </si>
  <si>
    <t>morhernandez@yahoo.com</t>
  </si>
  <si>
    <t>Emilio Lemus ( Cristina Cardozo )</t>
  </si>
  <si>
    <t>CLL 93b # 9-72</t>
  </si>
  <si>
    <t xml:space="preserve">cristinacardozodelcastillo@gmail.com
</t>
  </si>
  <si>
    <t>Transversal 55a #137-87</t>
  </si>
  <si>
    <t>Mariaandreacermeno23@outlook.com</t>
  </si>
  <si>
    <t>Cll 79 # 7a - 61</t>
  </si>
  <si>
    <t>Edfi Viracopos</t>
  </si>
  <si>
    <t>Sofía Vega</t>
  </si>
  <si>
    <t>CLL 106 # 23-07</t>
  </si>
  <si>
    <t>Edificio Torres de Idala</t>
  </si>
  <si>
    <t>sofia_vega_10@hotmail.com</t>
  </si>
  <si>
    <t xml:space="preserve">Diego Gonzalez
</t>
  </si>
  <si>
    <t xml:space="preserve">Calle 52B Bis # 85A - 81
</t>
  </si>
  <si>
    <t>Casa piso 3</t>
  </si>
  <si>
    <t xml:space="preserve">dfgonzalezla@gmail.com
</t>
  </si>
  <si>
    <t xml:space="preserve">Carla Casares
</t>
  </si>
  <si>
    <t xml:space="preserve">CRA  6#86- 30
</t>
  </si>
  <si>
    <t xml:space="preserve">casarescarla@gmail.com
</t>
  </si>
  <si>
    <t xml:space="preserve">Vanessa Antonio Ortega 
</t>
  </si>
  <si>
    <t xml:space="preserve">CLL 167 D # 8-53 </t>
  </si>
  <si>
    <t>TRE 3 Conjunto Ikona</t>
  </si>
  <si>
    <t>vannegb6@hotmail.com</t>
  </si>
  <si>
    <t>Gina  Díaz Brand</t>
  </si>
  <si>
    <t>CRA 97 # 75- 73</t>
  </si>
  <si>
    <t xml:space="preserve">giabrand@gmail.com </t>
  </si>
  <si>
    <t xml:space="preserve">Andres Felipe Aponte
</t>
  </si>
  <si>
    <t xml:space="preserve">Cll 17C No 135 - 51
</t>
  </si>
  <si>
    <t>Tre 3</t>
  </si>
  <si>
    <t xml:space="preserve">felipe.aponte9ads@gmail.com
</t>
  </si>
  <si>
    <t>Maria Cecilia Gutierrez</t>
  </si>
  <si>
    <t xml:space="preserve">CLL  112 # 2-57
</t>
  </si>
  <si>
    <t>Macegut@gmail.com</t>
  </si>
  <si>
    <t xml:space="preserve">Santiago López </t>
  </si>
  <si>
    <t>Cll 81 # 8-51</t>
  </si>
  <si>
    <t>Slopez@ridepro.co</t>
  </si>
  <si>
    <t xml:space="preserve">Barbara Welton </t>
  </si>
  <si>
    <t>Transversal 1A #69-55</t>
  </si>
  <si>
    <t xml:space="preserve">elizabethwelton@hotmail.com 
</t>
  </si>
  <si>
    <t>Natalia Gaviria Varón</t>
  </si>
  <si>
    <t xml:space="preserve">CLL 93#5-25 </t>
  </si>
  <si>
    <t>C901</t>
  </si>
  <si>
    <t>Edificio 593</t>
  </si>
  <si>
    <t xml:space="preserve">Nataliagaviriav@gmail.com 
</t>
  </si>
  <si>
    <t xml:space="preserve">Cll 72A # 65B - 28 
</t>
  </si>
  <si>
    <t>Barrio San Fernando</t>
  </si>
  <si>
    <t xml:space="preserve">Lizromerola@gmail.com
</t>
  </si>
  <si>
    <t>Carolina Pastrán U</t>
  </si>
  <si>
    <t>CLL 103 a # 21-78</t>
  </si>
  <si>
    <t>sandrapastran@gmail.com</t>
  </si>
  <si>
    <t xml:space="preserve">Adriana Zabaleta
</t>
  </si>
  <si>
    <t xml:space="preserve">CLL 117c 71f 45 </t>
  </si>
  <si>
    <t xml:space="preserve">Edificio arenitas II
</t>
  </si>
  <si>
    <t xml:space="preserve">zadrianacarolina@gmail.com
</t>
  </si>
  <si>
    <t xml:space="preserve">Carolina Acevedo
</t>
  </si>
  <si>
    <t xml:space="preserve">CLL 96#69b-75
</t>
  </si>
  <si>
    <t xml:space="preserve">Torre A Edificio Mazzini
</t>
  </si>
  <si>
    <t xml:space="preserve">carolina.ace@gmail.com
</t>
  </si>
  <si>
    <t xml:space="preserve">CLL 65 # 69 C 12
</t>
  </si>
  <si>
    <t>PISO 3</t>
  </si>
  <si>
    <t xml:space="preserve">ingrid.rodriguezr@gmail.com
</t>
  </si>
  <si>
    <t xml:space="preserve">Alejandro Montoya
</t>
  </si>
  <si>
    <t xml:space="preserve">Av. Calle 26 # 44A-49
</t>
  </si>
  <si>
    <t xml:space="preserve">alejo.montoya@outlook.com
</t>
  </si>
  <si>
    <t xml:space="preserve">Natalia Lafaurie Bayter
</t>
  </si>
  <si>
    <t xml:space="preserve">Cll 64 #1-15
</t>
  </si>
  <si>
    <t>TRE 2 Kandinsky</t>
  </si>
  <si>
    <t xml:space="preserve">nvl1505@hotmail.com
</t>
  </si>
  <si>
    <t xml:space="preserve">Catalina Gutiérrez R
</t>
  </si>
  <si>
    <t xml:space="preserve">Cll 147 # 12-52
</t>
  </si>
  <si>
    <t xml:space="preserve">Tre2 </t>
  </si>
  <si>
    <t xml:space="preserve">catalinagura@gmail.com
</t>
  </si>
  <si>
    <t xml:space="preserve">Mariana Torres
</t>
  </si>
  <si>
    <t xml:space="preserve">Cll 96 #21-70
</t>
  </si>
  <si>
    <t xml:space="preserve">marianatorres315@gmail.com
</t>
  </si>
  <si>
    <t xml:space="preserve">Natalia Antequera
</t>
  </si>
  <si>
    <t xml:space="preserve">CLL  81#7-55
</t>
  </si>
  <si>
    <t xml:space="preserve">nantequerao@gmail.com
</t>
  </si>
  <si>
    <t xml:space="preserve">Cra 7# 144 02
</t>
  </si>
  <si>
    <t xml:space="preserve">jgcendales@gmail.com
</t>
  </si>
  <si>
    <t xml:space="preserve">Laura Herrera
</t>
  </si>
  <si>
    <t xml:space="preserve">Carrera 1 este # 76a 13
</t>
  </si>
  <si>
    <t>Edificio Parque 76</t>
  </si>
  <si>
    <t xml:space="preserve">laurajulianaherrera@gmail.com
</t>
  </si>
  <si>
    <t xml:space="preserve">Laura Garcia </t>
  </si>
  <si>
    <t xml:space="preserve">CR 27 A # 40 A 33
</t>
  </si>
  <si>
    <t>EDIF. ADOLFO SALAMANCA - BARRIO LA SOLEDAD</t>
  </si>
  <si>
    <t xml:space="preserve">lanordys13@hotmail.com
</t>
  </si>
  <si>
    <t xml:space="preserve">Carrera 48 #22 96
</t>
  </si>
  <si>
    <t>casa28</t>
  </si>
  <si>
    <t>Senderos del salotre 1</t>
  </si>
  <si>
    <t xml:space="preserve">lorenarodriguez6313@gmail.com
</t>
  </si>
  <si>
    <t xml:space="preserve">Andrés Camilo Erazo
</t>
  </si>
  <si>
    <t xml:space="preserve">calle 213 # 114-10
</t>
  </si>
  <si>
    <t>Casa27</t>
  </si>
  <si>
    <t>Manzana 6</t>
  </si>
  <si>
    <t xml:space="preserve">acerazo@outlook.com
</t>
  </si>
  <si>
    <t xml:space="preserve">Santiago Córdoba
</t>
  </si>
  <si>
    <t>calle 106 # 23 - 21</t>
  </si>
  <si>
    <t xml:space="preserve">Edificio Ibiza
</t>
  </si>
  <si>
    <t xml:space="preserve">scordobaz95@gmail.com
</t>
  </si>
  <si>
    <t xml:space="preserve">Daniela Castellar
</t>
  </si>
  <si>
    <t xml:space="preserve">Diagonal 146 # 118-41
</t>
  </si>
  <si>
    <t>Int 6</t>
  </si>
  <si>
    <t xml:space="preserve">daniela.castellarg@gmail.com
</t>
  </si>
  <si>
    <t xml:space="preserve">Juan Landinez
</t>
  </si>
  <si>
    <t xml:space="preserve">CRA 15 #145a-31
</t>
  </si>
  <si>
    <t xml:space="preserve">juanpland@gmail.com
</t>
  </si>
  <si>
    <t xml:space="preserve">Jazmin Castaño
</t>
  </si>
  <si>
    <t xml:space="preserve">CRA 14 # 58 - 26
</t>
  </si>
  <si>
    <t xml:space="preserve">Edificio VitraArt </t>
  </si>
  <si>
    <t xml:space="preserve">jazmin.castano@gmail.com
</t>
  </si>
  <si>
    <t xml:space="preserve">Mateo Nates
</t>
  </si>
  <si>
    <t xml:space="preserve">CRA 56a #137b-60
</t>
  </si>
  <si>
    <t xml:space="preserve">mate.nates@gmail.com
</t>
  </si>
  <si>
    <t>Mauricio Torres</t>
  </si>
  <si>
    <t>Diagonal 115a # 70d - 95</t>
  </si>
  <si>
    <t>D01</t>
  </si>
  <si>
    <t>Tre5</t>
  </si>
  <si>
    <t xml:space="preserve">mtorresn@hotmail.com
</t>
  </si>
  <si>
    <t xml:space="preserve">Daniela Cervantes </t>
  </si>
  <si>
    <t>calle 72 # 1 -28e</t>
  </si>
  <si>
    <t>Edificio calle 71</t>
  </si>
  <si>
    <t xml:space="preserve">daniela.cervantes.ramirez@gmail.com </t>
  </si>
  <si>
    <t>Cll  168 #8g-61,</t>
  </si>
  <si>
    <t>Conjunto Vivaldi</t>
  </si>
  <si>
    <t>Yvonne.masb@gmail.com</t>
  </si>
  <si>
    <t>Juliana Bustos</t>
  </si>
  <si>
    <t>Diagonal 76 #1a 39</t>
  </si>
  <si>
    <t>bustosjuliana1502@gmail.com</t>
  </si>
  <si>
    <t xml:space="preserve">Nancy Viviana Velásquez Zamora </t>
  </si>
  <si>
    <t>Cll  7 # 22-49</t>
  </si>
  <si>
    <t>Conjunto San Simon Barrio Algarra 3</t>
  </si>
  <si>
    <t xml:space="preserve">Zipaquira Cundinamarca </t>
  </si>
  <si>
    <t xml:space="preserve">nancyviviana85@gmail.com </t>
  </si>
  <si>
    <t xml:space="preserve">Eduard Peña
</t>
  </si>
  <si>
    <t xml:space="preserve">Cll  57 #3 - 42
</t>
  </si>
  <si>
    <t>Edificio Lares 57</t>
  </si>
  <si>
    <t xml:space="preserve">EDUARDFPENA@GMAIL.COM
</t>
  </si>
  <si>
    <t>Sebastian Aristizabal</t>
  </si>
  <si>
    <t xml:space="preserve">CRA 18 no 120 - 40
</t>
  </si>
  <si>
    <t>Edificio Deco 120</t>
  </si>
  <si>
    <t xml:space="preserve">sebastian.aristizabal.9@hotmail.com
</t>
  </si>
  <si>
    <t>Angie Diaz Maldonado</t>
  </si>
  <si>
    <t xml:space="preserve">CRA 58# 119A-98
</t>
  </si>
  <si>
    <t>Blo 9</t>
  </si>
  <si>
    <t xml:space="preserve">angiedimal@gmail.com
</t>
  </si>
  <si>
    <t>Carrera 13 # 127-21</t>
  </si>
  <si>
    <t>catalinaduquemarino@gmail.com</t>
  </si>
  <si>
    <t>Felipe Gutierrez</t>
  </si>
  <si>
    <t xml:space="preserve">CLL 110A # 4-48 </t>
  </si>
  <si>
    <t>casa 2</t>
  </si>
  <si>
    <t xml:space="preserve">felipegutierrezf@gmail.com
</t>
  </si>
  <si>
    <t>Veronica Uribe</t>
  </si>
  <si>
    <t>CLL 104a # 21-76</t>
  </si>
  <si>
    <t xml:space="preserve">vero.uribe@hotmail.com
</t>
  </si>
  <si>
    <t xml:space="preserve">CRA 3D # 59 - 36
</t>
  </si>
  <si>
    <t xml:space="preserve">Edificio estudio 3A </t>
  </si>
  <si>
    <t xml:space="preserve">lusianar123@hotmail.com
</t>
  </si>
  <si>
    <t xml:space="preserve">Carrera 18# 86A-47
</t>
  </si>
  <si>
    <t xml:space="preserve">Edificio Metro 86
</t>
  </si>
  <si>
    <t xml:space="preserve">monicaccarmonav@gmail.com
</t>
  </si>
  <si>
    <t xml:space="preserve">Calle 131#78A61
</t>
  </si>
  <si>
    <t xml:space="preserve">Tre 8 Conjunto bosque verde
</t>
  </si>
  <si>
    <t xml:space="preserve">carolinevgct@hotmail.com
</t>
  </si>
  <si>
    <t xml:space="preserve">Michael Rivera
</t>
  </si>
  <si>
    <t xml:space="preserve">Calle 25B #71-80
</t>
  </si>
  <si>
    <t>Int 4</t>
  </si>
  <si>
    <t xml:space="preserve">dianarlpc2@gmail.com
</t>
  </si>
  <si>
    <t xml:space="preserve">Calle 67D 62-83
</t>
  </si>
  <si>
    <t xml:space="preserve">jennifermanceragonzalez@gmail.com
</t>
  </si>
  <si>
    <t xml:space="preserve">Cra 13a #89-31
</t>
  </si>
  <si>
    <t xml:space="preserve">Torre 2
</t>
  </si>
  <si>
    <t xml:space="preserve">da.cabarcas@gmail.com
</t>
  </si>
  <si>
    <t xml:space="preserve">Lessing Kerguelen jinete
</t>
  </si>
  <si>
    <t xml:space="preserve">Calle 144 # 23 26
</t>
  </si>
  <si>
    <t>Edificio Balcones 144</t>
  </si>
  <si>
    <t xml:space="preserve">lessing_kerguelen@hotmail.com
</t>
  </si>
  <si>
    <t xml:space="preserve">Avenida 9 #135c 45 </t>
  </si>
  <si>
    <t xml:space="preserve">mapizgalan@hotmail.com
</t>
  </si>
  <si>
    <t xml:space="preserve">Paola Ortegon </t>
  </si>
  <si>
    <t>Calle 19A # 82-65</t>
  </si>
  <si>
    <t>Torre 12</t>
  </si>
  <si>
    <t>Hayuelos</t>
  </si>
  <si>
    <t>portegoncarmona@gmail.com</t>
  </si>
  <si>
    <t>Javier Gil</t>
  </si>
  <si>
    <t xml:space="preserve">Calle 106 B # 54-88
</t>
  </si>
  <si>
    <t>PAOLA ORTEGON</t>
  </si>
  <si>
    <t xml:space="preserve">jhiuok@gmail.com
</t>
  </si>
  <si>
    <t xml:space="preserve">Daniel Ramirez
</t>
  </si>
  <si>
    <t xml:space="preserve">Cra 68 A # 24 B - 10
</t>
  </si>
  <si>
    <t>Torre 4 Ed Rodin (dentro de Plaza Claro)</t>
  </si>
  <si>
    <t xml:space="preserve">danielramirez222@hotmail.com
</t>
  </si>
  <si>
    <t xml:space="preserve">Maria Clara Janer
</t>
  </si>
  <si>
    <t xml:space="preserve">calle 94 N 17- 53
</t>
  </si>
  <si>
    <t xml:space="preserve">janerbulbena@yahoo.com
</t>
  </si>
  <si>
    <t>Av carrera 45 # 128 D - 20</t>
  </si>
  <si>
    <t xml:space="preserve">dianala80@gmail.com
</t>
  </si>
  <si>
    <t xml:space="preserve">Antonia Velasquez
</t>
  </si>
  <si>
    <t xml:space="preserve">Calle 79 #8-21
</t>
  </si>
  <si>
    <t xml:space="preserve">antovelasquez2001@gmail.com
</t>
  </si>
  <si>
    <t xml:space="preserve">Karen Galvis
</t>
  </si>
  <si>
    <t xml:space="preserve">Carrera 101b # 136a - 21
</t>
  </si>
  <si>
    <t xml:space="preserve">Puerta Negra
</t>
  </si>
  <si>
    <t xml:space="preserve">karitobaby@gmail.com
</t>
  </si>
  <si>
    <t xml:space="preserve">Carrera 13#113-52 </t>
  </si>
  <si>
    <t xml:space="preserve">julianatellor@gmail.com
</t>
  </si>
  <si>
    <t xml:space="preserve">Cra 2 No. 74-33
</t>
  </si>
  <si>
    <t xml:space="preserve">monicotero@hotmail.com
</t>
  </si>
  <si>
    <t>Pablo Yory</t>
  </si>
  <si>
    <t xml:space="preserve">CRA 1 ESTE # 74-51
</t>
  </si>
  <si>
    <t>EDIFICIO MONTEBELLO</t>
  </si>
  <si>
    <t xml:space="preserve">payory@gmail.com
</t>
  </si>
  <si>
    <t xml:space="preserve">Cr 16 #75-32
</t>
  </si>
  <si>
    <t xml:space="preserve">mnalvarezv@gmail.com
</t>
  </si>
  <si>
    <t xml:space="preserve">Clara Parra
</t>
  </si>
  <si>
    <t xml:space="preserve">CRA 16 n 14 a sur 39
</t>
  </si>
  <si>
    <t xml:space="preserve">claraparra743pr@gmail.com
</t>
  </si>
  <si>
    <t>Natalia Quintero</t>
  </si>
  <si>
    <t xml:space="preserve">Cll 25 B #70 B -50 
</t>
  </si>
  <si>
    <t xml:space="preserve">Gran reserva de Mallorca torre 5 </t>
  </si>
  <si>
    <t>nqs90@hotmail.com</t>
  </si>
  <si>
    <t xml:space="preserve">Cra72a #137A-35
</t>
  </si>
  <si>
    <t xml:space="preserve"> INT 1 </t>
  </si>
  <si>
    <t xml:space="preserve">fermineromerom@hotmail.es
</t>
  </si>
  <si>
    <t>Carrera 13A #127A-39</t>
  </si>
  <si>
    <t xml:space="preserve">marestre@yahoo
</t>
  </si>
  <si>
    <t xml:space="preserve">Ingrid Pinzon
</t>
  </si>
  <si>
    <t xml:space="preserve">Cra 68g #67 -23 </t>
  </si>
  <si>
    <t xml:space="preserve">incaro022@gmail.com
</t>
  </si>
  <si>
    <t>CLL  144 #19a- 55</t>
  </si>
  <si>
    <t xml:space="preserve">mariapquitian94@gmail.com
</t>
  </si>
  <si>
    <t xml:space="preserve">Simon Celis
</t>
  </si>
  <si>
    <t xml:space="preserve">CRA 21 #114-63
</t>
  </si>
  <si>
    <t xml:space="preserve">Torre b 
</t>
  </si>
  <si>
    <t xml:space="preserve">simoncelis2002@gmail.com
</t>
  </si>
  <si>
    <t xml:space="preserve">Cra 12 #125A-20
</t>
  </si>
  <si>
    <t xml:space="preserve">leyvajulio@gmail.com
</t>
  </si>
  <si>
    <t>CRA 4 #24-19</t>
  </si>
  <si>
    <t>Torres Blanca t-c</t>
  </si>
  <si>
    <t>Valeacostacamelo@gmail.com</t>
  </si>
  <si>
    <t xml:space="preserve">Cll  90 #16-30
</t>
  </si>
  <si>
    <t xml:space="preserve">RESIDENCE INN MARRIOTT
</t>
  </si>
  <si>
    <t xml:space="preserve">MAGUERRAB@OUTLOOK.COM
</t>
  </si>
  <si>
    <t xml:space="preserve">Camilo Montoya </t>
  </si>
  <si>
    <t>Cr 41a# 31-13 sur</t>
  </si>
  <si>
    <t>Barrio santa rita</t>
  </si>
  <si>
    <t>llamadas 3116325111</t>
  </si>
  <si>
    <t>Armanicamilo@gmail.com</t>
  </si>
  <si>
    <t>Edwin Vargas TU CAFE</t>
  </si>
  <si>
    <t>CRA 71a 51 85</t>
  </si>
  <si>
    <t>Normandía</t>
  </si>
  <si>
    <t>miguelqv@hotmail.com</t>
  </si>
  <si>
    <t xml:space="preserve">CRA 18C # 112 - 25
</t>
  </si>
  <si>
    <t xml:space="preserve">tatis_scar@hotmail.com
</t>
  </si>
  <si>
    <t>cra 1 #110 - 12</t>
  </si>
  <si>
    <t>juanpordonez@me.com</t>
  </si>
  <si>
    <t xml:space="preserve">Lisbeth Tatiana Monsalve Prada
</t>
  </si>
  <si>
    <t xml:space="preserve">Calle 145A #21-77
</t>
  </si>
  <si>
    <t xml:space="preserve">iNTERIOR 7 
</t>
  </si>
  <si>
    <t xml:space="preserve">lisbethtatianaprada@gmail.com
</t>
  </si>
  <si>
    <t>CRA 49C #91 -88</t>
  </si>
  <si>
    <t xml:space="preserve">Barrio la castellana </t>
  </si>
  <si>
    <t xml:space="preserve">andresmorenog11@gmail.com
</t>
  </si>
  <si>
    <t xml:space="preserve">CLL 97 # 19a - 54 </t>
  </si>
  <si>
    <t>Edificio Nodo 97</t>
  </si>
  <si>
    <t xml:space="preserve">linagallegomontes@yahoo.com
</t>
  </si>
  <si>
    <t xml:space="preserve">Diego carvajal Prada </t>
  </si>
  <si>
    <t>CRA 72c #22a 24-</t>
  </si>
  <si>
    <t xml:space="preserve">Torre 3  conjunto Los cerros </t>
  </si>
  <si>
    <t xml:space="preserve">Dfcp1992@hotmail.com
</t>
  </si>
  <si>
    <t>Diana Martínez Guarnizo</t>
  </si>
  <si>
    <t>CRA 2A # 66 - 52</t>
  </si>
  <si>
    <t>Torre E Unidad Residencial nieva Granda</t>
  </si>
  <si>
    <t xml:space="preserve">dianamartinezguarnizo@hotmail.com
</t>
  </si>
  <si>
    <t xml:space="preserve">Constanza Pedraza
</t>
  </si>
  <si>
    <t xml:space="preserve">CRA 7 bis #138-73
</t>
  </si>
  <si>
    <t>CASA 2</t>
  </si>
  <si>
    <t>santa monica oriental</t>
  </si>
  <si>
    <t xml:space="preserve">conniedecorarte@hotmail.com
</t>
  </si>
  <si>
    <t xml:space="preserve">Jose Zapata
</t>
  </si>
  <si>
    <t xml:space="preserve">Carrera 14 # 58 - 26
</t>
  </si>
  <si>
    <t>CARACAS</t>
  </si>
  <si>
    <t xml:space="preserve">jzapatamarquez@gmail.com
</t>
  </si>
  <si>
    <t xml:space="preserve">Sandra Vanesa Rincon Garcia
</t>
  </si>
  <si>
    <t xml:space="preserve">CRA 51 #104b-70
</t>
  </si>
  <si>
    <t xml:space="preserve">LLAMAR POR QUE NO HAY PORTERIA </t>
  </si>
  <si>
    <t xml:space="preserve">vanessarincon8@gmail.com
</t>
  </si>
  <si>
    <t xml:space="preserve">Hernan Mauricio Sanabria Trujillo
</t>
  </si>
  <si>
    <t xml:space="preserve">Cra 7B # 127B-71
</t>
  </si>
  <si>
    <t xml:space="preserve">hsanabria_t@hotmail.com
</t>
  </si>
  <si>
    <t>Diagonal 49a bis a sur 13j 91</t>
  </si>
  <si>
    <t xml:space="preserve">Apto 306 </t>
  </si>
  <si>
    <t xml:space="preserve">Tre 1 
Apto 306 </t>
  </si>
  <si>
    <t xml:space="preserve">Jmancera.villa@gmail.com </t>
  </si>
  <si>
    <t xml:space="preserve">Angela María Sánchez López
</t>
  </si>
  <si>
    <t xml:space="preserve">CLL 165b #14a-07
</t>
  </si>
  <si>
    <t xml:space="preserve">angelamariasanchez066@gmail.com
</t>
  </si>
  <si>
    <t>/</t>
  </si>
  <si>
    <t xml:space="preserve">Camila Papagayo
</t>
  </si>
  <si>
    <t xml:space="preserve">Cra 20 # 137-48
</t>
  </si>
  <si>
    <t xml:space="preserve">camipapagayo@gmail.com
</t>
  </si>
  <si>
    <t xml:space="preserve">Felipe Ordoñez
</t>
  </si>
  <si>
    <t xml:space="preserve">CRA 2B # 66-09
</t>
  </si>
  <si>
    <t xml:space="preserve">Altos de Granada
</t>
  </si>
  <si>
    <t xml:space="preserve">felipeord18@gmail.com
</t>
  </si>
  <si>
    <t xml:space="preserve">Valentina Forero
</t>
  </si>
  <si>
    <t xml:space="preserve">Av calle 32 # 13-52
</t>
  </si>
  <si>
    <t>TRE 1 Torres de Altavista</t>
  </si>
  <si>
    <t xml:space="preserve">valentinafohi@hotmail.com
</t>
  </si>
  <si>
    <t xml:space="preserve">Diego Horta </t>
  </si>
  <si>
    <t>Cra 16 #88 67</t>
  </si>
  <si>
    <t>Edificio paseo virrey</t>
  </si>
  <si>
    <t>Diegohorta123456@gmail.com</t>
  </si>
  <si>
    <t>Brenda Zapata</t>
  </si>
  <si>
    <t>CLL  106 b #64-27</t>
  </si>
  <si>
    <t xml:space="preserve">Edificio Torres de amel 2 </t>
  </si>
  <si>
    <t>xoviedorodriguez@gmail.com</t>
  </si>
  <si>
    <t xml:space="preserve">Jennifer Caro Cuervo 
</t>
  </si>
  <si>
    <t xml:space="preserve">Calle 69 a bis 95-40
</t>
  </si>
  <si>
    <t xml:space="preserve">jennifercarocuervo@gmail.com
</t>
  </si>
  <si>
    <t xml:space="preserve">Transversal 20 # 94-25 </t>
  </si>
  <si>
    <t>andrea.atuesta88@gmail.com</t>
  </si>
  <si>
    <t>Cra 8a# 95 -33</t>
  </si>
  <si>
    <t>Edificio ECON</t>
  </si>
  <si>
    <t xml:space="preserve">Simonpmesa@gmail.com 
</t>
  </si>
  <si>
    <t>Nathalia Alvarado Jimenez</t>
  </si>
  <si>
    <t>CLL 127 BIS # 17A - 60</t>
  </si>
  <si>
    <t xml:space="preserve">naljime99@hotmail.com
</t>
  </si>
  <si>
    <t xml:space="preserve">CAR 10a # 138 -1 0
</t>
  </si>
  <si>
    <t>MONICA OTERO</t>
  </si>
  <si>
    <t xml:space="preserve">Felipe Martínez </t>
  </si>
  <si>
    <t>CRA 14b 11-209 sur</t>
  </si>
  <si>
    <t>CASA 57</t>
  </si>
  <si>
    <t>Condominio Ábaco</t>
  </si>
  <si>
    <t xml:space="preserve">Cajicá </t>
  </si>
  <si>
    <t>felipemartinezg@gmail.com</t>
  </si>
  <si>
    <t xml:space="preserve">Carlos Eduardo Suarez Mesa </t>
  </si>
  <si>
    <t xml:space="preserve">Cra 46 #144-51 </t>
  </si>
  <si>
    <t xml:space="preserve">Edificio Santillana </t>
  </si>
  <si>
    <t>carlosesuarezm13@gmail.com</t>
  </si>
  <si>
    <t>Ruben Zamora Equert</t>
  </si>
  <si>
    <t>Cra 11# 93A-38</t>
  </si>
  <si>
    <t xml:space="preserve">ruzamora@hotmail.com
</t>
  </si>
  <si>
    <t>Manuela Sarmiento</t>
  </si>
  <si>
    <t>Calle 152a #13- 58</t>
  </si>
  <si>
    <t>tre 2 conjunto el cedro</t>
  </si>
  <si>
    <t xml:space="preserve">manusarmiento16@gmail.com
</t>
  </si>
  <si>
    <t>CLL 94 # 72A-95</t>
  </si>
  <si>
    <t xml:space="preserve"> int 3</t>
  </si>
  <si>
    <t>saparo7@hotmail.com</t>
  </si>
  <si>
    <t>Cll  135 # 7-42</t>
  </si>
  <si>
    <t xml:space="preserve">vivianacera@hotmail.com
</t>
  </si>
  <si>
    <t xml:space="preserve">Km 7 via Suba Cota Villas de Pueblo Viejo </t>
  </si>
  <si>
    <t>casa 27</t>
  </si>
  <si>
    <t>gdiazb@homecenter.co</t>
  </si>
  <si>
    <t xml:space="preserve">Carrera 109C #143-20
</t>
  </si>
  <si>
    <t xml:space="preserve">Farch97@icloud.com
</t>
  </si>
  <si>
    <t xml:space="preserve">Diagonal 4B #31 - 17
</t>
  </si>
  <si>
    <t>Torre 15  conjunto Arezzo</t>
  </si>
  <si>
    <t>Zipaquira</t>
  </si>
  <si>
    <t xml:space="preserve">jorge.avellaneda@hotmail.com
</t>
  </si>
  <si>
    <t xml:space="preserve">Paola Andrea Duran Serna
</t>
  </si>
  <si>
    <t xml:space="preserve">CLL 137 #19A-42
</t>
  </si>
  <si>
    <t xml:space="preserve">Edificio: Mazal
</t>
  </si>
  <si>
    <t xml:space="preserve">paoladuranserna@gmail.com
</t>
  </si>
  <si>
    <t>Cra 7D # 127C - 86</t>
  </si>
  <si>
    <t xml:space="preserve">cperezsala@icloud.com
</t>
  </si>
  <si>
    <t xml:space="preserve">Cra 50 # 102a 34 </t>
  </si>
  <si>
    <t>Edificio Alicante</t>
  </si>
  <si>
    <t xml:space="preserve">adrycac@hotmail.com
</t>
  </si>
  <si>
    <t xml:space="preserve">Carrera 11 #76-14
</t>
  </si>
  <si>
    <t xml:space="preserve">mpalvaradov@hotmail.com
</t>
  </si>
  <si>
    <t xml:space="preserve">Alexandra Carrillo 
</t>
  </si>
  <si>
    <t xml:space="preserve">calle 162#21-13 </t>
  </si>
  <si>
    <t>orquídeas de 8 a 4pm</t>
  </si>
  <si>
    <t>henesiscarrillo@gmail.com</t>
  </si>
  <si>
    <t xml:space="preserve">Carrera 17 No 134A-84
</t>
  </si>
  <si>
    <t xml:space="preserve">edificio portugal VII
</t>
  </si>
  <si>
    <t xml:space="preserve">anamariasantanapuentes@gmail.com
</t>
  </si>
  <si>
    <t xml:space="preserve">Calle 127 # 58 45 
</t>
  </si>
  <si>
    <t xml:space="preserve">T1 </t>
  </si>
  <si>
    <t>Pametellezb@gmail.com</t>
  </si>
  <si>
    <t xml:space="preserve">Cra 53 # 141-69
</t>
  </si>
  <si>
    <t xml:space="preserve">shibaes2008@gmail.com
</t>
  </si>
  <si>
    <t>CRA 8 ESTE #1A 72</t>
  </si>
  <si>
    <t xml:space="preserve">TORRE 3  HUERTAS ORIENTAL ETAPA 1
</t>
  </si>
  <si>
    <t xml:space="preserve">DIANIVILLAMIL@GMAIL.COM
</t>
  </si>
  <si>
    <t xml:space="preserve">Diana Cardoso
</t>
  </si>
  <si>
    <t xml:space="preserve">Calle 92 # 9a-20
</t>
  </si>
  <si>
    <t xml:space="preserve">diana.cardoso11@hotmail.com
</t>
  </si>
  <si>
    <t xml:space="preserve">Jose Carrasquero
</t>
  </si>
  <si>
    <t xml:space="preserve">Calle 98 #19A-21
</t>
  </si>
  <si>
    <t xml:space="preserve">jicarrasquerop@gmail.com
</t>
  </si>
  <si>
    <t xml:space="preserve">CLL 129# 7B-41 </t>
  </si>
  <si>
    <t xml:space="preserve">Edificio senderos de bella suiza </t>
  </si>
  <si>
    <t xml:space="preserve">Lecheverri03@yahoo.com 
</t>
  </si>
  <si>
    <t xml:space="preserve">Carrera 10 # 93a-41
</t>
  </si>
  <si>
    <t xml:space="preserve">mericho@gmail.com
</t>
  </si>
  <si>
    <t>Calle 56 # 3-34</t>
  </si>
  <si>
    <t>Edificio Dhara,</t>
  </si>
  <si>
    <t>Localidad: Chapinero</t>
  </si>
  <si>
    <t xml:space="preserve">art_560@hotmail.com </t>
  </si>
  <si>
    <t xml:space="preserve">Laura Bastidas
</t>
  </si>
  <si>
    <t xml:space="preserve">Cra 5a # 127b - 44
</t>
  </si>
  <si>
    <t>Ed Macaé</t>
  </si>
  <si>
    <t xml:space="preserve">Lbastidas2176@gmail.com
</t>
  </si>
  <si>
    <t>Calle 13 #18-24</t>
  </si>
  <si>
    <t>Localidad los mártires En la estación del tren de la sabana</t>
  </si>
  <si>
    <t xml:space="preserve">Nathalia Amado
</t>
  </si>
  <si>
    <t xml:space="preserve">CRA  69 g # 67-22
</t>
  </si>
  <si>
    <t xml:space="preserve">natuamado@hotmail.com
</t>
  </si>
  <si>
    <t xml:space="preserve">Cra  9a # 96 -22
</t>
  </si>
  <si>
    <t xml:space="preserve">lauraesur@gmail.com
</t>
  </si>
  <si>
    <t>CRA  7 # 72 a - 80</t>
  </si>
  <si>
    <t>901409146-2</t>
  </si>
  <si>
    <t xml:space="preserve">Poderoblanco@gmail.com </t>
  </si>
  <si>
    <t xml:space="preserve">Cr 19a # 85-48
</t>
  </si>
  <si>
    <t xml:space="preserve">nancypedraza07@gmail.com
</t>
  </si>
  <si>
    <t>CRA 8a # 153-51</t>
  </si>
  <si>
    <t>Tre 7 conjunto residencial Altos del Moral</t>
  </si>
  <si>
    <t xml:space="preserve">andrearestrepo0894@gmail.com 
</t>
  </si>
  <si>
    <t>Calle 148 #95-61</t>
  </si>
  <si>
    <t xml:space="preserve">Calle 90 # 14 - 45 </t>
  </si>
  <si>
    <t>Local 7</t>
  </si>
  <si>
    <t xml:space="preserve">Zángano Lo Fi Bar y merendero 
</t>
  </si>
  <si>
    <t xml:space="preserve">901947955-1
</t>
  </si>
  <si>
    <t xml:space="preserve">zanganolofibarymerendero@gmail.com
</t>
  </si>
  <si>
    <t xml:space="preserve">Vereda Rio Frío sector pozo hondo </t>
  </si>
  <si>
    <t>casa 25</t>
  </si>
  <si>
    <t xml:space="preserve">Tabio, Cundinamarca </t>
  </si>
  <si>
    <t xml:space="preserve">lfaimaga1@gmail.com 
</t>
  </si>
  <si>
    <t xml:space="preserve">Calle 104 #21- 34
</t>
  </si>
  <si>
    <t xml:space="preserve">Marianaheran08@gmail.com
</t>
  </si>
  <si>
    <t xml:space="preserve">Carrera 17 #96-52 (Calle 86 #18-24
)
</t>
  </si>
  <si>
    <t>102 (701)</t>
  </si>
  <si>
    <t xml:space="preserve">anagmonteroc@gmail.com
</t>
  </si>
  <si>
    <t xml:space="preserve">CLL  88 # 22-68
</t>
  </si>
  <si>
    <t xml:space="preserve">marialejaramillo1504@gmail.com
</t>
  </si>
  <si>
    <t xml:space="preserve">Cra 1 no. 67-21 </t>
  </si>
  <si>
    <t xml:space="preserve">edificio nueva granada etapa 1, </t>
  </si>
  <si>
    <t>mcmeza@yahoo.com</t>
  </si>
  <si>
    <t xml:space="preserve">Cra 69# 44-35 </t>
  </si>
  <si>
    <t>Contraloría general de la República</t>
  </si>
  <si>
    <t>Rosalba.cabrales@urosario.edu.co</t>
  </si>
  <si>
    <t xml:space="preserve">Calle 93 bis 19-45
</t>
  </si>
  <si>
    <t xml:space="preserve">Mateuribem@gmail.com
</t>
  </si>
  <si>
    <t xml:space="preserve">Cra  8 bis A # 151-44
</t>
  </si>
  <si>
    <t>edificio cedro golf 2</t>
  </si>
  <si>
    <t xml:space="preserve">janethrp22@hotmail.com
</t>
  </si>
  <si>
    <t>Calle 145 #7B-41</t>
  </si>
  <si>
    <t xml:space="preserve">mdm.chaustre10@gmail.com </t>
  </si>
  <si>
    <t xml:space="preserve">Cra 72bis #152b-25
</t>
  </si>
  <si>
    <t xml:space="preserve">Conjunto olmo torre1 </t>
  </si>
  <si>
    <t xml:space="preserve">charocarranza@gmail.com
</t>
  </si>
  <si>
    <t xml:space="preserve">Carrera 95 #75b-17
</t>
  </si>
  <si>
    <t xml:space="preserve">afrancoborda@gmail.com
</t>
  </si>
  <si>
    <t xml:space="preserve">John Robert Lopez Piñeros
</t>
  </si>
  <si>
    <t xml:space="preserve">Calle 127a # 49-67
</t>
  </si>
  <si>
    <t xml:space="preserve">Torre 4  Atabanza 3
</t>
  </si>
  <si>
    <t xml:space="preserve">johnrobertlopezpineros@gmail.com
</t>
  </si>
  <si>
    <t xml:space="preserve">CRA 19A # 85-48
</t>
  </si>
  <si>
    <t xml:space="preserve">rlopezforero@gmail.com
</t>
  </si>
  <si>
    <t xml:space="preserve">CRA  13 # 66-09
</t>
  </si>
  <si>
    <t xml:space="preserve">gloriacarolinabc@hotmail.com
</t>
  </si>
  <si>
    <t xml:space="preserve">CLL  127a # 5c - 46 
</t>
  </si>
  <si>
    <t xml:space="preserve">mariajosegutierrez1090@gmail.com
</t>
  </si>
  <si>
    <t>Calle 24 a #60-49</t>
  </si>
  <si>
    <t>902b</t>
  </si>
  <si>
    <t xml:space="preserve">tre b Edificio Salitre + 24 </t>
  </si>
  <si>
    <t>Barrio Ciudad Salitre</t>
  </si>
  <si>
    <t>marcela_r_@hotmail.com</t>
  </si>
  <si>
    <t xml:space="preserve">Cra 72 bis# 147 60
</t>
  </si>
  <si>
    <t xml:space="preserve">Torre 11 Pratum
</t>
  </si>
  <si>
    <t xml:space="preserve">helacer3@yahoo.es
</t>
  </si>
  <si>
    <t xml:space="preserve">CRA  18 #120-40 </t>
  </si>
  <si>
    <t xml:space="preserve">Valentinau_00@hotmail.com
</t>
  </si>
  <si>
    <t>Cra 4 #74-33</t>
  </si>
  <si>
    <t>Edificio Basika 74</t>
  </si>
  <si>
    <t xml:space="preserve">susyramosc@gmail.com
</t>
  </si>
  <si>
    <t xml:space="preserve">Calle 63 #1-59
</t>
  </si>
  <si>
    <t xml:space="preserve">felipemartinez0786@gmail.com
</t>
  </si>
  <si>
    <t>Carrera 18 #120-40</t>
  </si>
  <si>
    <t xml:space="preserve">montoyaandres743@gmail.com
</t>
  </si>
  <si>
    <t xml:space="preserve">CLL  108 #15- 42
</t>
  </si>
  <si>
    <t xml:space="preserve">maferogliastri@gmail.com
</t>
  </si>
  <si>
    <t xml:space="preserve">calle 61 # 3-09
</t>
  </si>
  <si>
    <t xml:space="preserve">Edificio la salle 
</t>
  </si>
  <si>
    <t xml:space="preserve">lukaduran@hotmail.com
</t>
  </si>
  <si>
    <t xml:space="preserve">CRA 16#127-31
</t>
  </si>
  <si>
    <t xml:space="preserve">anamarod2020@gmail.com
</t>
  </si>
  <si>
    <t xml:space="preserve">CRA  86#17-90 </t>
  </si>
  <si>
    <t>TRE 10</t>
  </si>
  <si>
    <t xml:space="preserve">J.miguelvr19@gmail.com 
</t>
  </si>
  <si>
    <t>Calle 25b 32A-48</t>
  </si>
  <si>
    <t>Conjunto Takay Reservado</t>
  </si>
  <si>
    <t xml:space="preserve">catalinacamelom@gmail.com
</t>
  </si>
  <si>
    <t xml:space="preserve">Calle 110A #6-07
</t>
  </si>
  <si>
    <t xml:space="preserve">Edificio Santa Ana
</t>
  </si>
  <si>
    <t>trixieleeb@gmail.com</t>
  </si>
  <si>
    <t xml:space="preserve">Calle 112 # 17-55
</t>
  </si>
  <si>
    <t xml:space="preserve">juan_fpaez@hormail.com
</t>
  </si>
  <si>
    <t xml:space="preserve">Calle 127A # 5C - 86
</t>
  </si>
  <si>
    <t xml:space="preserve">adrigomez73@yahoo.com
</t>
  </si>
  <si>
    <t xml:space="preserve">KR 28 # 80 - 10 
</t>
  </si>
  <si>
    <t>ED UDARA POLO P H</t>
  </si>
  <si>
    <t xml:space="preserve">laortizm056@gmail.com
</t>
  </si>
  <si>
    <t xml:space="preserve">Calle 57 #8 - 24
</t>
  </si>
  <si>
    <t>Edificio Next Living</t>
  </si>
  <si>
    <t>DEJAR EN PORTERIA</t>
  </si>
  <si>
    <t xml:space="preserve">mariapaulam195@gmail.com
</t>
  </si>
  <si>
    <t xml:space="preserve">CALLE 134 #13-80
</t>
  </si>
  <si>
    <t xml:space="preserve">Alejandra@bodasdecuento.com
</t>
  </si>
  <si>
    <t xml:space="preserve">Calle 118 #21-20 
</t>
  </si>
  <si>
    <t xml:space="preserve">Edificio El Aceituno
</t>
  </si>
  <si>
    <t xml:space="preserve">nanivelez@hotmail.com
</t>
  </si>
  <si>
    <t xml:space="preserve">CRA  36 ##63-10 
</t>
  </si>
  <si>
    <t xml:space="preserve">Valentinaecheverry879@gmail.com
</t>
  </si>
  <si>
    <t xml:space="preserve">Cesar Andres Gaviria
</t>
  </si>
  <si>
    <t xml:space="preserve">CRA 1A # 33A-30, </t>
  </si>
  <si>
    <t>CASA 3</t>
  </si>
  <si>
    <t xml:space="preserve">Conjunto Villas de San Felipe, Vereda Bojaca, Sector Tres Esquinas
</t>
  </si>
  <si>
    <t xml:space="preserve">cesargav75@gmail.com
</t>
  </si>
  <si>
    <t>avenida carrera 30#48-30</t>
  </si>
  <si>
    <t xml:space="preserve">Edificio portal de belalcazar </t>
  </si>
  <si>
    <t xml:space="preserve">jennifersalgadogomez@gmail.com 
</t>
  </si>
  <si>
    <t xml:space="preserve">Cra 10#92-18 
</t>
  </si>
  <si>
    <t xml:space="preserve">Juliancortes1@yahoo.com
</t>
  </si>
  <si>
    <t xml:space="preserve">Calle 44D # 45-86 </t>
  </si>
  <si>
    <t>T-4</t>
  </si>
  <si>
    <t xml:space="preserve">astrobymaro@hotmail.com
</t>
  </si>
  <si>
    <t xml:space="preserve">Daniela Zuleta (Esteban Valenzuela
)
</t>
  </si>
  <si>
    <t xml:space="preserve">Carrera 10 #93a-48
</t>
  </si>
  <si>
    <t xml:space="preserve">d.zuleta27@gmail.com
</t>
  </si>
  <si>
    <t xml:space="preserve">Cra 15 # 173 - 25
</t>
  </si>
  <si>
    <t xml:space="preserve">julian.bernal.violin@gmail.com 
</t>
  </si>
  <si>
    <t>Cra. 68g #9c-97</t>
  </si>
  <si>
    <t xml:space="preserve">INTE 4 Conjunto villa veronica etapa 2
</t>
  </si>
  <si>
    <t>Barrio Marsella</t>
  </si>
  <si>
    <t xml:space="preserve">danlucesleon@gmail.com 
</t>
  </si>
  <si>
    <t xml:space="preserve">Calle 160#73-47
</t>
  </si>
  <si>
    <t xml:space="preserve">edgardo.pena.arenas@gmail.com
</t>
  </si>
  <si>
    <t xml:space="preserve">Km 2.5 vía  Casa 4
</t>
  </si>
  <si>
    <t>Chía-Cajicá Hacienda Fontanar Conjunto Roble</t>
  </si>
  <si>
    <t>paolalon04@gmail.com</t>
  </si>
  <si>
    <t xml:space="preserve">Cra51a #169a-23 </t>
  </si>
  <si>
    <t>casa 37</t>
  </si>
  <si>
    <t>Interior 7</t>
  </si>
  <si>
    <t>CRA 14b Bi # 163 29</t>
  </si>
  <si>
    <t xml:space="preserve">ehjazmin18@gmail.com
</t>
  </si>
  <si>
    <t>Calle 74 # 5-55</t>
  </si>
  <si>
    <t>agonzalezacosta@gmail.com</t>
  </si>
  <si>
    <t xml:space="preserve">CRA 11#93a-24
</t>
  </si>
  <si>
    <t>Isabellagrau214@gmail.com</t>
  </si>
  <si>
    <t xml:space="preserve">Carrera 11bis # 123-31 </t>
  </si>
  <si>
    <t>Buganvilla 10 405 Buganvilla 10</t>
  </si>
  <si>
    <t xml:space="preserve">mazposada@hotmail.com
</t>
  </si>
  <si>
    <t xml:space="preserve">Calle 103C # 63-25
</t>
  </si>
  <si>
    <t>kelly.tolosa@hotmail.com</t>
  </si>
  <si>
    <t xml:space="preserve">Cra 96g #19-33
</t>
  </si>
  <si>
    <t xml:space="preserve">kntriana@gmail.com
</t>
  </si>
  <si>
    <t xml:space="preserve">CR 13A 31 17
</t>
  </si>
  <si>
    <t>Tre B</t>
  </si>
  <si>
    <t xml:space="preserve">lmjl1704@gmail.com
</t>
  </si>
  <si>
    <t>Calle 213 # 114 - 10.</t>
  </si>
  <si>
    <t>Manzana 3 Caminos de Arayanes</t>
  </si>
  <si>
    <t xml:space="preserve">eleandro.tm@hotmail.com
</t>
  </si>
  <si>
    <t>CRA 87 B #6D-10</t>
  </si>
  <si>
    <t>Tre 7</t>
  </si>
  <si>
    <t xml:space="preserve">diegoforero_11@hotmail.com
</t>
  </si>
  <si>
    <t>Calle 114 # 56- 26</t>
  </si>
  <si>
    <t>Zefirot 3</t>
  </si>
  <si>
    <t xml:space="preserve">monariasalazar1952@hotmail.com
</t>
  </si>
  <si>
    <t>CRA 4 # 72-62</t>
  </si>
  <si>
    <t>BELLA VISTA NORTE</t>
  </si>
  <si>
    <t xml:space="preserve">jannettepalaciosantos@gmail.com
</t>
  </si>
  <si>
    <t xml:space="preserve">cra 11# 113-05 
</t>
  </si>
  <si>
    <t xml:space="preserve">dmorcaicedo@gmail.com </t>
  </si>
  <si>
    <t>Cra7F#145-12</t>
  </si>
  <si>
    <t>edificio alisos</t>
  </si>
  <si>
    <t xml:space="preserve">mp.tarazonae@gmail.com
</t>
  </si>
  <si>
    <t xml:space="preserve">Carrera 16# 96- 60
</t>
  </si>
  <si>
    <t>Edifício Davinchi Ii</t>
  </si>
  <si>
    <t xml:space="preserve">sdpcm84@gmail.com
</t>
  </si>
  <si>
    <t xml:space="preserve">Calle 31 # 13 a 51 </t>
  </si>
  <si>
    <t>TRE 2  edificio Panorama</t>
  </si>
  <si>
    <t>itampl@gmail.com</t>
  </si>
  <si>
    <t xml:space="preserve">CLL 11c # 73-52  </t>
  </si>
  <si>
    <t xml:space="preserve">ximeambiente@hotmail.es
</t>
  </si>
  <si>
    <t xml:space="preserve">Calle 121 # 3a - 20
</t>
  </si>
  <si>
    <t>Tre B  cerros de los alpes</t>
  </si>
  <si>
    <t xml:space="preserve">francinaizquierdo@gmail.com
</t>
  </si>
  <si>
    <t>Calle 108b # 6 - 24</t>
  </si>
  <si>
    <t>rozo.alejandra33@gmail.com</t>
  </si>
  <si>
    <t xml:space="preserve">calle 97 #70-89
</t>
  </si>
  <si>
    <t>ricardo_quintana_r@hotmail.com</t>
  </si>
  <si>
    <t>Transversal 65 sur N 59 35</t>
  </si>
  <si>
    <t>santa Elena reservado</t>
  </si>
  <si>
    <t xml:space="preserve">dianaymc@hotmail.com
</t>
  </si>
  <si>
    <t xml:space="preserve">Carrera 53a # 127-30
</t>
  </si>
  <si>
    <t xml:space="preserve">alejaramirez02@gmail.com
</t>
  </si>
  <si>
    <t xml:space="preserve">Calle 30 #17-140 
</t>
  </si>
  <si>
    <t xml:space="preserve">cacipe2013@gmail.com
</t>
  </si>
  <si>
    <t>Calle 154A #96-40</t>
  </si>
  <si>
    <t>Bloque 25</t>
  </si>
  <si>
    <t>Campanella reservado</t>
  </si>
  <si>
    <t>Amparo Saacedra</t>
  </si>
  <si>
    <t>Calle 118 14a-35</t>
  </si>
  <si>
    <t>Anpimarh@gmail.com</t>
  </si>
  <si>
    <t xml:space="preserve">Calle152B#73b-51
</t>
  </si>
  <si>
    <t>RUBENHCAMPESTRE@HOTMAIL.COM</t>
  </si>
  <si>
    <t xml:space="preserve">Carrera 7b# 135- 52 
</t>
  </si>
  <si>
    <t xml:space="preserve">npgandurn@gmail.com
</t>
  </si>
  <si>
    <t>Calle 152 # 22 À 55</t>
  </si>
  <si>
    <t>Santa ana del bosque</t>
  </si>
  <si>
    <t>Claudialeyvap@hotmail.com</t>
  </si>
  <si>
    <t xml:space="preserve">Patricia Ramírez (p)
</t>
  </si>
  <si>
    <t xml:space="preserve">Trv 3 # 84 A 35
</t>
  </si>
  <si>
    <t xml:space="preserve">pramirez@kovaltrading.com
</t>
  </si>
  <si>
    <t xml:space="preserve">Calle 12 #5-32
</t>
  </si>
  <si>
    <t xml:space="preserve">lalisberdugo@gmail.com
</t>
  </si>
  <si>
    <t xml:space="preserve">Calle38 #8-28
</t>
  </si>
  <si>
    <t>Edificio. Canciller</t>
  </si>
  <si>
    <t xml:space="preserve">ampaflorian@yahoo.es
</t>
  </si>
  <si>
    <t xml:space="preserve">Calle 124 # 11B-50 
</t>
  </si>
  <si>
    <t xml:space="preserve">Torre B </t>
  </si>
  <si>
    <t xml:space="preserve">linaocampomartinez@gmail.com
</t>
  </si>
  <si>
    <t xml:space="preserve">Calle 109 #4-70
</t>
  </si>
  <si>
    <t xml:space="preserve">waquiroz@gmail.com 
</t>
  </si>
  <si>
    <t xml:space="preserve">Calle 13 sur # 6-52 este </t>
  </si>
  <si>
    <t xml:space="preserve">bloque 24 </t>
  </si>
  <si>
    <t>Naeshenao@gmail.com</t>
  </si>
  <si>
    <t xml:space="preserve">Calle 112 No 17-77
</t>
  </si>
  <si>
    <t xml:space="preserve">andrejime88@gmail.com
</t>
  </si>
  <si>
    <t xml:space="preserve">calle 38 #8-56
</t>
  </si>
  <si>
    <t xml:space="preserve"> Edificio Brigadier</t>
  </si>
  <si>
    <t xml:space="preserve">oterorossana@gmail.com
</t>
  </si>
  <si>
    <t xml:space="preserve">Calle 93 Bis # 19-82
</t>
  </si>
  <si>
    <t xml:space="preserve">ximenaf@hotmail.com
</t>
  </si>
  <si>
    <t xml:space="preserve">Calle 127A #5C 41
</t>
  </si>
  <si>
    <t>TRE 2 Camino del Country</t>
  </si>
  <si>
    <t xml:space="preserve">lizbravor@hotmail.com
</t>
  </si>
  <si>
    <t xml:space="preserve">Cra. 74 #152B-70
</t>
  </si>
  <si>
    <t>Tre3</t>
  </si>
  <si>
    <t xml:space="preserve">stephany_0617@hotmail.com
</t>
  </si>
  <si>
    <t xml:space="preserve">Carrera 10 # 94 - 07 
</t>
  </si>
  <si>
    <t>Barrio Chico</t>
  </si>
  <si>
    <t xml:space="preserve">di.sandoval76@gmail.com
</t>
  </si>
  <si>
    <t xml:space="preserve">Carrera 13 A No. 32-67 
</t>
  </si>
  <si>
    <t xml:space="preserve">Edificio Gran Manzana
</t>
  </si>
  <si>
    <t xml:space="preserve">315​​0621611
</t>
  </si>
  <si>
    <t xml:space="preserve">oliverosleonliliana@gmail.com
</t>
  </si>
  <si>
    <t xml:space="preserve">Calle 142 # 11 85
</t>
  </si>
  <si>
    <t>103b</t>
  </si>
  <si>
    <t xml:space="preserve">m.alepulido15@gmail.com
</t>
  </si>
  <si>
    <t xml:space="preserve">Carrera 16 #112-9
</t>
  </si>
  <si>
    <t>Edificio Tanamo</t>
  </si>
  <si>
    <t xml:space="preserve">am_pesantez@yahoo.fr
</t>
  </si>
  <si>
    <t xml:space="preserve">Calle 93b# 9- 39
</t>
  </si>
  <si>
    <t xml:space="preserve">dianalob12@icloud.com
</t>
  </si>
  <si>
    <t>Transversal 1a# 69- 25</t>
  </si>
  <si>
    <t xml:space="preserve">mpcp1101@gmail.com
</t>
  </si>
  <si>
    <t>Carrera 22 # 120-66</t>
  </si>
  <si>
    <t xml:space="preserve">juancturbay@gmail.com
</t>
  </si>
  <si>
    <t xml:space="preserve">Carrera 38 # 15 - 19 
</t>
  </si>
  <si>
    <t xml:space="preserve"> tre 1 conjunto Centrik Park</t>
  </si>
  <si>
    <t xml:space="preserve">kabogadaconciliadora@gmail.com
</t>
  </si>
  <si>
    <t xml:space="preserve">Calle 104A # 19A - 30
</t>
  </si>
  <si>
    <t>Edificio Cannelo</t>
  </si>
  <si>
    <t xml:space="preserve">ivanmauricio@gmail.com
</t>
  </si>
  <si>
    <t xml:space="preserve">Calle 107a#7a-81
</t>
  </si>
  <si>
    <t xml:space="preserve">Blo 9 </t>
  </si>
  <si>
    <t xml:space="preserve">cmmicolta@gmail.com
</t>
  </si>
  <si>
    <t xml:space="preserve">calle 103 # 20-08,
</t>
  </si>
  <si>
    <t>Edificio Colligatio</t>
  </si>
  <si>
    <t xml:space="preserve">lantolinez88@gmail.com
</t>
  </si>
  <si>
    <t xml:space="preserve">Calle 26 # 13 - 19 </t>
  </si>
  <si>
    <t>Piso 32</t>
  </si>
  <si>
    <t xml:space="preserve">Julianamejia@gmail.com
</t>
  </si>
  <si>
    <t xml:space="preserve">Calle 40B #8-68
</t>
  </si>
  <si>
    <t xml:space="preserve">Edificio Torre San Marcos 
</t>
  </si>
  <si>
    <t xml:space="preserve">sforeroalmanzar@gmail.com
</t>
  </si>
  <si>
    <t xml:space="preserve">Calle 152b #104-50
</t>
  </si>
  <si>
    <t>4-1102</t>
  </si>
  <si>
    <t>bellavista imperial suba</t>
  </si>
  <si>
    <t xml:space="preserve">karensalamanca1106@hotmail.com
</t>
  </si>
  <si>
    <t xml:space="preserve">Cra 7F No 146 55
</t>
  </si>
  <si>
    <t xml:space="preserve">Edficio Portal de Alcalá
</t>
  </si>
  <si>
    <t xml:space="preserve">diana_m03@hotmail.es
</t>
  </si>
  <si>
    <t xml:space="preserve">Calle 89# 11a -18 
</t>
  </si>
  <si>
    <t xml:space="preserve">manucardozo84@hotmail.com
</t>
  </si>
  <si>
    <t>Cra 67 cll 57v sur 09</t>
  </si>
  <si>
    <t>Tre 1 conjunto Reserva de Madelena</t>
  </si>
  <si>
    <t xml:space="preserve">julian.jm517@gmail.com
</t>
  </si>
  <si>
    <t>Calle 85 # 9-82</t>
  </si>
  <si>
    <t xml:space="preserve">Edificio T85 </t>
  </si>
  <si>
    <t xml:space="preserve">posada17@hotmail.com
</t>
  </si>
  <si>
    <t xml:space="preserve">Calle 152b 56 62
</t>
  </si>
  <si>
    <t xml:space="preserve">nataliavelasco@hotmail.com
</t>
  </si>
  <si>
    <t xml:space="preserve">Carrera 97 # 75 - 73
</t>
  </si>
  <si>
    <t>annabety43@gmail.com</t>
  </si>
  <si>
    <t xml:space="preserve">Carrera 54 #105-08
</t>
  </si>
  <si>
    <t>juancmendz@gmail.com</t>
  </si>
  <si>
    <t>Carrera 7A # 145-41</t>
  </si>
  <si>
    <t>Tre 1  Edificio Torrealba</t>
  </si>
  <si>
    <t xml:space="preserve">moralesardila.mp@gmail.com
</t>
  </si>
  <si>
    <t xml:space="preserve">Carrera 35 63c 17
</t>
  </si>
  <si>
    <t xml:space="preserve">carolina.saenz.d23@gmail.com
</t>
  </si>
  <si>
    <t xml:space="preserve">calle 146 #7f-80
</t>
  </si>
  <si>
    <t xml:space="preserve">danielgalv210@gmail.com
</t>
  </si>
  <si>
    <t xml:space="preserve">Calle 93a 19 69 
</t>
  </si>
  <si>
    <t>edificio calle 93a</t>
  </si>
  <si>
    <t xml:space="preserve">mariavperezca@gmail.com
</t>
  </si>
  <si>
    <t xml:space="preserve">Cra. 22 # 122-73
</t>
  </si>
  <si>
    <t xml:space="preserve">jimeparra@yahoo.com
</t>
  </si>
  <si>
    <t xml:space="preserve">Calle 27 a sur # 10 c 35
</t>
  </si>
  <si>
    <t>Local esquina deleite dulce tentacion</t>
  </si>
  <si>
    <t xml:space="preserve">Milena101295@outlook.com
</t>
  </si>
  <si>
    <t xml:space="preserve">Cra 18 #93a-18
</t>
  </si>
  <si>
    <t xml:space="preserve">susanatrujillomejia@gmail.com
</t>
  </si>
  <si>
    <t>TV 1A no, 69 - 55</t>
  </si>
  <si>
    <t>Edificio El viento, Barrio Emaus</t>
  </si>
  <si>
    <t xml:space="preserve">juliana.ordonezb@gmail.com
</t>
  </si>
  <si>
    <t xml:space="preserve">Calle 102#23-16
</t>
  </si>
  <si>
    <t xml:space="preserve">lori_raimundo@hotmail.com
</t>
  </si>
  <si>
    <t xml:space="preserve">Calle 108 #14-35 
</t>
  </si>
  <si>
    <t xml:space="preserve">Pao.agreda@hotmail.com
</t>
  </si>
  <si>
    <t xml:space="preserve">Calle 88 # 19a -30
</t>
  </si>
  <si>
    <t xml:space="preserve">migll51@gmail.com
</t>
  </si>
  <si>
    <t xml:space="preserve">Diagonal 61d # 24-40
</t>
  </si>
  <si>
    <t>Balcones del campin 2</t>
  </si>
  <si>
    <t xml:space="preserve">zonya_lm@hotmail.com
</t>
  </si>
  <si>
    <t>Calle 56#16-50</t>
  </si>
  <si>
    <t>Edificio Milano</t>
  </si>
  <si>
    <t>Lincicoronado@gmail.com</t>
  </si>
  <si>
    <t xml:space="preserve">victor LEFF AVIVI  Texika SAS
)
</t>
  </si>
  <si>
    <t xml:space="preserve">CALLE 95 #17-30
</t>
  </si>
  <si>
    <t xml:space="preserve">FACTURAR A Texika SAS Nit 901760447-7 Factelect@texika.com
</t>
  </si>
  <si>
    <t xml:space="preserve">vla@texika.com
</t>
  </si>
  <si>
    <t xml:space="preserve">CRA 1 # 68-15 </t>
  </si>
  <si>
    <t>Edifício Kubik</t>
  </si>
  <si>
    <t xml:space="preserve">alafonts@outlook.com
</t>
  </si>
  <si>
    <t xml:space="preserve">Calle 144 # 11-71
</t>
  </si>
  <si>
    <t xml:space="preserve">Cada 14 conjunto Las Plazuelas
</t>
  </si>
  <si>
    <t xml:space="preserve">mayiyuti@gmail.com
</t>
  </si>
  <si>
    <t xml:space="preserve">Cra 13 #76-47
</t>
  </si>
  <si>
    <t>Ed nómada 77</t>
  </si>
  <si>
    <t xml:space="preserve">nmejiaj@gmail.com
</t>
  </si>
  <si>
    <t xml:space="preserve">Calle 65b # 88 27
</t>
  </si>
  <si>
    <t xml:space="preserve">pau.andreamm@gmail.com
</t>
  </si>
  <si>
    <t xml:space="preserve">Carrera 9 #126- 15
</t>
  </si>
  <si>
    <t>Edificio tribk</t>
  </si>
  <si>
    <t xml:space="preserve">camila.ayala.g@gmail.com
</t>
  </si>
  <si>
    <t xml:space="preserve">CL 39 Sur #72M-27
</t>
  </si>
  <si>
    <t>18-501</t>
  </si>
  <si>
    <t xml:space="preserve">a.castillo.lopez.86@gmail.com
</t>
  </si>
  <si>
    <t>Carrera 12 #109-86</t>
  </si>
  <si>
    <t xml:space="preserve">Edificio Brianza
</t>
  </si>
  <si>
    <t xml:space="preserve">vdazagarcia@gmail.com
</t>
  </si>
  <si>
    <t xml:space="preserve">Calle 35# 24- 48
</t>
  </si>
  <si>
    <t>Edificio botero</t>
  </si>
  <si>
    <t>lkxgalicia@gmail.com</t>
  </si>
  <si>
    <t xml:space="preserve">CR 23 #114A- 20
</t>
  </si>
  <si>
    <t xml:space="preserve">albertodominguezs@gmail.com
</t>
  </si>
  <si>
    <t xml:space="preserve">Carrera 47A # 22A- 66
</t>
  </si>
  <si>
    <t xml:space="preserve">av.cruz10@gmail.com
</t>
  </si>
  <si>
    <t>Carrera 17A #106-09</t>
  </si>
  <si>
    <t xml:space="preserve">leonardo.andres.guerrero@gmail.com
</t>
  </si>
  <si>
    <t xml:space="preserve">Carrera 14 A # 109-55
</t>
  </si>
  <si>
    <t xml:space="preserve">davidgutierrez17@gmail.com
</t>
  </si>
  <si>
    <t xml:space="preserve">Calle 94a # 21-80
</t>
  </si>
  <si>
    <t>Edificio Lares 94</t>
  </si>
  <si>
    <t xml:space="preserve">marialu00@hotmail.com
</t>
  </si>
  <si>
    <t xml:space="preserve">Calle 102 # 15-58
</t>
  </si>
  <si>
    <t xml:space="preserve">santiago-macias@hotmail.com
</t>
  </si>
  <si>
    <t xml:space="preserve">Cra 2B#66-08
</t>
  </si>
  <si>
    <t xml:space="preserve">mafevalbuenah@gmail.com
</t>
  </si>
  <si>
    <t xml:space="preserve">Calle 152 #12c-80
</t>
  </si>
  <si>
    <t>torre 2 Entre cedros</t>
  </si>
  <si>
    <t xml:space="preserve">linaariza89@hotmail.com
</t>
  </si>
  <si>
    <t xml:space="preserve">Calle 147 # 13-67
</t>
  </si>
  <si>
    <t xml:space="preserve"> Tre 6 Conjunto residencial portal Caobos</t>
  </si>
  <si>
    <t xml:space="preserve">lauradanielag2@hotmail.com
</t>
  </si>
  <si>
    <t xml:space="preserve">Cll 108# 55- 92 </t>
  </si>
  <si>
    <t>ED. FLORIDA 2000</t>
  </si>
  <si>
    <t xml:space="preserve">mariacorreal7@gmail.com </t>
  </si>
  <si>
    <t xml:space="preserve">Calle 118 #18B-27 
</t>
  </si>
  <si>
    <t xml:space="preserve">Macamilasilvar@gmail.com
</t>
  </si>
  <si>
    <t xml:space="preserve">Carrera 2A No. 72A-80
</t>
  </si>
  <si>
    <t>Edifcio Eucalipto de Rosales</t>
  </si>
  <si>
    <t>beatrizeherrera@gmail.com</t>
  </si>
  <si>
    <t xml:space="preserve">Carrera 16 127b 43 
</t>
  </si>
  <si>
    <t xml:space="preserve">fajardocristina17@gmail.com
</t>
  </si>
  <si>
    <t xml:space="preserve">Calle 128a 54b 56
</t>
  </si>
  <si>
    <t>TRE 3</t>
  </si>
  <si>
    <t xml:space="preserve">leslycaro.pedraza@gmail.com
</t>
  </si>
  <si>
    <t xml:space="preserve">carrera 17 # 93A 38
</t>
  </si>
  <si>
    <t>edificio Orvieto</t>
  </si>
  <si>
    <t xml:space="preserve">silviapulidogarcia@gmail.com
</t>
  </si>
  <si>
    <t xml:space="preserve">Cra 79#19a-56
</t>
  </si>
  <si>
    <t>TRE 4 conjunto La Cumbre</t>
  </si>
  <si>
    <t xml:space="preserve">alejitatorres@hotmail.com
alejitatorres@hotmail.com
</t>
  </si>
  <si>
    <t xml:space="preserve">Tv 80 # 215-30
</t>
  </si>
  <si>
    <t>casa 29</t>
  </si>
  <si>
    <t xml:space="preserve">Conjunto mora verde 2
</t>
  </si>
  <si>
    <t xml:space="preserve">andres.a.hernandez@gmail.com
</t>
  </si>
  <si>
    <t xml:space="preserve">CRA 4 # 70-68
</t>
  </si>
  <si>
    <t xml:space="preserve">duquealejo@gmail.com
</t>
  </si>
  <si>
    <t xml:space="preserve">CLL 101 #19A-33
</t>
  </si>
  <si>
    <t xml:space="preserve">abogado.roncancio@gmail.com
</t>
  </si>
  <si>
    <t>Cra 18 # 123-78</t>
  </si>
  <si>
    <t xml:space="preserve">ladino2582@gmail.com
</t>
  </si>
  <si>
    <t xml:space="preserve">Carrera 58# 119a 98
</t>
  </si>
  <si>
    <t xml:space="preserve">curquijo19@hotmail.com
</t>
  </si>
  <si>
    <t xml:space="preserve">Diagonal 61b #17-48
</t>
  </si>
  <si>
    <t>TIMBRAR</t>
  </si>
  <si>
    <t xml:space="preserve">
</t>
  </si>
  <si>
    <t>angelicamaria.carvajalsanchez@gmail.com</t>
  </si>
  <si>
    <t xml:space="preserve">Calle 128 # 9A - 59
</t>
  </si>
  <si>
    <t>INT 7</t>
  </si>
  <si>
    <t xml:space="preserve">dianaapache@gmail.com
</t>
  </si>
  <si>
    <t xml:space="preserve">CLL 140 No. 11-63 
</t>
  </si>
  <si>
    <t xml:space="preserve">constanzaforerom@hotmail.com
</t>
  </si>
  <si>
    <t xml:space="preserve">calle 124a No 54b-12
</t>
  </si>
  <si>
    <t xml:space="preserve">mariomarroquin_@hotmail.com
</t>
  </si>
  <si>
    <t xml:space="preserve">Calle 76 #00-17
</t>
  </si>
  <si>
    <t xml:space="preserve">amparocarvajals63@gmail.com
</t>
  </si>
  <si>
    <t xml:space="preserve">Calle 69 # 4-32
</t>
  </si>
  <si>
    <t xml:space="preserve">lucesrcpuj@gmail.com
</t>
  </si>
  <si>
    <t xml:space="preserve">Calle 97 #70C-69
</t>
  </si>
  <si>
    <t>401-1</t>
  </si>
  <si>
    <t xml:space="preserve">dipacrica@gmail.com
</t>
  </si>
  <si>
    <t xml:space="preserve">Calle 127c# 6a-40
</t>
  </si>
  <si>
    <t xml:space="preserve">isaib0630@gmail.com
</t>
  </si>
  <si>
    <t xml:space="preserve">Cra 18 #86A-15
</t>
  </si>
  <si>
    <t xml:space="preserve">arusiakm@gmail.com
</t>
  </si>
  <si>
    <t xml:space="preserve">Carrera 19a # 105- 51
</t>
  </si>
  <si>
    <t xml:space="preserve">juansebastianb_90@hotmail.com
</t>
  </si>
  <si>
    <t xml:space="preserve">Carrera 65B #67B-89
</t>
  </si>
  <si>
    <t xml:space="preserve">lalis1902@live.com
</t>
  </si>
  <si>
    <t xml:space="preserve">Diagonal 70A # 4-21
</t>
  </si>
  <si>
    <t xml:space="preserve">gloria.arias2404@gmail.com
</t>
  </si>
  <si>
    <t xml:space="preserve">Carrera 16#88-08
</t>
  </si>
  <si>
    <t>Edificio Entreverde</t>
  </si>
  <si>
    <t xml:space="preserve">yorocio.rp@gmail.com
</t>
  </si>
  <si>
    <t xml:space="preserve">Calle 127a # 5c-46
</t>
  </si>
  <si>
    <t xml:space="preserve">santiagoa.ramirezb@gmail.com
</t>
  </si>
  <si>
    <t xml:space="preserve">Cra 72C #22A 27
</t>
  </si>
  <si>
    <t xml:space="preserve">mariafortizb@gmail.com
</t>
  </si>
  <si>
    <t xml:space="preserve">Calle 78 # 5-50
</t>
  </si>
  <si>
    <t xml:space="preserve">daniel.zawadzki7@gmail.com
</t>
  </si>
  <si>
    <t>Cr 72a #23f-36</t>
  </si>
  <si>
    <t xml:space="preserve"> Torre 2 Aitana del Salitre </t>
  </si>
  <si>
    <t xml:space="preserve">padresseto@hotmail.com
</t>
  </si>
  <si>
    <t>calle 10sur sector las juntas chia</t>
  </si>
  <si>
    <t>Torre 1 Colombia Senior Suites Guaymaral</t>
  </si>
  <si>
    <t xml:space="preserve">rodrigojimenesuribe@gmail.com
</t>
  </si>
  <si>
    <t xml:space="preserve">Calle 97#19a-54
</t>
  </si>
  <si>
    <t>dificio Nodo 97</t>
  </si>
  <si>
    <t>Linagallegomontes@yahoo.com</t>
  </si>
  <si>
    <t>Carrera 92b #127c05 (carrera 28 # 92-10)</t>
  </si>
  <si>
    <t xml:space="preserve">ananapereirarh@gmail.com
</t>
  </si>
  <si>
    <t xml:space="preserve">Carrera 50 # 152-57,  
</t>
  </si>
  <si>
    <t xml:space="preserve">Torre 3  Park living </t>
  </si>
  <si>
    <t xml:space="preserve">Angieesmd@gmail.com 
</t>
  </si>
  <si>
    <t>Calle 100 #7-45</t>
  </si>
  <si>
    <t>Edificio la gran vía</t>
  </si>
  <si>
    <t xml:space="preserve">nataliapupo1987@gmail.com </t>
  </si>
  <si>
    <t xml:space="preserve">Calle 79 #10-50
</t>
  </si>
  <si>
    <t xml:space="preserve">contacto@paolamancini.com.br
</t>
  </si>
  <si>
    <t xml:space="preserve">Carrera 4 # 73-80
</t>
  </si>
  <si>
    <t xml:space="preserve">julianaarchila868@gmail.com
</t>
  </si>
  <si>
    <t xml:space="preserve">Alexandra Sanclemente
</t>
  </si>
  <si>
    <t xml:space="preserve">Calle 94# 11a -26
</t>
  </si>
  <si>
    <t xml:space="preserve">a.sanclemente17@gmail.com
</t>
  </si>
  <si>
    <t xml:space="preserve">Calle 17b #62-74
</t>
  </si>
  <si>
    <t>Zona industrial puente aranda bodega</t>
  </si>
  <si>
    <t xml:space="preserve">quimar82@hotmail.com
</t>
  </si>
  <si>
    <t xml:space="preserve">Ana María Cuéllar Plaza
</t>
  </si>
  <si>
    <t xml:space="preserve">Calle 122bis#18b-27
</t>
  </si>
  <si>
    <t>Edificio veneto</t>
  </si>
  <si>
    <t xml:space="preserve">ani-c1995@hotmail.com
</t>
  </si>
  <si>
    <t>María Aleida Carmona Carmona</t>
  </si>
  <si>
    <t xml:space="preserve">Calle 116A # 71A 19
</t>
  </si>
  <si>
    <t xml:space="preserve">carmonamariaaleida13@gmail.com
</t>
  </si>
  <si>
    <t xml:space="preserve">Karen Caceres
</t>
  </si>
  <si>
    <t xml:space="preserve">Cra 74a# 167-31
</t>
  </si>
  <si>
    <t>2-1404</t>
  </si>
  <si>
    <t xml:space="preserve">karenlor12@gmail.com
</t>
  </si>
  <si>
    <t xml:space="preserve">Cra 18 #85-90
</t>
  </si>
  <si>
    <t xml:space="preserve">Edificio Truando 
</t>
  </si>
  <si>
    <t xml:space="preserve">51773 277
</t>
  </si>
  <si>
    <t>ampo30@yahoo.com</t>
  </si>
  <si>
    <t xml:space="preserve">Calle 128 7d 40 
</t>
  </si>
  <si>
    <t xml:space="preserve">luceropinzonc@gmail.com
</t>
  </si>
  <si>
    <t xml:space="preserve">Cra  77 #128 a- 58 </t>
  </si>
  <si>
    <t>tre 2</t>
  </si>
  <si>
    <t>Pilarebratt@yahoo.es</t>
  </si>
  <si>
    <t xml:space="preserve">Cra 36 # 53a-71 </t>
  </si>
  <si>
    <t>paolaandreagomezp@hotmail.com</t>
  </si>
  <si>
    <t xml:space="preserve">Carrera 11 147 76
</t>
  </si>
  <si>
    <t xml:space="preserve">Edificio Multicapri II
</t>
  </si>
  <si>
    <t xml:space="preserve">paobernardi@hotmail.com
</t>
  </si>
  <si>
    <t xml:space="preserve">Calle 4 #1-39
</t>
  </si>
  <si>
    <t xml:space="preserve"> int 14 </t>
  </si>
  <si>
    <t xml:space="preserve">l.aurac@hotmail.com
</t>
  </si>
  <si>
    <t xml:space="preserve">Calle 92 #10-36
</t>
  </si>
  <si>
    <t xml:space="preserve">lilisilvaf@gmail.com
</t>
  </si>
  <si>
    <t xml:space="preserve">Calle 116# 9- 36 
</t>
  </si>
  <si>
    <t>Edifício Fuencarral</t>
  </si>
  <si>
    <t xml:space="preserve">vale99513@gmail.com
</t>
  </si>
  <si>
    <t xml:space="preserve">calle 117c#71f-45 
</t>
  </si>
  <si>
    <t xml:space="preserve">lalarcon15@icloud.con
</t>
  </si>
  <si>
    <t xml:space="preserve">Calle 140 #6-15
</t>
  </si>
  <si>
    <t>porteria 9</t>
  </si>
  <si>
    <t xml:space="preserve">aep1014promo@gmail.com
</t>
  </si>
  <si>
    <t xml:space="preserve">Carrera 19a # 86a - 42 </t>
  </si>
  <si>
    <t xml:space="preserve">mejiacancelado@hotmail.com
</t>
  </si>
  <si>
    <t xml:space="preserve">Carrera 73B # 147 - 95 
</t>
  </si>
  <si>
    <t>torre 3  Edificio Urapanes Recuerda que la dureccion es al frente del centro comercial Colina</t>
  </si>
  <si>
    <t xml:space="preserve">hernandezrubiocaro@gmail.com
</t>
  </si>
  <si>
    <t xml:space="preserve">Carrera 77 #20 - 20 Conjunto La Isla 
</t>
  </si>
  <si>
    <t xml:space="preserve">Torre 1 La Isla </t>
  </si>
  <si>
    <t>310 8206596</t>
  </si>
  <si>
    <t>DANIELCORREA100@HOTMAIL.COM</t>
  </si>
  <si>
    <t xml:space="preserve">Calle 127 A#53 A- 68
</t>
  </si>
  <si>
    <t>Porteria 5 Niza IX-3</t>
  </si>
  <si>
    <t xml:space="preserve">andreadiazl.fru@gmail.com
</t>
  </si>
  <si>
    <t xml:space="preserve">Hacienda Fontanar, Conjunto Aliso
</t>
  </si>
  <si>
    <t>CASA 55</t>
  </si>
  <si>
    <t>Fontanar, Aliso, 55 CHIA</t>
  </si>
  <si>
    <t xml:space="preserve">lelik0326@yahoo.com
</t>
  </si>
  <si>
    <t xml:space="preserve">Calle 81# 9- 86 
</t>
  </si>
  <si>
    <t xml:space="preserve">cris.valencia81@hotmail.com
</t>
  </si>
  <si>
    <t xml:space="preserve">Cra 8G # 166 - 71
</t>
  </si>
  <si>
    <t xml:space="preserve">erikavanegasmoreno@gmail.com
</t>
  </si>
  <si>
    <t>Alejandra Restrepo</t>
  </si>
  <si>
    <t xml:space="preserve">Calle 104b # 45a12
</t>
  </si>
  <si>
    <t>Edificio BinaVentto</t>
  </si>
  <si>
    <t xml:space="preserve">alexares1@gmail.com
</t>
  </si>
  <si>
    <t xml:space="preserve">Calle 25 # 8 Este - 161 </t>
  </si>
  <si>
    <t xml:space="preserve">Casa 113
</t>
  </si>
  <si>
    <t>Etapa 2,  Condominio Casas de la Pradera</t>
  </si>
  <si>
    <t xml:space="preserve">sanandru@hotmail.com
</t>
  </si>
  <si>
    <t xml:space="preserve">AK 86# 17- 96  
</t>
  </si>
  <si>
    <t xml:space="preserve">TRE 11 Conj PORTOHAYUELOS 2
</t>
  </si>
  <si>
    <t xml:space="preserve">catalinarozo.27@gmail.com
</t>
  </si>
  <si>
    <t xml:space="preserve">Calle 165b# 14- 07
</t>
  </si>
  <si>
    <t xml:space="preserve">lilianacostac@gmail.com
</t>
  </si>
  <si>
    <t xml:space="preserve">Calle 131a # 09 - 59
</t>
  </si>
  <si>
    <t xml:space="preserve">osoriorcr@gmail.com
</t>
  </si>
  <si>
    <t xml:space="preserve">Cll 27#5-45 Sur
</t>
  </si>
  <si>
    <t xml:space="preserve">Panadería local
</t>
  </si>
  <si>
    <t xml:space="preserve">aleja-bohorquez@hotmail.com
</t>
  </si>
  <si>
    <t xml:space="preserve">Carrera 54A #149-29
</t>
  </si>
  <si>
    <t>Conjunto Palmaria</t>
  </si>
  <si>
    <t xml:space="preserve">xsospina_ariza@hotmail.com
</t>
  </si>
  <si>
    <t xml:space="preserve">Cra 20B #75-54
</t>
  </si>
  <si>
    <t xml:space="preserve">erikamoss@gmail.com
</t>
  </si>
  <si>
    <t xml:space="preserve">CLL 10b #81f-20
</t>
  </si>
  <si>
    <t xml:space="preserve">angelaicj@hotmail.com
</t>
  </si>
  <si>
    <t xml:space="preserve">Calle 104a #45a- 60 
</t>
  </si>
  <si>
    <t xml:space="preserve">Edifício Sotaventto
</t>
  </si>
  <si>
    <t xml:space="preserve">vanessarodi@hotmail.com
</t>
  </si>
  <si>
    <t xml:space="preserve">Cra 51# 56B-41 
</t>
  </si>
  <si>
    <t xml:space="preserve">bloque A9 </t>
  </si>
  <si>
    <t xml:space="preserve">milferg@gmail.com
</t>
  </si>
  <si>
    <t xml:space="preserve">Calle 112 #16-69
</t>
  </si>
  <si>
    <t xml:space="preserve">maia.bermudez.g@gmail.com
</t>
  </si>
  <si>
    <t xml:space="preserve">Calle 104 # 14 - 65
</t>
  </si>
  <si>
    <t xml:space="preserve">alejam88@hotmail.com
</t>
  </si>
  <si>
    <t xml:space="preserve">Calle 98 No 19A-21.
</t>
  </si>
  <si>
    <t>dificio Artek 98</t>
  </si>
  <si>
    <t xml:space="preserve">fabiogms3@hotmail.com
</t>
  </si>
  <si>
    <t xml:space="preserve">Calle 159# 7 -74 
</t>
  </si>
  <si>
    <t xml:space="preserve">315​​3762771
</t>
  </si>
  <si>
    <t xml:space="preserve">andrearomero2005@gmail.com
</t>
  </si>
  <si>
    <t xml:space="preserve">Carrera 20 #122- 74
</t>
  </si>
  <si>
    <t xml:space="preserve">hidroamericacomercial@gmail.com
</t>
  </si>
  <si>
    <t xml:space="preserve">Cra 20 # 134-38
</t>
  </si>
  <si>
    <t xml:space="preserve">EDIFICIO KD ESSENTIAL
</t>
  </si>
  <si>
    <t xml:space="preserve">lhdermatologia@hotmail.com
</t>
  </si>
  <si>
    <t xml:space="preserve">Calle 23C N 69D 24
</t>
  </si>
  <si>
    <t xml:space="preserve">mipimego@gmail.com
</t>
  </si>
  <si>
    <t xml:space="preserve">Cra 69q # -86
</t>
  </si>
  <si>
    <t xml:space="preserve">glendycarolinagutierrez@gmail.com
</t>
  </si>
  <si>
    <t xml:space="preserve">Cra 15 A # 106-66
</t>
  </si>
  <si>
    <t xml:space="preserve">Edificio San Lucas 106
</t>
  </si>
  <si>
    <t xml:space="preserve">airagorri@gmail.com
</t>
  </si>
  <si>
    <t xml:space="preserve">Carrera 68b #24a -64 
</t>
  </si>
  <si>
    <t xml:space="preserve">INT 1 Salitre Conjunto Andalucia
</t>
  </si>
  <si>
    <t xml:space="preserve">steephaniecontreras@gmail.com
</t>
  </si>
  <si>
    <t xml:space="preserve">CLL 24A # 60-49
</t>
  </si>
  <si>
    <t>600A</t>
  </si>
  <si>
    <t xml:space="preserve">marialecorreal0512@gmail.com
</t>
  </si>
  <si>
    <t xml:space="preserve">Calle 82 #9-41 
</t>
  </si>
  <si>
    <t xml:space="preserve">mhkv5@hotmail.com
</t>
  </si>
  <si>
    <t xml:space="preserve">Carrera 3A #58-25
</t>
  </si>
  <si>
    <t xml:space="preserve">caroescobar@hotmail.com
</t>
  </si>
  <si>
    <t xml:space="preserve">Calle 30a #1-26
</t>
  </si>
  <si>
    <t xml:space="preserve">Edificio San Diego 3 la macarena
</t>
  </si>
  <si>
    <t xml:space="preserve">bsalgadonegret@gmail.com
</t>
  </si>
  <si>
    <t>Carrera 18 #113-27</t>
  </si>
  <si>
    <t>Edificio Viatta</t>
  </si>
  <si>
    <t xml:space="preserve">caro_dela@yahoo.com
</t>
  </si>
  <si>
    <t xml:space="preserve">Carrera 12 #122- 32 
</t>
  </si>
  <si>
    <t xml:space="preserve">jcollinstorres@gmail.com
</t>
  </si>
  <si>
    <t xml:space="preserve">Ana María Mejía </t>
  </si>
  <si>
    <t xml:space="preserve">Cra 7 # 89-10 
</t>
  </si>
  <si>
    <t xml:space="preserve">anamaria_mejia@hotmail.com
</t>
  </si>
  <si>
    <t xml:space="preserve">CRA 13A #88- 23 </t>
  </si>
  <si>
    <t>fatimacaraballo88@hotmail.com</t>
  </si>
  <si>
    <t xml:space="preserve">María Sandoval
</t>
  </si>
  <si>
    <t xml:space="preserve">Carrera 69 #12A-42
</t>
  </si>
  <si>
    <t xml:space="preserve">mariasandodiaz@gmail.com
</t>
  </si>
  <si>
    <t xml:space="preserve">Carrera 10 #90-39
</t>
  </si>
  <si>
    <t xml:space="preserve">gdominguezb93@gmail.com
</t>
  </si>
  <si>
    <t xml:space="preserve">Calle 124 # 48 -40,
</t>
  </si>
  <si>
    <t xml:space="preserve">albae_rod@hotmail.com
</t>
  </si>
  <si>
    <t xml:space="preserve">Mónica Bonilla Joven
</t>
  </si>
  <si>
    <t xml:space="preserve">Cll. 77 # 10-57
</t>
  </si>
  <si>
    <t xml:space="preserve">joven.monik@gmail.com
</t>
  </si>
  <si>
    <t xml:space="preserve">Carrera 13 No 118-11
</t>
  </si>
  <si>
    <t xml:space="preserve">Tienda gris Ritacuba
</t>
  </si>
  <si>
    <t xml:space="preserve">ad.diaz20@gmail.com
</t>
  </si>
  <si>
    <t xml:space="preserve">Carrera 9A # 119 - 41
</t>
  </si>
  <si>
    <t xml:space="preserve">criss0810@hotmail.com
</t>
  </si>
  <si>
    <t xml:space="preserve">Av. Calle 6 No 68-45
</t>
  </si>
  <si>
    <t>Boreal Torre 1</t>
  </si>
  <si>
    <t xml:space="preserve">omarpuli4@gmail.com
</t>
  </si>
  <si>
    <t xml:space="preserve">Calle 7 # 31 a 43 
</t>
  </si>
  <si>
    <t xml:space="preserve">Barrio Pensilvania
</t>
  </si>
  <si>
    <t>quicklubsas@outlook.es</t>
  </si>
  <si>
    <t xml:space="preserve">Calle129#7b-46
</t>
  </si>
  <si>
    <t xml:space="preserve">nataliamalaver@yahoo.com
</t>
  </si>
  <si>
    <t xml:space="preserve">Calle 148 # 12d-9
</t>
  </si>
  <si>
    <t xml:space="preserve">vickybadran08@hotmail.com
</t>
  </si>
  <si>
    <t xml:space="preserve">Calle 89 #13a- 31
</t>
  </si>
  <si>
    <t>Edifício Elementto Torre 1</t>
  </si>
  <si>
    <t xml:space="preserve">lauramunozs@hotmail.com
</t>
  </si>
  <si>
    <t xml:space="preserve">Diagonal 86 a # 102- 50
</t>
  </si>
  <si>
    <t xml:space="preserve">Interior 15 
</t>
  </si>
  <si>
    <t xml:space="preserve">Cra 56 #152B-71 
</t>
  </si>
  <si>
    <t xml:space="preserve">conjunto Picabia </t>
  </si>
  <si>
    <t xml:space="preserve">mariajposada15@icloud.com
</t>
  </si>
  <si>
    <t xml:space="preserve">Calle 151 No. 18A-34
</t>
  </si>
  <si>
    <t xml:space="preserve">Edificio San Telmo 
</t>
  </si>
  <si>
    <t xml:space="preserve">patripena02@gmail.com
</t>
  </si>
  <si>
    <t xml:space="preserve">Carrera 11 # 118-87
</t>
  </si>
  <si>
    <t xml:space="preserve">andameca11@hotmail.com
</t>
  </si>
  <si>
    <t xml:space="preserve">calle 131 #19-72
</t>
  </si>
  <si>
    <t xml:space="preserve">Edificio Torres de jannan 
</t>
  </si>
  <si>
    <t xml:space="preserve">socarp083@icloud.com
</t>
  </si>
  <si>
    <t xml:space="preserve">Carrera 50 #106-69
</t>
  </si>
  <si>
    <t xml:space="preserve">camig_8@hotmail.com
</t>
  </si>
  <si>
    <t xml:space="preserve">Carrera 52 123a 10 
</t>
  </si>
  <si>
    <t xml:space="preserve">Edifício Maria Del Carmen
</t>
  </si>
  <si>
    <t xml:space="preserve">julianamarula@hotmail.com
</t>
  </si>
  <si>
    <t xml:space="preserve">Carrera 6b# 127c- 50    
</t>
  </si>
  <si>
    <t>PH4</t>
  </si>
  <si>
    <t xml:space="preserve">Edifício Reserva Del Bosque Torre2 
</t>
  </si>
  <si>
    <t xml:space="preserve">argumentellonancy98@gmail.com
</t>
  </si>
  <si>
    <t xml:space="preserve">Javier Muñoz
</t>
  </si>
  <si>
    <t xml:space="preserve">Carrera 10# 90- 39
</t>
  </si>
  <si>
    <t xml:space="preserve">jmvfdm@gmail.com
</t>
  </si>
  <si>
    <t xml:space="preserve">Calle 98# 9- 25
</t>
  </si>
  <si>
    <t xml:space="preserve">maitehu@gmail.com
</t>
  </si>
  <si>
    <t xml:space="preserve">Calle 160#72-51
</t>
  </si>
  <si>
    <t xml:space="preserve">Conjunto picasso torre 4 
</t>
  </si>
  <si>
    <t xml:space="preserve">roxanacalvo78@hotmail.com
</t>
  </si>
  <si>
    <t xml:space="preserve">Laura Cortes
</t>
  </si>
  <si>
    <t xml:space="preserve">Carrera 49 #144- 64
</t>
  </si>
  <si>
    <t xml:space="preserve">Edificio smart hábitat
</t>
  </si>
  <si>
    <t xml:space="preserve">lauragarciac93@gmail.com
</t>
  </si>
  <si>
    <t xml:space="preserve">Calle 72 #11-61
</t>
  </si>
  <si>
    <t xml:space="preserve">natalia.aguilera17@gmail.com
</t>
  </si>
  <si>
    <t xml:space="preserve">Calle 105 # 15-43
</t>
  </si>
  <si>
    <t xml:space="preserve">mariapaladines@gmail.com
</t>
  </si>
  <si>
    <t xml:space="preserve">CRA 96 A 75-40
</t>
  </si>
  <si>
    <t>CASA 7A</t>
  </si>
  <si>
    <t xml:space="preserve">jvanessa.m@hotmail.com
</t>
  </si>
  <si>
    <t>Cr 7 # 78-30</t>
  </si>
  <si>
    <t xml:space="preserve">Cra 7 # 94-29 </t>
  </si>
  <si>
    <t>edificio Leggodt</t>
  </si>
  <si>
    <t xml:space="preserve">Elibarco2040@gmail.com
</t>
  </si>
  <si>
    <t xml:space="preserve">Carrera 67 a# 10 -95 
</t>
  </si>
  <si>
    <t xml:space="preserve">angieandrearangel@gmail.com 
</t>
  </si>
  <si>
    <t xml:space="preserve">Cra 16 # 88-08
</t>
  </si>
  <si>
    <t xml:space="preserve">alealzfernanda@gmail.com
</t>
  </si>
  <si>
    <t xml:space="preserve">Calle 107A # 7-96
</t>
  </si>
  <si>
    <t>Edificio Forestal</t>
  </si>
  <si>
    <t xml:space="preserve">nathi019@gmail.com
</t>
  </si>
  <si>
    <t xml:space="preserve">Calle 114a 19a 27 
</t>
  </si>
  <si>
    <t>EDF Fiore 114</t>
  </si>
  <si>
    <t xml:space="preserve">marialinleal5@gmail.com
</t>
  </si>
  <si>
    <t xml:space="preserve">Calle 77 #12-03
</t>
  </si>
  <si>
    <t xml:space="preserve">mgaleano26@hotmail.com
</t>
  </si>
  <si>
    <t>crr 11 c # 127-55</t>
  </si>
  <si>
    <t>Huertasm@gmail.com;</t>
  </si>
  <si>
    <t>calle 127 b bis #21-86</t>
  </si>
  <si>
    <t xml:space="preserve">claudiadominguezp@gmail.com
</t>
  </si>
  <si>
    <t xml:space="preserve">Calle 94 # 7A - 47 </t>
  </si>
  <si>
    <t>Edificio FORET</t>
  </si>
  <si>
    <t xml:space="preserve">aiardila@ikalon.co  </t>
  </si>
  <si>
    <t xml:space="preserve">Calle 74#5-30 </t>
  </si>
  <si>
    <t xml:space="preserve">tiztiz10@yahoo.com
</t>
  </si>
  <si>
    <r>
      <rPr>
        <sz val="10"/>
        <color rgb="FF000000"/>
        <rFont val="Calibri, sans-serif"/>
      </rPr>
      <t xml:space="preserve">Carrera 2 N 1sur 79 </t>
    </r>
    <r>
      <rPr>
        <b/>
        <sz val="10"/>
        <color rgb="FF000000"/>
        <rFont val="Calibri, sans-serif"/>
      </rPr>
      <t xml:space="preserve">CHIA
</t>
    </r>
  </si>
  <si>
    <t xml:space="preserve">andreasophorocha@hotmail.com
</t>
  </si>
  <si>
    <t>David Triana</t>
  </si>
  <si>
    <t xml:space="preserve">Carrera 20 #137 -29
</t>
  </si>
  <si>
    <t xml:space="preserve">davidtrianasys@gmail.com
</t>
  </si>
  <si>
    <t xml:space="preserve">CLL 131 # 78A- 61
</t>
  </si>
  <si>
    <t>TRE 1 CONJUNTO BOSQUE VERDE</t>
  </si>
  <si>
    <t xml:space="preserve">carlos_silva_greco4@hotmail.com
</t>
  </si>
  <si>
    <t xml:space="preserve">Calle 108 #14-35
</t>
  </si>
  <si>
    <t xml:space="preserve">carlosalberto.gamez@gmail.com
</t>
  </si>
  <si>
    <t xml:space="preserve">Calle 18 a #78-35
</t>
  </si>
  <si>
    <t>Conjunto la alameda</t>
  </si>
  <si>
    <t xml:space="preserve">analuciagarciah@hotmail.com
</t>
  </si>
  <si>
    <t xml:space="preserve">Calle 70 Bis #427
</t>
  </si>
  <si>
    <t xml:space="preserve">marialuamandor89@gmail.com
</t>
  </si>
  <si>
    <t xml:space="preserve">Florencia Frech
</t>
  </si>
  <si>
    <t xml:space="preserve">Calle 81# 9-36
</t>
  </si>
  <si>
    <t xml:space="preserve">florencefrech@gmail.com
</t>
  </si>
  <si>
    <t xml:space="preserve">Calle 108 # 17a 86
</t>
  </si>
  <si>
    <t xml:space="preserve">Edificio Eva </t>
  </si>
  <si>
    <t xml:space="preserve">lili.nieto13@gmail.com
</t>
  </si>
  <si>
    <t>Angelica De La Torre</t>
  </si>
  <si>
    <t xml:space="preserve">Trav 3 #84- 24
</t>
  </si>
  <si>
    <t xml:space="preserve">angelicadelat@gmail.com
</t>
  </si>
  <si>
    <t xml:space="preserve">Calle 15 #14b 101 bloque B </t>
  </si>
  <si>
    <t>casa20</t>
  </si>
  <si>
    <t xml:space="preserve">conjunto Solaz de Riofrío- Chia </t>
  </si>
  <si>
    <t xml:space="preserve">agathahannah2020@gmail.com 
</t>
  </si>
  <si>
    <t xml:space="preserve">Avenida Caracas 71 44 
</t>
  </si>
  <si>
    <t xml:space="preserve">caritocaritomastologia@gmail.com
</t>
  </si>
  <si>
    <t xml:space="preserve">Cra 58 # 119a 98  </t>
  </si>
  <si>
    <t xml:space="preserve">Provenza Campestre Fase Ii TRE 7
</t>
  </si>
  <si>
    <t xml:space="preserve">clautron@yahoo.com
</t>
  </si>
  <si>
    <t xml:space="preserve">Calle 175 # 68-55
</t>
  </si>
  <si>
    <t>casa 4</t>
  </si>
  <si>
    <t xml:space="preserve">
daniel.quintero.vanegas@gmail.com</t>
  </si>
  <si>
    <t xml:space="preserve">Adriana Peña
</t>
  </si>
  <si>
    <t xml:space="preserve">Carrera 20 #134-38  
</t>
  </si>
  <si>
    <t>edificio KD Essential</t>
  </si>
  <si>
    <t xml:space="preserve">adrianaptoloza@gmail.com
</t>
  </si>
  <si>
    <t xml:space="preserve">Andrés U GONZALEZ
</t>
  </si>
  <si>
    <t xml:space="preserve">Transv 13 D #166- 50
</t>
  </si>
  <si>
    <t xml:space="preserve">gonzalezacero@yahoo.com
</t>
  </si>
  <si>
    <t xml:space="preserve">Diagonal 4B # 31 - 17
</t>
  </si>
  <si>
    <t>conjunto Arezzo</t>
  </si>
  <si>
    <t>ZIPAQUIRA</t>
  </si>
  <si>
    <t xml:space="preserve">Calle 19 #2a-10
</t>
  </si>
  <si>
    <t xml:space="preserve">jmonaracol@gmail.com
</t>
  </si>
  <si>
    <t xml:space="preserve">Víctor Aparicio
</t>
  </si>
  <si>
    <t xml:space="preserve">Carrera 47A No. 22A - 66
</t>
  </si>
  <si>
    <t xml:space="preserve">victora96@hotmail.com
</t>
  </si>
  <si>
    <t xml:space="preserve">Calle 137 #55a-65
</t>
  </si>
  <si>
    <t xml:space="preserve">rmmusumeci@hotmail.com
</t>
  </si>
  <si>
    <t xml:space="preserve">Calle 93b # 9-28
</t>
  </si>
  <si>
    <t>EDIFICIO OASIS</t>
  </si>
  <si>
    <t xml:space="preserve">imejia@live.com
</t>
  </si>
  <si>
    <t xml:space="preserve">Cra 51 #56B-41 
</t>
  </si>
  <si>
    <t>Cra 11a#91-16</t>
  </si>
  <si>
    <t>misael.hidalgo@gmail.com</t>
  </si>
  <si>
    <t>Cll 58#21-51</t>
  </si>
  <si>
    <t xml:space="preserve">Danielita1193@hotmail.com 
</t>
  </si>
  <si>
    <t xml:space="preserve">calle 126a # 7-83
</t>
  </si>
  <si>
    <t xml:space="preserve">tefigonzalez@gmail.com
</t>
  </si>
  <si>
    <t xml:space="preserve">Cra 51 #104b-22
</t>
  </si>
  <si>
    <t xml:space="preserve">mesa860@hotmail.com
</t>
  </si>
  <si>
    <t xml:space="preserve">Carrera 57a# 56- 39 
</t>
  </si>
  <si>
    <t xml:space="preserve">gaba224@hotmail.com
</t>
  </si>
  <si>
    <t xml:space="preserve">Chía #km 2.2,
</t>
  </si>
  <si>
    <t>Tarragona Club Condominio Residencial</t>
  </si>
  <si>
    <t xml:space="preserve">COTA </t>
  </si>
  <si>
    <t xml:space="preserve">karolabernalc@gmail.com
</t>
  </si>
  <si>
    <t xml:space="preserve">calle 135 a # 10 a 34
</t>
  </si>
  <si>
    <t xml:space="preserve">alejandra.vernazap@gmail.com
</t>
  </si>
  <si>
    <t xml:space="preserve">calle 76 #11-41
</t>
  </si>
  <si>
    <t xml:space="preserve">ijimeñez92@gmail.com
</t>
  </si>
  <si>
    <t xml:space="preserve">Calle 120 # 70 -35
</t>
  </si>
  <si>
    <t xml:space="preserve">josep_t@hotmail.es
</t>
  </si>
  <si>
    <t xml:space="preserve">Calle 104#19a-39
</t>
  </si>
  <si>
    <t>Edificio Luxor 104</t>
  </si>
  <si>
    <t xml:space="preserve">bibianalopezt@gmail.com
</t>
  </si>
  <si>
    <t>Calle 167# 73a -55</t>
  </si>
  <si>
    <t>CASA 12</t>
  </si>
  <si>
    <t xml:space="preserve">INTERI 10 ARBOLEDA COLINA
</t>
  </si>
  <si>
    <t xml:space="preserve">alexarodriguez0588@gmail.com
</t>
  </si>
  <si>
    <t xml:space="preserve">Calle 149-48-64 
</t>
  </si>
  <si>
    <t xml:space="preserve">saritagonza122@gmail.com
</t>
  </si>
  <si>
    <t xml:space="preserve">Calle 126a #7c-37
</t>
  </si>
  <si>
    <t xml:space="preserve">mariacaro611@hotmail.com
</t>
  </si>
  <si>
    <t xml:space="preserve">Calle 119a # 18-44
</t>
  </si>
  <si>
    <t xml:space="preserve">caela2022@outlook.com
</t>
  </si>
  <si>
    <t xml:space="preserve">Calle 96 17 44 
</t>
  </si>
  <si>
    <t xml:space="preserve">jimenezsandra@hotmail.com
</t>
  </si>
  <si>
    <t xml:space="preserve">Calle 94a # 7A-73
</t>
  </si>
  <si>
    <t xml:space="preserve">Chico reservado
</t>
  </si>
  <si>
    <t xml:space="preserve">linamamora@hotmail.com
</t>
  </si>
  <si>
    <t xml:space="preserve">Carrera 14 # 106A-27
</t>
  </si>
  <si>
    <t xml:space="preserve">shennyangelica@yahoo.com
</t>
  </si>
  <si>
    <t xml:space="preserve">Cra 19A # 96-08
</t>
  </si>
  <si>
    <t xml:space="preserve">ricca@gmx.net
</t>
  </si>
  <si>
    <t>Carrera 21 No. 102-49</t>
  </si>
  <si>
    <t xml:space="preserve">julianavalenciagarzon1@gmail.com
</t>
  </si>
  <si>
    <t xml:space="preserve">Cra 2b #66-28 
</t>
  </si>
  <si>
    <t>Unique Park Rosales</t>
  </si>
  <si>
    <t xml:space="preserve">sara.vidales@outlook.com
</t>
  </si>
  <si>
    <t xml:space="preserve">carrera 13bis #109- 11
</t>
  </si>
  <si>
    <t>Zappan 109</t>
  </si>
  <si>
    <t xml:space="preserve">luisenriqueayasierra@gmail.com
</t>
  </si>
  <si>
    <t xml:space="preserve">Calle 82 #9 -41 
</t>
  </si>
  <si>
    <t xml:space="preserve">santfor79@gmail.com
</t>
  </si>
  <si>
    <t xml:space="preserve">Cra 64A #22 - 14 
</t>
  </si>
  <si>
    <t>Edificio Salitre alto reservado torre 5</t>
  </si>
  <si>
    <t xml:space="preserve">chiauk63@gmail.com
</t>
  </si>
  <si>
    <t xml:space="preserve">Cll 138  # 72a -40 
</t>
  </si>
  <si>
    <t xml:space="preserve">saracuervo@gmail.com
</t>
  </si>
  <si>
    <t xml:space="preserve">Carrera 1 #78-24 </t>
  </si>
  <si>
    <t xml:space="preserve">Paula.garnica@gmail.com
</t>
  </si>
  <si>
    <t xml:space="preserve">Carrera 12 #102-6 
</t>
  </si>
  <si>
    <t>Edificio Portal 102</t>
  </si>
  <si>
    <t xml:space="preserve">javierfernandeza99@gmail.com
</t>
  </si>
  <si>
    <t xml:space="preserve">Calle 127c 9 73 
</t>
  </si>
  <si>
    <t xml:space="preserve">amalaver1976@hotmail.com
</t>
  </si>
  <si>
    <t xml:space="preserve">carrera 7b bis #129-51
</t>
  </si>
  <si>
    <t xml:space="preserve">mariafernanda.melo17@gmail.com
</t>
  </si>
  <si>
    <t>Calle 17d #116-90</t>
  </si>
  <si>
    <t xml:space="preserve">nancybarrera90@gmail.com
</t>
  </si>
  <si>
    <t xml:space="preserve">CRA 21 # 101-59
</t>
  </si>
  <si>
    <t xml:space="preserve">angelamars18@gmail.com
</t>
  </si>
  <si>
    <t xml:space="preserve">Transversal 5# 87 -15 
</t>
  </si>
  <si>
    <t xml:space="preserve">lorerodrior@gmail.com
</t>
  </si>
  <si>
    <t xml:space="preserve">Calle 145 # 17-75
</t>
  </si>
  <si>
    <t>edificio mirador de armonia</t>
  </si>
  <si>
    <t xml:space="preserve">julieth_100@hotmail.com
</t>
  </si>
  <si>
    <t xml:space="preserve">Calle 107#53-20 
</t>
  </si>
  <si>
    <t xml:space="preserve">giselatorolopez@gmail.com
</t>
  </si>
  <si>
    <t xml:space="preserve">Carrera 4A 26D-15
</t>
  </si>
  <si>
    <t>Puerta negra al lado de la Cerveceria irlandesa</t>
  </si>
  <si>
    <t xml:space="preserve">yacilapodcast@gmail.com
</t>
  </si>
  <si>
    <t>Cll 117D #58-50</t>
  </si>
  <si>
    <t xml:space="preserve">catesgon@hotmail.com
</t>
  </si>
  <si>
    <t xml:space="preserve">Calle 6 #9-67 
</t>
  </si>
  <si>
    <t>CASA 32</t>
  </si>
  <si>
    <t>Quintas De Majuy TENJO</t>
  </si>
  <si>
    <t xml:space="preserve">yuranny430@hotmail.com
</t>
  </si>
  <si>
    <t xml:space="preserve">CLL 70 bis # 4-27
</t>
  </si>
  <si>
    <t xml:space="preserve">Edificio serrana emaus,
</t>
  </si>
  <si>
    <t xml:space="preserve">toposada20@gmail.com
</t>
  </si>
  <si>
    <t xml:space="preserve">Carrera 7 # 84D-21 
</t>
  </si>
  <si>
    <t xml:space="preserve">nanda.arias@gmail.com
</t>
  </si>
  <si>
    <t xml:space="preserve">Diagonal 76 No. 1A-70
</t>
  </si>
  <si>
    <t xml:space="preserve">carol2005s@gmail.com
</t>
  </si>
  <si>
    <t xml:space="preserve">Calle 152B # 56 - 62
</t>
  </si>
  <si>
    <t xml:space="preserve">diazcruz13@gmail.com
</t>
  </si>
  <si>
    <t xml:space="preserve">Calle 103 # 13-2
</t>
  </si>
  <si>
    <t xml:space="preserve">martac.tapia@gmail.com
</t>
  </si>
  <si>
    <t xml:space="preserve">CRA  13# 86a- 61
</t>
  </si>
  <si>
    <t xml:space="preserve">ana_carolina_gar@hotmail.com
</t>
  </si>
  <si>
    <t xml:space="preserve">Calle 33 #6-37 
</t>
  </si>
  <si>
    <t>Ed Frontier</t>
  </si>
  <si>
    <t xml:space="preserve">cucu4@hotmail.com
</t>
  </si>
  <si>
    <t xml:space="preserve">Calle 60 Sur 39 
</t>
  </si>
  <si>
    <t xml:space="preserve">gospelnew@hotmail.com
</t>
  </si>
  <si>
    <t xml:space="preserve">Calle 33 No 6 37
</t>
  </si>
  <si>
    <t xml:space="preserve">catalina.albarracins@gmail.com
</t>
  </si>
  <si>
    <t xml:space="preserve">Calle 104 B No. 45a-12 </t>
  </si>
  <si>
    <t xml:space="preserve">nachimon7@hotmail.com
</t>
  </si>
  <si>
    <t xml:space="preserve">Calle 53 7 11 
</t>
  </si>
  <si>
    <t xml:space="preserve">irenecatalina_5@hotmail.com
</t>
  </si>
  <si>
    <t xml:space="preserve">Calle 92#10-40
</t>
  </si>
  <si>
    <t xml:space="preserve">calu85@gmail.com
</t>
  </si>
  <si>
    <t xml:space="preserve">Carrera 8 #127c-20
</t>
  </si>
  <si>
    <t xml:space="preserve">. Edificio portal suizo
</t>
  </si>
  <si>
    <t xml:space="preserve">vero_gruber@hotmail.com
</t>
  </si>
  <si>
    <t xml:space="preserve">Calle 110 # 8 47
</t>
  </si>
  <si>
    <t>Jacaranda</t>
  </si>
  <si>
    <t xml:space="preserve">
garciamartinez.angelica@gmail.com</t>
  </si>
  <si>
    <t xml:space="preserve">Calle 33 # 6 - 09
</t>
  </si>
  <si>
    <t xml:space="preserve">julian.rodriguez.prt@gmail.com
</t>
  </si>
  <si>
    <t xml:space="preserve">Carrera 1 este # 7&amp;-91
</t>
  </si>
  <si>
    <t>901A</t>
  </si>
  <si>
    <t xml:space="preserve">elenamesa1965@gmail.com
</t>
  </si>
  <si>
    <t xml:space="preserve">Calle 96 # 45a-40
</t>
  </si>
  <si>
    <t xml:space="preserve">Agrupación 4 torre 12 
</t>
  </si>
  <si>
    <t xml:space="preserve">lzuluaga.caicedo@gmail.com
</t>
  </si>
  <si>
    <t xml:space="preserve">Carrera 8a# 95- 59
</t>
  </si>
  <si>
    <t xml:space="preserve">diazg.anamaria@gmail.com
</t>
  </si>
  <si>
    <t xml:space="preserve">Transversal 5 #87 -15 
</t>
  </si>
  <si>
    <t xml:space="preserve">Carrera 13a 127a 13 
</t>
  </si>
  <si>
    <t xml:space="preserve">dlf_13@hotmail.com
</t>
  </si>
  <si>
    <t>Cll 109#13-45</t>
  </si>
  <si>
    <t xml:space="preserve">skater_71@hotmail.com
</t>
  </si>
  <si>
    <t xml:space="preserve">Calle 181 # 17 b - 86 </t>
  </si>
  <si>
    <t>conjunto viña del mar</t>
  </si>
  <si>
    <t>alexandracmorales@hotmail.com</t>
  </si>
  <si>
    <t>Cra 11#117a-30</t>
  </si>
  <si>
    <t>felipecabracortes@gmail.com</t>
  </si>
  <si>
    <t xml:space="preserve">Carrera 17a #123-73
</t>
  </si>
  <si>
    <t xml:space="preserve">mariasussmannc@hotmail.com
</t>
  </si>
  <si>
    <t xml:space="preserve">Calle 152 #72- 02
</t>
  </si>
  <si>
    <t xml:space="preserve">T 3 Gratamira Campestre 3
</t>
  </si>
  <si>
    <t xml:space="preserve">aranguita0306@yahoo.com
</t>
  </si>
  <si>
    <t xml:space="preserve">Cra. 2B No. 66-55
</t>
  </si>
  <si>
    <t>Edificio Unique 67</t>
  </si>
  <si>
    <t xml:space="preserve">Paolasuarezobregon@hotmail.com
</t>
  </si>
  <si>
    <t xml:space="preserve">Cl 20 c# 93- 60
</t>
  </si>
  <si>
    <t>INTE 3</t>
  </si>
  <si>
    <t xml:space="preserve">yanilesantoyo@gmail.com
</t>
  </si>
  <si>
    <t xml:space="preserve">CL 114 # 21 - 70 
</t>
  </si>
  <si>
    <t xml:space="preserve"> EL RECODO DEL PARQUE SAN P</t>
  </si>
  <si>
    <t xml:space="preserve">aaguilarr68@gmail.com
</t>
  </si>
  <si>
    <t xml:space="preserve">Cra 70c# 52-96 </t>
  </si>
  <si>
    <t>edificio mirador del jardin barrio normandia</t>
  </si>
  <si>
    <t xml:space="preserve">germanorostegui@gmail.com
</t>
  </si>
  <si>
    <t xml:space="preserve">Calle 80 # 10 - 51
</t>
  </si>
  <si>
    <t>Edificio 80 Once</t>
  </si>
  <si>
    <t xml:space="preserve">camimonroy@gmail.com
</t>
  </si>
  <si>
    <t xml:space="preserve">CR 7# 88- 62
</t>
  </si>
  <si>
    <t xml:space="preserve">ernessto80@gmail.com
</t>
  </si>
  <si>
    <t xml:space="preserve">Calle 93a # 9a- 36
</t>
  </si>
  <si>
    <t xml:space="preserve">linawilliamson@hotmail.com
</t>
  </si>
  <si>
    <t xml:space="preserve">Calle 110 # 15-36
</t>
  </si>
  <si>
    <t xml:space="preserve">onateana6@gmail.com
</t>
  </si>
  <si>
    <t xml:space="preserve">Carrera 19 # 88-27
</t>
  </si>
  <si>
    <t>felipefalla@whitmanstore.com</t>
  </si>
  <si>
    <t xml:space="preserve">transversal 5 no 91-71
</t>
  </si>
  <si>
    <t xml:space="preserve">jfsanch@gmail.com
</t>
  </si>
  <si>
    <t xml:space="preserve">Carrera 4#76-79
</t>
  </si>
  <si>
    <t xml:space="preserve">xitapias@gmail.com
</t>
  </si>
  <si>
    <t xml:space="preserve">TRAV 2a # 68 - 61
</t>
  </si>
  <si>
    <t xml:space="preserve">blancocasti@hotmail.com
</t>
  </si>
  <si>
    <t xml:space="preserve">Transversal 76 #130-48
</t>
  </si>
  <si>
    <t xml:space="preserve">TRE 8 Julie Torres
</t>
  </si>
  <si>
    <t xml:space="preserve">tjulieandrea@gmail.com
</t>
  </si>
  <si>
    <t xml:space="preserve">Calle 103 #17a-62 
</t>
  </si>
  <si>
    <t xml:space="preserve">Santa paula
</t>
  </si>
  <si>
    <t xml:space="preserve">hofer_jhg@hotmail.com
</t>
  </si>
  <si>
    <t xml:space="preserve">Carrera 19 A # 103 A - 34
</t>
  </si>
  <si>
    <t>Edificio San Marino</t>
  </si>
  <si>
    <t xml:space="preserve">pattycuervom@hotmail.com
</t>
  </si>
  <si>
    <t xml:space="preserve">Cra 7 bis 106-44
</t>
  </si>
  <si>
    <t xml:space="preserve">Edificio Akasha 106 
</t>
  </si>
  <si>
    <t xml:space="preserve">luify182@hotmail.com
</t>
  </si>
  <si>
    <t xml:space="preserve">cra 20 #127a- 05
</t>
  </si>
  <si>
    <t xml:space="preserve">maleiwa park 
</t>
  </si>
  <si>
    <t xml:space="preserve">dondequiera@gmail.com
</t>
  </si>
  <si>
    <t xml:space="preserve">Calle 152 45-95 (CRA 2 ESTE#70A-60 APT 701
</t>
  </si>
  <si>
    <t>3-205</t>
  </si>
  <si>
    <t xml:space="preserve">juanca021649@gmail.com
</t>
  </si>
  <si>
    <t>Diagonal 91 4b 85</t>
  </si>
  <si>
    <t xml:space="preserve">Edificio atalaya del chicó
</t>
  </si>
  <si>
    <t xml:space="preserve">bernalmariacamila@gmail.com
</t>
  </si>
  <si>
    <t xml:space="preserve">Carrera 69# 12-70
</t>
  </si>
  <si>
    <t>interior 1 La Flora</t>
  </si>
  <si>
    <t xml:space="preserve">reynaranjito@gmail.com
</t>
  </si>
  <si>
    <t xml:space="preserve">Cra 5A # 108A - 55
</t>
  </si>
  <si>
    <t xml:space="preserve">silladeruedas1@gmail.com
</t>
  </si>
  <si>
    <t xml:space="preserve">Carrera 4 #30-17
</t>
  </si>
  <si>
    <t>Edificio Makana</t>
  </si>
  <si>
    <t xml:space="preserve">johannamaricela@gmail.com
</t>
  </si>
  <si>
    <t xml:space="preserve">Calle 152 B # 72-52
</t>
  </si>
  <si>
    <t xml:space="preserve">Tre 2 conjunto Montreal
</t>
  </si>
  <si>
    <t xml:space="preserve">rodriguez.geovanny@hotmail.com
</t>
  </si>
  <si>
    <t xml:space="preserve">Calle 109 19 80 
</t>
  </si>
  <si>
    <t xml:space="preserve">monitanavi@hotmail.com
</t>
  </si>
  <si>
    <t xml:space="preserve">Calle 121 N 3A - 20
</t>
  </si>
  <si>
    <t>TRE 1SA</t>
  </si>
  <si>
    <t xml:space="preserve">catalinavillaveces@gmail.com
</t>
  </si>
  <si>
    <t xml:space="preserve">Transversal 1A # 76-17
</t>
  </si>
  <si>
    <t>edificio Bellavista 76 Barrio Rosales</t>
  </si>
  <si>
    <t xml:space="preserve">monicardif@gmail.com
</t>
  </si>
  <si>
    <t xml:space="preserve">Cra 4 # 73-80
</t>
  </si>
  <si>
    <t xml:space="preserve">talurojasg@gmail.com
</t>
  </si>
  <si>
    <t xml:space="preserve">Carrera 19a # 103-19 
</t>
  </si>
  <si>
    <t xml:space="preserve">anacarolinapolanco@gmail.com
</t>
  </si>
  <si>
    <t xml:space="preserve">Calle 93b # 9-77
</t>
  </si>
  <si>
    <t>Camino del museo</t>
  </si>
  <si>
    <t xml:space="preserve">susiloaiza04@gmail.com
</t>
  </si>
  <si>
    <t xml:space="preserve">Calle 106A No 48-35 
</t>
  </si>
  <si>
    <t>Edf Acento, Pasadena</t>
  </si>
  <si>
    <t xml:space="preserve">angelica54339@gmail.com
</t>
  </si>
  <si>
    <t xml:space="preserve">Carrera 22# 22c- 04
</t>
  </si>
  <si>
    <t>Renova 22</t>
  </si>
  <si>
    <t xml:space="preserve">camicaru@hotmail.com
</t>
  </si>
  <si>
    <t xml:space="preserve">Calle 88 18-22
</t>
  </si>
  <si>
    <t xml:space="preserve">carlos.moreno.94@hotmail.com
</t>
  </si>
  <si>
    <t xml:space="preserve">Diagonal 40a #8-38 
</t>
  </si>
  <si>
    <t>Edif San Sebastián</t>
  </si>
  <si>
    <t xml:space="preserve">mafe.canencio@gmail.com
</t>
  </si>
  <si>
    <t xml:space="preserve">Cra 19 #131-70
</t>
  </si>
  <si>
    <t xml:space="preserve">Ed. Country plaza (blanco) 
</t>
  </si>
  <si>
    <t xml:space="preserve">saratovar95@hotmail.com
</t>
  </si>
  <si>
    <t>Carrera 4#114a-80</t>
  </si>
  <si>
    <t xml:space="preserve">Edificio Imanoa.  Barrio santa Barbara Alta
</t>
  </si>
  <si>
    <t xml:space="preserve">Laurajres@gmail.com 
</t>
  </si>
  <si>
    <t xml:space="preserve">Calle 101 #21 -12 
</t>
  </si>
  <si>
    <t xml:space="preserve">danielaromerodevis@gmail.com
</t>
  </si>
  <si>
    <t xml:space="preserve">Carrera 7D# 127c-87 Apto 502
</t>
  </si>
  <si>
    <t xml:space="preserve">mflm81@hotmail.com
</t>
  </si>
  <si>
    <t xml:space="preserve">Calle 70A #9-57
</t>
  </si>
  <si>
    <t xml:space="preserve">nicolleyapur1@gmail.com
</t>
  </si>
  <si>
    <t xml:space="preserve">TV 20 # 2b-29
</t>
  </si>
  <si>
    <t xml:space="preserve"> NO hay timbre, llamar</t>
  </si>
  <si>
    <t xml:space="preserve">wendyjdm06@gmail.com
</t>
  </si>
  <si>
    <t xml:space="preserve">Luis Felipe Milanés Reyes
</t>
  </si>
  <si>
    <t xml:space="preserve">Cra 14A #118A-26 
</t>
  </si>
  <si>
    <t xml:space="preserve">milanesplastic@yahoo.com
</t>
  </si>
  <si>
    <t xml:space="preserve">Calle 121 #3a-20
</t>
  </si>
  <si>
    <t>terraza 3 torre c norte</t>
  </si>
  <si>
    <t xml:space="preserve">cbazzani26@gmail.com
</t>
  </si>
  <si>
    <t xml:space="preserve">Carrera 14b No 106-92
</t>
  </si>
  <si>
    <t xml:space="preserve">machuret.melisa@gmail.com
</t>
  </si>
  <si>
    <t xml:space="preserve">Cra 21#104-24 
</t>
  </si>
  <si>
    <t>Cll 145 # 7a-40,</t>
  </si>
  <si>
    <t>conjunto bosque de acacias</t>
  </si>
  <si>
    <t xml:space="preserve">cll 76 #8-56 </t>
  </si>
  <si>
    <t>carolina.benedetti@gmail.com</t>
  </si>
  <si>
    <t>Carrera 1 no. 70-75</t>
  </si>
  <si>
    <t xml:space="preserve">mjborrero@hotmail.com
</t>
  </si>
  <si>
    <t xml:space="preserve">Carrera 6 # 127 b 18 </t>
  </si>
  <si>
    <t>lorenabarandica@hotmail.com</t>
  </si>
  <si>
    <t xml:space="preserve">Carrera 1 Este No 70A 21
</t>
  </si>
  <si>
    <t xml:space="preserve">aledevalde@gmail.com
</t>
  </si>
  <si>
    <t>Carrera 11 #117- 23</t>
  </si>
  <si>
    <t xml:space="preserve">leidynka@gmail.com
</t>
  </si>
  <si>
    <t xml:space="preserve">Calle 152 b# 72- 91
</t>
  </si>
  <si>
    <t xml:space="preserve">maab.22@hotmail.com
</t>
  </si>
  <si>
    <t xml:space="preserve">CL 126A #7C- 37
</t>
  </si>
  <si>
    <t xml:space="preserve">jsmontoyab@outlook.com
</t>
  </si>
  <si>
    <t xml:space="preserve">Calle 93a # 9-88
</t>
  </si>
  <si>
    <t xml:space="preserve">Edificio Soho 93
</t>
  </si>
  <si>
    <t xml:space="preserve">carolinalaverde@hotmail.com
</t>
  </si>
  <si>
    <t xml:space="preserve">Carrera 19a #105 - 51
</t>
  </si>
  <si>
    <t xml:space="preserve">nataliadiazlopez@yahoo.com
</t>
  </si>
  <si>
    <t xml:space="preserve">Calle 127a # 14-60
</t>
  </si>
  <si>
    <t xml:space="preserve">ngc_7@hotmail.com
</t>
  </si>
  <si>
    <t xml:space="preserve">Av paseo los ZIPAS # 27-102
</t>
  </si>
  <si>
    <t>IDIFICIO SANTAANA</t>
  </si>
  <si>
    <t xml:space="preserve">nanapombokling@gmail.com
</t>
  </si>
  <si>
    <t>Calle 127A # 11B-79</t>
  </si>
  <si>
    <t>acruge@gmail.com</t>
  </si>
  <si>
    <t xml:space="preserve">Calle 93bis No 20-46 
</t>
  </si>
  <si>
    <t xml:space="preserve">camisierra19@gmail.com
</t>
  </si>
  <si>
    <t xml:space="preserve">Carrera 16 #88- 6
</t>
  </si>
  <si>
    <t xml:space="preserve">natybarco@hotmail.com
</t>
  </si>
  <si>
    <t>Transversal 5 # 87-59</t>
  </si>
  <si>
    <t>Edificio Attiko</t>
  </si>
  <si>
    <t>lalarealus@yahoo.com</t>
  </si>
  <si>
    <t xml:space="preserve">Carrera 14 #127- 46
</t>
  </si>
  <si>
    <t xml:space="preserve">kathy.garcia.ibarra@gmail.com
</t>
  </si>
  <si>
    <t xml:space="preserve">calle 108 No 14- 88
</t>
  </si>
  <si>
    <t xml:space="preserve">dianaadradac@gmail.com
</t>
  </si>
  <si>
    <t xml:space="preserve">Calle 101 # 20-47
</t>
  </si>
  <si>
    <t xml:space="preserve">ligia.jacome@gmail.com
</t>
  </si>
  <si>
    <t xml:space="preserve">cra 8 # 127 C -75
</t>
  </si>
  <si>
    <t xml:space="preserve">ana.parrat@hotmail.com
</t>
  </si>
  <si>
    <t xml:space="preserve">Carrera 11 b # 123-19
</t>
  </si>
  <si>
    <t xml:space="preserve">marcelabetancourtc@hotmail.com
</t>
  </si>
  <si>
    <t xml:space="preserve">Carrera 9 # 95-34
</t>
  </si>
  <si>
    <t xml:space="preserve">mariandreaduque@gmail.com
</t>
  </si>
  <si>
    <t xml:space="preserve">Carrera 19 #89- 16 
</t>
  </si>
  <si>
    <t xml:space="preserve">cataruge3@gmail.com
</t>
  </si>
  <si>
    <t xml:space="preserve">Calle 95#9a-57
</t>
  </si>
  <si>
    <t xml:space="preserve">juanchomatallana@hotmail.com
</t>
  </si>
  <si>
    <t>Carrera 46 #187- 30</t>
  </si>
  <si>
    <t>INTE 8</t>
  </si>
  <si>
    <t xml:space="preserve">adriana.agudelo89@gmail.com
</t>
  </si>
  <si>
    <t>Cra 10# 82-35</t>
  </si>
  <si>
    <t>Mearangop@gmail.com</t>
  </si>
  <si>
    <t xml:space="preserve">Calle 131# 19- 72 
</t>
  </si>
  <si>
    <t>Edificio Torres de Jannan</t>
  </si>
  <si>
    <t xml:space="preserve">dianisrami29@gmail.com
</t>
  </si>
  <si>
    <t>CRA  1 # 68-01.</t>
  </si>
  <si>
    <t xml:space="preserve">estevarela28@gmail.com
</t>
  </si>
  <si>
    <t xml:space="preserve">Calle 100#7-45
</t>
  </si>
  <si>
    <t>Ed. La Gran Via</t>
  </si>
  <si>
    <t xml:space="preserve">Erikadebedout@gmail.com
</t>
  </si>
  <si>
    <t>Avenida Calle 100 #11B-41</t>
  </si>
  <si>
    <t xml:space="preserve">karengmendoza@hotmail.com
</t>
  </si>
  <si>
    <t xml:space="preserve">Calle 109 # 11 - 55
</t>
  </si>
  <si>
    <t>edificio Oasis del Mochuelo</t>
  </si>
  <si>
    <t xml:space="preserve">catoga83@hotmail.com
</t>
  </si>
  <si>
    <t>Calle 92 # 16-30.</t>
  </si>
  <si>
    <t xml:space="preserve">marioarellano@hotmail.com
</t>
  </si>
  <si>
    <t>Cra. 21 #127d-79</t>
  </si>
  <si>
    <t xml:space="preserve">incategorias@gmail.com
</t>
  </si>
  <si>
    <t xml:space="preserve">CRA 3d #54a- 58
</t>
  </si>
  <si>
    <t>Edificio Commune 54</t>
  </si>
  <si>
    <t xml:space="preserve">chrisgara4@gmail.com
</t>
  </si>
  <si>
    <t>Calle 147A # 54-21</t>
  </si>
  <si>
    <t>multifamiliares santa helena bloque 1</t>
  </si>
  <si>
    <t xml:space="preserve">Ximena Ospina( Alfonso Tejada)
</t>
  </si>
  <si>
    <t xml:space="preserve">Carrera 19A #104-62
</t>
  </si>
  <si>
    <t xml:space="preserve">Cra 73 #152b- 65 
</t>
  </si>
  <si>
    <t xml:space="preserve">TRE 1 Conjunto residencial ebano veramonte  Colina campestre 
</t>
  </si>
  <si>
    <t xml:space="preserve">Jr.mco77@gmail.com 
</t>
  </si>
  <si>
    <t xml:space="preserve">Cra. 69d #24a - 81 </t>
  </si>
  <si>
    <t xml:space="preserve">Lisethdallan@gmail.com 
</t>
  </si>
  <si>
    <t xml:space="preserve">Calle 78 5-50 </t>
  </si>
  <si>
    <t>CRA  4 # 74-52</t>
  </si>
  <si>
    <t xml:space="preserve">anitagiraldo24@gmail.com
</t>
  </si>
  <si>
    <t xml:space="preserve">Chia Hacienda Fontanar conjunto Sauce 
</t>
  </si>
  <si>
    <t xml:space="preserve">colorbluefactory@hotmail.com
</t>
  </si>
  <si>
    <t>Calle 98 no. 9A-41,</t>
  </si>
  <si>
    <t>edificio AB Proyectos,</t>
  </si>
  <si>
    <t>novackova.pet@gmail.com</t>
  </si>
  <si>
    <t xml:space="preserve">Calle 39 bis #29 - 39
</t>
  </si>
  <si>
    <t>Barrio La soledad</t>
  </si>
  <si>
    <t>Edith.carrillo@gmail.com</t>
  </si>
  <si>
    <t>Cra 58a # 127-30 jardines san tel mo</t>
  </si>
  <si>
    <t>Calle 56 # 54-31</t>
  </si>
  <si>
    <t xml:space="preserve">Bloque B7
</t>
  </si>
  <si>
    <t>Aleja.germano@gmail.com</t>
  </si>
  <si>
    <t xml:space="preserve">Cra 19A # 85-78 
</t>
  </si>
  <si>
    <t xml:space="preserve">M.camachoarchila@gmail.com
</t>
  </si>
  <si>
    <t xml:space="preserve">calle 94a-16-29 </t>
  </si>
  <si>
    <t>zorajurin&amp;icloudiCloud.com</t>
  </si>
  <si>
    <t xml:space="preserve">Cra 9C # 121-53
</t>
  </si>
  <si>
    <t>Tre A</t>
  </si>
  <si>
    <t xml:space="preserve">Carrera 18a #103a-30 
</t>
  </si>
  <si>
    <t>Edificio Elitis</t>
  </si>
  <si>
    <t xml:space="preserve">santolosada@gmail.com
</t>
  </si>
  <si>
    <t xml:space="preserve">Calle 87#15-35
</t>
  </si>
  <si>
    <t xml:space="preserve">catalopmacia@gmail.com
</t>
  </si>
  <si>
    <t>Carrera 4 #74-52</t>
  </si>
  <si>
    <t>Dp.diaz950@gmail.com</t>
  </si>
  <si>
    <t>Calle 127 C Bis # 7 - 20</t>
  </si>
  <si>
    <t>TRE 3 Edificio Coramar</t>
  </si>
  <si>
    <t xml:space="preserve">Barrio: Bella Suiza
</t>
  </si>
  <si>
    <t xml:space="preserve">duduflecas@gmail.com
</t>
  </si>
  <si>
    <t>Calle 151#11-62</t>
  </si>
  <si>
    <t>INTER 1 conjunto el roble</t>
  </si>
  <si>
    <t xml:space="preserve">cnr.4973@gmail.com
</t>
  </si>
  <si>
    <t xml:space="preserve">Carrera 53a # 127-30 Apto 908, T3
</t>
  </si>
  <si>
    <t xml:space="preserve">alejaramirez02@gmail.com
</t>
  </si>
  <si>
    <t xml:space="preserve">Francina Izquierdo
</t>
  </si>
  <si>
    <t xml:space="preserve">Calle 121 # 3a - 20 torre b apto 103 cerros de los alpes 
</t>
  </si>
  <si>
    <t xml:space="preserve">francinaizquierdo@gmail.com
</t>
  </si>
  <si>
    <t xml:space="preserve">Margarita Peñaloza
</t>
  </si>
  <si>
    <t xml:space="preserve">Calle 31 # 13 a 51 torre 2 apro 407 edificio Panorama 
</t>
  </si>
  <si>
    <t>315​​3413537</t>
  </si>
  <si>
    <t>Ángela Sarmiento Duque</t>
  </si>
  <si>
    <t>Carrrera 21No 94-27</t>
  </si>
  <si>
    <t>angelamm841@gmail.com</t>
  </si>
  <si>
    <t>Cr. 15 A # 106 - 41</t>
  </si>
  <si>
    <t>echeverryvictoria@gmail.com</t>
  </si>
  <si>
    <t>Natalia Fernández López</t>
  </si>
  <si>
    <t>Cr. 3 # 74 - 39</t>
  </si>
  <si>
    <t>natisfernandez.91@gmail.com</t>
  </si>
  <si>
    <t>Alberto Carreño</t>
  </si>
  <si>
    <t>Cr. 19 A # 85 -31</t>
  </si>
  <si>
    <t>901495151-6</t>
  </si>
  <si>
    <t>Andrea Duran</t>
  </si>
  <si>
    <t>Cr. 16 # 127 - 17</t>
  </si>
  <si>
    <t>Aduranpri@gmail.com</t>
  </si>
  <si>
    <t xml:space="preserve"> av calle 147 15 41 ap 208</t>
  </si>
  <si>
    <t xml:space="preserve">Natalia Rosero Acosta </t>
  </si>
  <si>
    <t>Calle 100 #64-51 Torre 1 Apto 601 Conjunto Residencial Altavista</t>
  </si>
  <si>
    <t>Claudia Camacho</t>
  </si>
  <si>
    <t xml:space="preserve">Cra 3d # 91a-04 Apto 701
</t>
  </si>
  <si>
    <t>Claudiacamachoc@gmail.com</t>
  </si>
  <si>
    <t>Angelica Muñoz</t>
  </si>
  <si>
    <t xml:space="preserve">Cra. 11 # 118-87 Apto. 506
</t>
  </si>
  <si>
    <t xml:space="preserve">angelicam84@hotmail.com
</t>
  </si>
  <si>
    <t>Carlos Nuñez</t>
  </si>
  <si>
    <t>Cr. 45 A # 123-21</t>
  </si>
  <si>
    <t>Edf. Alameda del Batán</t>
  </si>
  <si>
    <t>Carlosanb@gmail.com</t>
  </si>
  <si>
    <t>Ana María Guzmán Ortíz</t>
  </si>
  <si>
    <t>Cr. 12 # 145 A-39</t>
  </si>
  <si>
    <t>Anaguzman.ortiz@gmail.com</t>
  </si>
  <si>
    <t>Cl. 110 A # 6-07</t>
  </si>
  <si>
    <t>Jeannette Vélez</t>
  </si>
  <si>
    <t>Cr 7 # 89-10</t>
  </si>
  <si>
    <t>jevelez00@gmail.com</t>
  </si>
  <si>
    <t>Adriana Lucía Guzmán Quintero</t>
  </si>
  <si>
    <t>Cr. 65 # 169 A-55</t>
  </si>
  <si>
    <t>adrianaguzmanq@mail.com</t>
  </si>
  <si>
    <t>Jeniffer Paola Soto Ramírez</t>
  </si>
  <si>
    <t>Cr. 78 B # 1-05</t>
  </si>
  <si>
    <t>jeniffer.psr@gmail.com</t>
  </si>
  <si>
    <t>Gladys Salive</t>
  </si>
  <si>
    <t>Cr. 18 # 89-13</t>
  </si>
  <si>
    <t>Conj Claros del Bosque</t>
  </si>
  <si>
    <t>gladyssalive@yahoo.com</t>
  </si>
  <si>
    <t>Venta Mostrador</t>
  </si>
  <si>
    <t>Clara María Corzo Delgado</t>
  </si>
  <si>
    <t xml:space="preserve">Calle 65 No. 2-40 Apto 301 Edificio Del Cerro
</t>
  </si>
  <si>
    <t xml:space="preserve">clara_corzo@yahoo.com
</t>
  </si>
  <si>
    <t xml:space="preserve">Juanita Pizano
</t>
  </si>
  <si>
    <t xml:space="preserve">Calle 74# 10- 33 apt  710 
</t>
  </si>
  <si>
    <t xml:space="preserve">juanitapizanop@gmail.com
</t>
  </si>
  <si>
    <t>Stefany Valencia</t>
  </si>
  <si>
    <t xml:space="preserve">Cra58#134a-52 Bloque1 apto 405
</t>
  </si>
  <si>
    <t xml:space="preserve">stefanyvalenciar@gmail.com
</t>
  </si>
  <si>
    <t xml:space="preserve">María Carolina Londoño Domínguez
</t>
  </si>
  <si>
    <t xml:space="preserve">calle 64 # 1-15 Torre 5 Apato 10-02 Kandinsky
</t>
  </si>
  <si>
    <t xml:space="preserve">carolinalondonod@gmail.com
</t>
  </si>
  <si>
    <t>Auraligia Salazar Arteaga</t>
  </si>
  <si>
    <t xml:space="preserve">Calle 113 #55-52 apto 103
</t>
  </si>
  <si>
    <t xml:space="preserve">auraligiasalazar@gmail.com
</t>
  </si>
  <si>
    <t xml:space="preserve">CLL 16f 99 59 T4 
</t>
  </si>
  <si>
    <t>claudialorenacarvajal@hotmail.com</t>
  </si>
  <si>
    <t>Pamela Fonrodona</t>
  </si>
  <si>
    <t>Cl. 111 # 7 C- 10</t>
  </si>
  <si>
    <t>Tr.8</t>
  </si>
  <si>
    <t>pamela_fonrodona@gmail.com</t>
  </si>
  <si>
    <t>Catalina Concha</t>
  </si>
  <si>
    <t>Cr.  1 # 74-28</t>
  </si>
  <si>
    <t>catacocha24@gmail.com</t>
  </si>
  <si>
    <t>Claudia Acero</t>
  </si>
  <si>
    <t>Av. Boyaca # 56 A-37</t>
  </si>
  <si>
    <t>Bloque 7</t>
  </si>
  <si>
    <t>macero@hotmail.com</t>
  </si>
  <si>
    <t xml:space="preserve">Cra 2 este # 70-19aPT  304
</t>
  </si>
  <si>
    <t>catalinallanoparra@gmail.com</t>
  </si>
  <si>
    <t xml:space="preserve">Cl. 90 # 7 A-57 </t>
  </si>
  <si>
    <t>delucaeleonoragmail.com</t>
  </si>
  <si>
    <t>María Camila Romero Casallas</t>
  </si>
  <si>
    <t xml:space="preserve">Calle 117D # 58-50 Torre 1 apto 903 Bali, Lagos de Córdoba </t>
  </si>
  <si>
    <t>Mariacamila_03@hotmail.com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</si>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</sst>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&quot;$&quot;#,##0"/>
    <numFmt numFmtId="165" formatCode="dd/mm/yyyy"/>
    <numFmt numFmtId="166" formatCode="&quot;$&quot;#,##0.00"/>
    <numFmt numFmtId="167" formatCode="d/mm/yyyy"/>
    <numFmt numFmtId="168" formatCode="0.0%"/>
    <numFmt numFmtId="169" formatCode="d/m/yyyy"/>
    <numFmt numFmtId="170" formatCode="mmmm\ yyyy"/>
    <numFmt numFmtId="171" formatCode="m\-yyyy"/>
    <numFmt numFmtId="172" formatCode="_(&quot;$&quot;* #,##0_);_(&quot;$&quot;* \(#,##0\);_(&quot;$&quot;* &quot;-&quot;_);_(@_)"/>
    <numFmt numFmtId="173" formatCode="d\-m"/>
  </numFmts>
  <fonts count="48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System-ui"/>
    </font>
    <font>
      <sz val="11"/>
      <color rgb="FF303030"/>
      <name val="Inter"/>
    </font>
    <font>
      <sz val="10"/>
      <color rgb="FF303030"/>
      <name val="Inter"/>
    </font>
    <font>
      <sz val="11"/>
      <color rgb="FFFFFFFF"/>
      <name val="Roboto"/>
    </font>
    <font>
      <b/>
      <sz val="11"/>
      <color rgb="FFFFFFFF"/>
      <name val="Roboto"/>
    </font>
    <font>
      <b/>
      <sz val="11"/>
      <color theme="1"/>
      <name val="Arial"/>
      <family val="2"/>
    </font>
    <font>
      <sz val="11"/>
      <color rgb="FF434343"/>
      <name val="Roboto"/>
    </font>
    <font>
      <b/>
      <sz val="11"/>
      <color rgb="FF434343"/>
      <name val="Roboto"/>
    </font>
    <font>
      <sz val="10"/>
      <color rgb="FF434343"/>
      <name val="Roboto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1"/>
      <color rgb="FF434343"/>
      <name val="Arial"/>
      <family val="2"/>
    </font>
    <font>
      <sz val="11"/>
      <color theme="1"/>
      <name val="Inter"/>
    </font>
    <font>
      <b/>
      <sz val="10"/>
      <color theme="1"/>
      <name val="Arial"/>
      <family val="2"/>
      <scheme val="minor"/>
    </font>
    <font>
      <b/>
      <sz val="19"/>
      <color theme="1"/>
      <name val="Arial"/>
      <family val="2"/>
      <scheme val="minor"/>
    </font>
    <font>
      <b/>
      <sz val="24"/>
      <color rgb="FF38761D"/>
      <name val="Arial"/>
      <family val="2"/>
      <scheme val="minor"/>
    </font>
    <font>
      <b/>
      <sz val="12"/>
      <color theme="1"/>
      <name val="Calibri"/>
      <family val="2"/>
    </font>
    <font>
      <sz val="12"/>
      <color rgb="FFFFFF00"/>
      <name val="Calibri"/>
      <family val="2"/>
    </font>
    <font>
      <sz val="12"/>
      <color rgb="FFFF0000"/>
      <name val="Calibri"/>
      <family val="2"/>
    </font>
    <font>
      <sz val="12"/>
      <color rgb="FF777777"/>
      <name val="Calibri"/>
      <family val="2"/>
    </font>
    <font>
      <b/>
      <sz val="15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303030"/>
      <name val="Inter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FFFF00"/>
      <name val="Calibri"/>
      <family val="2"/>
    </font>
    <font>
      <sz val="10"/>
      <color rgb="FF777777"/>
      <name val="Calibri"/>
      <family val="2"/>
    </font>
    <font>
      <b/>
      <sz val="10"/>
      <color rgb="FF000000"/>
      <name val="Calibri"/>
      <family val="2"/>
    </font>
    <font>
      <sz val="10"/>
      <color rgb="FF303030"/>
      <name val="Calibri"/>
      <family val="2"/>
    </font>
    <font>
      <sz val="10"/>
      <color rgb="FF303030"/>
      <name val="Arial"/>
      <family val="2"/>
      <scheme val="minor"/>
    </font>
    <font>
      <b/>
      <sz val="10"/>
      <color rgb="FF303030"/>
      <name val="Arial"/>
      <family val="2"/>
      <scheme val="minor"/>
    </font>
    <font>
      <i/>
      <sz val="12"/>
      <color theme="1"/>
      <name val="Calibri"/>
      <family val="2"/>
    </font>
    <font>
      <u/>
      <sz val="10"/>
      <color theme="1"/>
      <name val="Calibri"/>
      <family val="2"/>
    </font>
    <font>
      <sz val="10"/>
      <color rgb="FF000000"/>
      <name val="Calibri, sans-serif"/>
    </font>
    <font>
      <b/>
      <sz val="10"/>
      <color rgb="FF000000"/>
      <name val="Calibri, sans-serif"/>
    </font>
  </fonts>
  <fills count="3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1155CC"/>
        <bgColor rgb="FF1155CC"/>
      </patternFill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FFFF00"/>
        <bgColor rgb="FFFFFF00"/>
      </patternFill>
    </fill>
    <fill>
      <patternFill patternType="solid">
        <fgColor rgb="FF9B3642"/>
        <bgColor rgb="FF9B3642"/>
      </patternFill>
    </fill>
    <fill>
      <patternFill patternType="solid">
        <fgColor rgb="FFC27BA0"/>
        <bgColor rgb="FFC27BA0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1F1F1"/>
        <bgColor rgb="FFF1F1F1"/>
      </patternFill>
    </fill>
    <fill>
      <patternFill patternType="solid">
        <fgColor rgb="FFE06666"/>
        <bgColor rgb="FFE06666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CC0000"/>
        <bgColor rgb="FFCC0000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3" fillId="0" borderId="1" xfId="0" applyFont="1" applyBorder="1"/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2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5" fillId="7" borderId="0" xfId="0" applyFont="1" applyFill="1"/>
    <xf numFmtId="0" fontId="5" fillId="0" borderId="0" xfId="0" applyFont="1" applyAlignment="1">
      <alignment horizontal="right"/>
    </xf>
    <xf numFmtId="167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3" fontId="5" fillId="8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5" fillId="3" borderId="0" xfId="0" applyFont="1" applyFill="1"/>
    <xf numFmtId="0" fontId="5" fillId="0" borderId="0" xfId="0" applyFont="1"/>
    <xf numFmtId="165" fontId="5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9" fontId="5" fillId="0" borderId="0" xfId="0" applyNumberFormat="1" applyFont="1" applyAlignment="1">
      <alignment horizontal="right"/>
    </xf>
    <xf numFmtId="167" fontId="6" fillId="0" borderId="0" xfId="0" applyNumberFormat="1" applyFont="1"/>
    <xf numFmtId="0" fontId="6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3" fontId="6" fillId="8" borderId="0" xfId="0" applyNumberFormat="1" applyFont="1" applyFill="1" applyAlignment="1">
      <alignment horizontal="center"/>
    </xf>
    <xf numFmtId="0" fontId="6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9" borderId="0" xfId="0" applyFont="1" applyFill="1"/>
    <xf numFmtId="165" fontId="6" fillId="0" borderId="0" xfId="0" applyNumberFormat="1" applyFont="1" applyAlignment="1">
      <alignment horizontal="center"/>
    </xf>
    <xf numFmtId="0" fontId="6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167" fontId="6" fillId="10" borderId="0" xfId="0" applyNumberFormat="1" applyFont="1" applyFill="1" applyAlignment="1">
      <alignment horizontal="right"/>
    </xf>
    <xf numFmtId="167" fontId="6" fillId="10" borderId="0" xfId="0" applyNumberFormat="1" applyFont="1" applyFill="1" applyAlignment="1">
      <alignment horizontal="center"/>
    </xf>
    <xf numFmtId="3" fontId="6" fillId="10" borderId="0" xfId="0" applyNumberFormat="1" applyFont="1" applyFill="1" applyAlignment="1">
      <alignment horizontal="center"/>
    </xf>
    <xf numFmtId="3" fontId="5" fillId="10" borderId="0" xfId="0" applyNumberFormat="1" applyFont="1" applyFill="1" applyAlignment="1">
      <alignment horizontal="center"/>
    </xf>
    <xf numFmtId="168" fontId="5" fillId="10" borderId="0" xfId="0" applyNumberFormat="1" applyFont="1" applyFill="1" applyAlignment="1">
      <alignment horizontal="center"/>
    </xf>
    <xf numFmtId="170" fontId="6" fillId="10" borderId="0" xfId="0" applyNumberFormat="1" applyFont="1" applyFill="1"/>
    <xf numFmtId="0" fontId="6" fillId="10" borderId="0" xfId="0" applyFont="1" applyFill="1"/>
    <xf numFmtId="0" fontId="6" fillId="11" borderId="0" xfId="0" applyFont="1" applyFill="1" applyAlignment="1">
      <alignment horizontal="center"/>
    </xf>
    <xf numFmtId="0" fontId="6" fillId="11" borderId="0" xfId="0" applyFont="1" applyFill="1" applyAlignment="1">
      <alignment horizontal="right"/>
    </xf>
    <xf numFmtId="167" fontId="6" fillId="11" borderId="0" xfId="0" applyNumberFormat="1" applyFont="1" applyFill="1" applyAlignment="1">
      <alignment horizontal="right"/>
    </xf>
    <xf numFmtId="167" fontId="6" fillId="11" borderId="0" xfId="0" applyNumberFormat="1" applyFont="1" applyFill="1" applyAlignment="1">
      <alignment horizontal="center"/>
    </xf>
    <xf numFmtId="3" fontId="6" fillId="11" borderId="0" xfId="0" applyNumberFormat="1" applyFont="1" applyFill="1" applyAlignment="1">
      <alignment horizontal="center"/>
    </xf>
    <xf numFmtId="3" fontId="5" fillId="11" borderId="0" xfId="0" applyNumberFormat="1" applyFont="1" applyFill="1" applyAlignment="1">
      <alignment horizontal="center"/>
    </xf>
    <xf numFmtId="168" fontId="5" fillId="11" borderId="0" xfId="0" applyNumberFormat="1" applyFont="1" applyFill="1" applyAlignment="1">
      <alignment horizontal="center"/>
    </xf>
    <xf numFmtId="0" fontId="6" fillId="11" borderId="0" xfId="0" applyFont="1" applyFill="1"/>
    <xf numFmtId="169" fontId="6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right"/>
    </xf>
    <xf numFmtId="167" fontId="6" fillId="6" borderId="0" xfId="0" applyNumberFormat="1" applyFont="1" applyFill="1" applyAlignment="1">
      <alignment horizontal="right"/>
    </xf>
    <xf numFmtId="167" fontId="6" fillId="6" borderId="0" xfId="0" applyNumberFormat="1" applyFont="1" applyFill="1" applyAlignment="1">
      <alignment horizontal="center"/>
    </xf>
    <xf numFmtId="3" fontId="6" fillId="6" borderId="0" xfId="0" applyNumberFormat="1" applyFont="1" applyFill="1" applyAlignment="1">
      <alignment horizontal="center"/>
    </xf>
    <xf numFmtId="3" fontId="5" fillId="6" borderId="0" xfId="0" applyNumberFormat="1" applyFont="1" applyFill="1" applyAlignment="1">
      <alignment horizontal="center"/>
    </xf>
    <xf numFmtId="168" fontId="5" fillId="6" borderId="0" xfId="0" applyNumberFormat="1" applyFont="1" applyFill="1" applyAlignment="1">
      <alignment horizontal="center"/>
    </xf>
    <xf numFmtId="0" fontId="6" fillId="6" borderId="0" xfId="0" applyFont="1" applyFill="1"/>
    <xf numFmtId="0" fontId="6" fillId="12" borderId="0" xfId="0" applyFont="1" applyFill="1" applyAlignment="1">
      <alignment horizontal="center"/>
    </xf>
    <xf numFmtId="0" fontId="6" fillId="12" borderId="0" xfId="0" applyFont="1" applyFill="1" applyAlignment="1">
      <alignment horizontal="right"/>
    </xf>
    <xf numFmtId="167" fontId="6" fillId="12" borderId="0" xfId="0" applyNumberFormat="1" applyFont="1" applyFill="1" applyAlignment="1">
      <alignment horizontal="right"/>
    </xf>
    <xf numFmtId="167" fontId="6" fillId="12" borderId="0" xfId="0" applyNumberFormat="1" applyFont="1" applyFill="1" applyAlignment="1">
      <alignment horizontal="center"/>
    </xf>
    <xf numFmtId="3" fontId="6" fillId="12" borderId="0" xfId="0" applyNumberFormat="1" applyFont="1" applyFill="1" applyAlignment="1">
      <alignment horizontal="center"/>
    </xf>
    <xf numFmtId="3" fontId="5" fillId="12" borderId="0" xfId="0" applyNumberFormat="1" applyFont="1" applyFill="1" applyAlignment="1">
      <alignment horizontal="center"/>
    </xf>
    <xf numFmtId="168" fontId="5" fillId="12" borderId="0" xfId="0" applyNumberFormat="1" applyFont="1" applyFill="1" applyAlignment="1">
      <alignment horizontal="center"/>
    </xf>
    <xf numFmtId="0" fontId="6" fillId="12" borderId="0" xfId="0" applyFont="1" applyFill="1"/>
    <xf numFmtId="3" fontId="6" fillId="0" borderId="0" xfId="0" applyNumberFormat="1" applyFont="1" applyAlignment="1">
      <alignment horizontal="center"/>
    </xf>
    <xf numFmtId="0" fontId="6" fillId="13" borderId="0" xfId="0" applyFont="1" applyFill="1" applyAlignment="1">
      <alignment horizontal="center"/>
    </xf>
    <xf numFmtId="0" fontId="6" fillId="13" borderId="0" xfId="0" applyFont="1" applyFill="1" applyAlignment="1">
      <alignment horizontal="right"/>
    </xf>
    <xf numFmtId="167" fontId="6" fillId="13" borderId="0" xfId="0" applyNumberFormat="1" applyFont="1" applyFill="1" applyAlignment="1">
      <alignment horizontal="right"/>
    </xf>
    <xf numFmtId="167" fontId="6" fillId="13" borderId="0" xfId="0" applyNumberFormat="1" applyFont="1" applyFill="1" applyAlignment="1">
      <alignment horizontal="center"/>
    </xf>
    <xf numFmtId="3" fontId="6" fillId="13" borderId="0" xfId="0" applyNumberFormat="1" applyFont="1" applyFill="1" applyAlignment="1">
      <alignment horizontal="center"/>
    </xf>
    <xf numFmtId="3" fontId="5" fillId="13" borderId="0" xfId="0" applyNumberFormat="1" applyFont="1" applyFill="1" applyAlignment="1">
      <alignment horizontal="center"/>
    </xf>
    <xf numFmtId="168" fontId="5" fillId="13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6" fillId="14" borderId="0" xfId="0" applyFont="1" applyFill="1" applyAlignment="1">
      <alignment horizontal="right"/>
    </xf>
    <xf numFmtId="167" fontId="6" fillId="14" borderId="0" xfId="0" applyNumberFormat="1" applyFont="1" applyFill="1" applyAlignment="1">
      <alignment horizontal="right"/>
    </xf>
    <xf numFmtId="167" fontId="6" fillId="14" borderId="0" xfId="0" applyNumberFormat="1" applyFont="1" applyFill="1" applyAlignment="1">
      <alignment horizontal="center"/>
    </xf>
    <xf numFmtId="3" fontId="6" fillId="14" borderId="0" xfId="0" applyNumberFormat="1" applyFont="1" applyFill="1" applyAlignment="1">
      <alignment horizontal="center"/>
    </xf>
    <xf numFmtId="3" fontId="5" fillId="14" borderId="0" xfId="0" applyNumberFormat="1" applyFont="1" applyFill="1" applyAlignment="1">
      <alignment horizontal="center"/>
    </xf>
    <xf numFmtId="168" fontId="5" fillId="14" borderId="0" xfId="0" applyNumberFormat="1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0" xfId="0" applyFont="1" applyFill="1" applyAlignment="1">
      <alignment horizontal="right"/>
    </xf>
    <xf numFmtId="0" fontId="7" fillId="15" borderId="0" xfId="0" applyFont="1" applyFill="1" applyAlignment="1">
      <alignment horizontal="right"/>
    </xf>
    <xf numFmtId="167" fontId="6" fillId="15" borderId="0" xfId="0" applyNumberFormat="1" applyFont="1" applyFill="1" applyAlignment="1">
      <alignment horizontal="center"/>
    </xf>
    <xf numFmtId="3" fontId="6" fillId="15" borderId="0" xfId="0" applyNumberFormat="1" applyFont="1" applyFill="1" applyAlignment="1">
      <alignment horizontal="center"/>
    </xf>
    <xf numFmtId="3" fontId="5" fillId="15" borderId="0" xfId="0" applyNumberFormat="1" applyFont="1" applyFill="1" applyAlignment="1">
      <alignment horizontal="center"/>
    </xf>
    <xf numFmtId="168" fontId="5" fillId="15" borderId="0" xfId="0" applyNumberFormat="1" applyFont="1" applyFill="1" applyAlignment="1">
      <alignment horizontal="center"/>
    </xf>
    <xf numFmtId="4" fontId="6" fillId="8" borderId="0" xfId="0" applyNumberFormat="1" applyFont="1" applyFill="1"/>
    <xf numFmtId="164" fontId="6" fillId="8" borderId="0" xfId="0" applyNumberFormat="1" applyFont="1" applyFill="1"/>
    <xf numFmtId="49" fontId="2" fillId="0" borderId="1" xfId="0" applyNumberFormat="1" applyFont="1" applyBorder="1" applyAlignment="1">
      <alignment horizontal="left" vertical="center"/>
    </xf>
    <xf numFmtId="165" fontId="8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left"/>
    </xf>
    <xf numFmtId="166" fontId="8" fillId="0" borderId="1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/>
    <xf numFmtId="0" fontId="8" fillId="5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3" fontId="2" fillId="0" borderId="0" xfId="0" applyNumberFormat="1" applyFont="1"/>
    <xf numFmtId="0" fontId="8" fillId="5" borderId="0" xfId="0" applyFont="1" applyFill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166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0" fontId="11" fillId="10" borderId="1" xfId="0" applyFont="1" applyFill="1" applyBorder="1" applyAlignment="1">
      <alignment vertical="center"/>
    </xf>
    <xf numFmtId="0" fontId="11" fillId="10" borderId="0" xfId="0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3" fillId="3" borderId="1" xfId="0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vertical="center"/>
    </xf>
    <xf numFmtId="0" fontId="11" fillId="16" borderId="1" xfId="0" applyFont="1" applyFill="1" applyBorder="1" applyAlignment="1">
      <alignment vertical="center"/>
    </xf>
    <xf numFmtId="0" fontId="11" fillId="16" borderId="0" xfId="0" applyFont="1" applyFill="1" applyAlignment="1">
      <alignment vertical="center"/>
    </xf>
    <xf numFmtId="0" fontId="10" fillId="0" borderId="1" xfId="0" applyFont="1" applyBorder="1" applyAlignment="1">
      <alignment vertical="center"/>
    </xf>
    <xf numFmtId="0" fontId="13" fillId="0" borderId="1" xfId="0" applyFont="1" applyBorder="1"/>
    <xf numFmtId="0" fontId="2" fillId="10" borderId="0" xfId="0" applyFont="1" applyFill="1"/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4" fillId="3" borderId="1" xfId="0" applyFont="1" applyFill="1" applyBorder="1"/>
    <xf numFmtId="0" fontId="15" fillId="17" borderId="1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/>
    </xf>
    <xf numFmtId="49" fontId="16" fillId="17" borderId="2" xfId="0" applyNumberFormat="1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wrapText="1"/>
    </xf>
    <xf numFmtId="165" fontId="6" fillId="19" borderId="1" xfId="0" applyNumberFormat="1" applyFont="1" applyFill="1" applyBorder="1"/>
    <xf numFmtId="0" fontId="5" fillId="20" borderId="1" xfId="0" applyFont="1" applyFill="1" applyBorder="1" applyAlignment="1">
      <alignment horizontal="left" vertical="center"/>
    </xf>
    <xf numFmtId="0" fontId="4" fillId="20" borderId="0" xfId="0" applyFont="1" applyFill="1" applyAlignment="1">
      <alignment horizontal="center" vertical="center"/>
    </xf>
    <xf numFmtId="164" fontId="6" fillId="20" borderId="1" xfId="0" applyNumberFormat="1" applyFont="1" applyFill="1" applyBorder="1" applyAlignment="1">
      <alignment vertical="center"/>
    </xf>
    <xf numFmtId="0" fontId="6" fillId="20" borderId="1" xfId="0" applyFont="1" applyFill="1" applyBorder="1" applyAlignment="1">
      <alignment vertical="center"/>
    </xf>
    <xf numFmtId="164" fontId="18" fillId="20" borderId="1" xfId="0" applyNumberFormat="1" applyFont="1" applyFill="1" applyBorder="1" applyAlignment="1">
      <alignment horizontal="right" vertical="center"/>
    </xf>
    <xf numFmtId="0" fontId="6" fillId="20" borderId="1" xfId="0" applyFont="1" applyFill="1" applyBorder="1"/>
    <xf numFmtId="165" fontId="6" fillId="3" borderId="1" xfId="0" applyNumberFormat="1" applyFont="1" applyFill="1" applyBorder="1"/>
    <xf numFmtId="0" fontId="3" fillId="20" borderId="1" xfId="0" applyFont="1" applyFill="1" applyBorder="1" applyAlignment="1">
      <alignment horizontal="left"/>
    </xf>
    <xf numFmtId="0" fontId="14" fillId="20" borderId="1" xfId="0" applyFont="1" applyFill="1" applyBorder="1" applyAlignment="1">
      <alignment vertical="center"/>
    </xf>
    <xf numFmtId="164" fontId="19" fillId="20" borderId="1" xfId="0" applyNumberFormat="1" applyFont="1" applyFill="1" applyBorder="1" applyAlignment="1">
      <alignment horizontal="right" vertical="center"/>
    </xf>
    <xf numFmtId="165" fontId="6" fillId="21" borderId="1" xfId="0" applyNumberFormat="1" applyFont="1" applyFill="1" applyBorder="1"/>
    <xf numFmtId="0" fontId="14" fillId="20" borderId="0" xfId="0" applyFont="1" applyFill="1" applyAlignment="1">
      <alignment vertical="center"/>
    </xf>
    <xf numFmtId="0" fontId="2" fillId="20" borderId="1" xfId="0" applyFont="1" applyFill="1" applyBorder="1" applyAlignment="1">
      <alignment vertical="center"/>
    </xf>
    <xf numFmtId="0" fontId="14" fillId="20" borderId="1" xfId="0" applyFont="1" applyFill="1" applyBorder="1"/>
    <xf numFmtId="164" fontId="20" fillId="20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/>
    <xf numFmtId="0" fontId="21" fillId="20" borderId="1" xfId="0" applyFont="1" applyFill="1" applyBorder="1" applyAlignment="1">
      <alignment horizontal="left" vertical="center"/>
    </xf>
    <xf numFmtId="0" fontId="2" fillId="20" borderId="0" xfId="0" applyFont="1" applyFill="1" applyAlignment="1">
      <alignment vertical="center"/>
    </xf>
    <xf numFmtId="0" fontId="6" fillId="5" borderId="1" xfId="0" applyFont="1" applyFill="1" applyBorder="1"/>
    <xf numFmtId="0" fontId="2" fillId="0" borderId="0" xfId="0" applyFont="1"/>
    <xf numFmtId="0" fontId="22" fillId="20" borderId="0" xfId="0" applyFont="1" applyFill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vertical="center"/>
    </xf>
    <xf numFmtId="164" fontId="6" fillId="2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4" fontId="18" fillId="23" borderId="1" xfId="0" applyNumberFormat="1" applyFont="1" applyFill="1" applyBorder="1" applyAlignment="1">
      <alignment horizontal="right" vertical="center"/>
    </xf>
    <xf numFmtId="0" fontId="6" fillId="0" borderId="1" xfId="0" applyFont="1" applyBorder="1"/>
    <xf numFmtId="0" fontId="14" fillId="24" borderId="1" xfId="0" applyFont="1" applyFill="1" applyBorder="1"/>
    <xf numFmtId="0" fontId="14" fillId="24" borderId="1" xfId="0" applyFont="1" applyFill="1" applyBorder="1" applyAlignment="1">
      <alignment vertical="center"/>
    </xf>
    <xf numFmtId="0" fontId="6" fillId="19" borderId="1" xfId="0" applyFont="1" applyFill="1" applyBorder="1"/>
    <xf numFmtId="0" fontId="6" fillId="19" borderId="1" xfId="0" applyFont="1" applyFill="1" applyBorder="1" applyAlignment="1">
      <alignment vertical="center"/>
    </xf>
    <xf numFmtId="164" fontId="6" fillId="19" borderId="1" xfId="0" applyNumberFormat="1" applyFont="1" applyFill="1" applyBorder="1" applyAlignment="1">
      <alignment vertical="center"/>
    </xf>
    <xf numFmtId="164" fontId="6" fillId="3" borderId="3" xfId="0" applyNumberFormat="1" applyFont="1" applyFill="1" applyBorder="1" applyAlignment="1">
      <alignment vertical="center"/>
    </xf>
    <xf numFmtId="164" fontId="6" fillId="22" borderId="4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/>
    <xf numFmtId="164" fontId="6" fillId="19" borderId="5" xfId="0" applyNumberFormat="1" applyFont="1" applyFill="1" applyBorder="1" applyAlignment="1">
      <alignment vertical="center"/>
    </xf>
    <xf numFmtId="0" fontId="6" fillId="19" borderId="5" xfId="0" applyFont="1" applyFill="1" applyBorder="1" applyAlignment="1">
      <alignment vertical="center"/>
    </xf>
    <xf numFmtId="0" fontId="6" fillId="19" borderId="5" xfId="0" applyFont="1" applyFill="1" applyBorder="1"/>
    <xf numFmtId="164" fontId="23" fillId="23" borderId="1" xfId="0" applyNumberFormat="1" applyFont="1" applyFill="1" applyBorder="1" applyAlignment="1">
      <alignment horizontal="right"/>
    </xf>
    <xf numFmtId="4" fontId="6" fillId="19" borderId="1" xfId="0" applyNumberFormat="1" applyFont="1" applyFill="1" applyBorder="1" applyAlignment="1">
      <alignment vertical="center"/>
    </xf>
    <xf numFmtId="164" fontId="18" fillId="23" borderId="6" xfId="0" applyNumberFormat="1" applyFont="1" applyFill="1" applyBorder="1" applyAlignment="1">
      <alignment horizontal="right" vertical="center"/>
    </xf>
    <xf numFmtId="165" fontId="6" fillId="25" borderId="1" xfId="0" applyNumberFormat="1" applyFont="1" applyFill="1" applyBorder="1"/>
    <xf numFmtId="0" fontId="6" fillId="25" borderId="1" xfId="0" applyFont="1" applyFill="1" applyBorder="1"/>
    <xf numFmtId="0" fontId="6" fillId="25" borderId="1" xfId="0" applyFont="1" applyFill="1" applyBorder="1" applyAlignment="1">
      <alignment vertical="center"/>
    </xf>
    <xf numFmtId="4" fontId="6" fillId="3" borderId="1" xfId="0" applyNumberFormat="1" applyFont="1" applyFill="1" applyBorder="1" applyAlignment="1">
      <alignment vertical="center"/>
    </xf>
    <xf numFmtId="171" fontId="6" fillId="3" borderId="1" xfId="0" applyNumberFormat="1" applyFont="1" applyFill="1" applyBorder="1" applyAlignment="1">
      <alignment vertical="center"/>
    </xf>
    <xf numFmtId="171" fontId="6" fillId="19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4" fillId="3" borderId="0" xfId="0" applyFont="1" applyFill="1"/>
    <xf numFmtId="166" fontId="8" fillId="5" borderId="1" xfId="0" applyNumberFormat="1" applyFont="1" applyFill="1" applyBorder="1" applyAlignment="1">
      <alignment vertical="center"/>
    </xf>
    <xf numFmtId="165" fontId="8" fillId="3" borderId="1" xfId="0" applyNumberFormat="1" applyFont="1" applyFill="1" applyBorder="1" applyAlignment="1">
      <alignment vertical="center"/>
    </xf>
    <xf numFmtId="0" fontId="5" fillId="0" borderId="1" xfId="0" applyFont="1" applyBorder="1"/>
    <xf numFmtId="0" fontId="14" fillId="3" borderId="0" xfId="0" applyFont="1" applyFill="1" applyAlignment="1">
      <alignment vertical="center"/>
    </xf>
    <xf numFmtId="0" fontId="10" fillId="0" borderId="1" xfId="0" applyFont="1" applyBorder="1" applyAlignment="1">
      <alignment horizontal="left"/>
    </xf>
    <xf numFmtId="0" fontId="24" fillId="0" borderId="1" xfId="0" applyFont="1" applyBorder="1" applyAlignment="1">
      <alignment vertical="center"/>
    </xf>
    <xf numFmtId="164" fontId="10" fillId="0" borderId="1" xfId="0" applyNumberFormat="1" applyFont="1" applyBorder="1" applyAlignment="1">
      <alignment horizontal="center" vertical="center"/>
    </xf>
    <xf numFmtId="0" fontId="5" fillId="26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8" fillId="16" borderId="1" xfId="0" applyNumberFormat="1" applyFont="1" applyFill="1" applyBorder="1" applyAlignment="1">
      <alignment vertical="center"/>
    </xf>
    <xf numFmtId="0" fontId="3" fillId="16" borderId="1" xfId="0" applyFont="1" applyFill="1" applyBorder="1" applyAlignment="1">
      <alignment horizontal="left"/>
    </xf>
    <xf numFmtId="0" fontId="4" fillId="16" borderId="0" xfId="0" applyFont="1" applyFill="1" applyAlignment="1">
      <alignment horizontal="center" vertical="center"/>
    </xf>
    <xf numFmtId="164" fontId="8" fillId="16" borderId="1" xfId="0" applyNumberFormat="1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24" fillId="0" borderId="1" xfId="0" applyFont="1" applyBorder="1"/>
    <xf numFmtId="166" fontId="11" fillId="5" borderId="1" xfId="0" applyNumberFormat="1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166" fontId="2" fillId="5" borderId="1" xfId="0" applyNumberFormat="1" applyFont="1" applyFill="1" applyBorder="1" applyAlignment="1">
      <alignment vertical="center"/>
    </xf>
    <xf numFmtId="0" fontId="25" fillId="0" borderId="0" xfId="0" applyFont="1"/>
    <xf numFmtId="166" fontId="2" fillId="0" borderId="0" xfId="0" applyNumberFormat="1" applyFont="1" applyAlignment="1">
      <alignment vertical="center"/>
    </xf>
    <xf numFmtId="165" fontId="2" fillId="18" borderId="1" xfId="0" applyNumberFormat="1" applyFont="1" applyFill="1" applyBorder="1" applyAlignment="1">
      <alignment vertical="center"/>
    </xf>
    <xf numFmtId="0" fontId="26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166" fontId="2" fillId="18" borderId="1" xfId="0" applyNumberFormat="1" applyFont="1" applyFill="1" applyBorder="1" applyAlignment="1">
      <alignment vertical="center"/>
    </xf>
    <xf numFmtId="164" fontId="2" fillId="18" borderId="1" xfId="0" applyNumberFormat="1" applyFont="1" applyFill="1" applyBorder="1" applyAlignment="1">
      <alignment vertical="center"/>
    </xf>
    <xf numFmtId="0" fontId="2" fillId="18" borderId="0" xfId="0" applyFont="1" applyFill="1" applyAlignment="1">
      <alignment vertical="center"/>
    </xf>
    <xf numFmtId="165" fontId="2" fillId="16" borderId="1" xfId="0" applyNumberFormat="1" applyFont="1" applyFill="1" applyBorder="1" applyAlignment="1">
      <alignment vertical="center"/>
    </xf>
    <xf numFmtId="0" fontId="6" fillId="27" borderId="0" xfId="0" applyFont="1" applyFill="1"/>
    <xf numFmtId="0" fontId="5" fillId="0" borderId="1" xfId="0" applyFont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5" fillId="16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vertical="center"/>
    </xf>
    <xf numFmtId="165" fontId="2" fillId="28" borderId="1" xfId="0" applyNumberFormat="1" applyFont="1" applyFill="1" applyBorder="1" applyAlignment="1">
      <alignment vertical="center"/>
    </xf>
    <xf numFmtId="0" fontId="27" fillId="5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vertical="center"/>
    </xf>
    <xf numFmtId="166" fontId="2" fillId="28" borderId="1" xfId="0" applyNumberFormat="1" applyFont="1" applyFill="1" applyBorder="1" applyAlignment="1">
      <alignment vertical="center"/>
    </xf>
    <xf numFmtId="164" fontId="2" fillId="28" borderId="1" xfId="0" applyNumberFormat="1" applyFont="1" applyFill="1" applyBorder="1" applyAlignment="1">
      <alignment vertical="center"/>
    </xf>
    <xf numFmtId="0" fontId="2" fillId="28" borderId="0" xfId="0" applyFont="1" applyFill="1" applyAlignment="1">
      <alignment vertical="center"/>
    </xf>
    <xf numFmtId="0" fontId="5" fillId="0" borderId="1" xfId="0" applyFont="1" applyBorder="1" applyAlignment="1">
      <alignment horizontal="left" vertical="top"/>
    </xf>
    <xf numFmtId="0" fontId="14" fillId="24" borderId="0" xfId="0" applyFont="1" applyFill="1" applyAlignment="1">
      <alignment vertical="center"/>
    </xf>
    <xf numFmtId="0" fontId="14" fillId="24" borderId="0" xfId="0" applyFont="1" applyFill="1"/>
    <xf numFmtId="0" fontId="14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/>
    </xf>
    <xf numFmtId="0" fontId="5" fillId="5" borderId="0" xfId="0" applyFont="1" applyFill="1" applyAlignment="1">
      <alignment horizontal="left"/>
    </xf>
    <xf numFmtId="0" fontId="28" fillId="5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right"/>
    </xf>
    <xf numFmtId="0" fontId="5" fillId="14" borderId="0" xfId="0" applyFont="1" applyFill="1" applyAlignment="1">
      <alignment horizontal="left"/>
    </xf>
    <xf numFmtId="0" fontId="5" fillId="18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29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center"/>
    </xf>
    <xf numFmtId="172" fontId="5" fillId="0" borderId="1" xfId="0" applyNumberFormat="1" applyFont="1" applyBorder="1" applyAlignment="1">
      <alignment horizontal="left"/>
    </xf>
    <xf numFmtId="0" fontId="5" fillId="1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0" fillId="0" borderId="1" xfId="0" applyFont="1" applyBorder="1" applyAlignment="1">
      <alignment horizontal="left" vertical="center"/>
    </xf>
    <xf numFmtId="0" fontId="31" fillId="3" borderId="1" xfId="0" applyFont="1" applyFill="1" applyBorder="1"/>
    <xf numFmtId="0" fontId="30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29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left" vertical="center"/>
    </xf>
    <xf numFmtId="14" fontId="3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1" borderId="1" xfId="0" applyFont="1" applyFill="1" applyBorder="1" applyAlignment="1">
      <alignment horizontal="left"/>
    </xf>
    <xf numFmtId="0" fontId="5" fillId="20" borderId="1" xfId="0" applyFont="1" applyFill="1" applyBorder="1" applyAlignment="1">
      <alignment horizontal="left"/>
    </xf>
    <xf numFmtId="0" fontId="5" fillId="16" borderId="1" xfId="0" applyFont="1" applyFill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0" fontId="5" fillId="16" borderId="1" xfId="0" applyFont="1" applyFill="1" applyBorder="1"/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/>
    <xf numFmtId="165" fontId="3" fillId="0" borderId="1" xfId="0" applyNumberFormat="1" applyFont="1" applyBorder="1" applyAlignment="1">
      <alignment horizontal="left"/>
    </xf>
    <xf numFmtId="0" fontId="28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2" fillId="16" borderId="1" xfId="0" applyFont="1" applyFill="1" applyBorder="1" applyAlignment="1">
      <alignment horizontal="center" vertical="center"/>
    </xf>
    <xf numFmtId="0" fontId="32" fillId="16" borderId="0" xfId="0" applyFont="1" applyFill="1" applyAlignment="1">
      <alignment horizontal="center" vertical="center"/>
    </xf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right"/>
    </xf>
    <xf numFmtId="165" fontId="33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0" fontId="33" fillId="26" borderId="1" xfId="0" applyFont="1" applyFill="1" applyBorder="1" applyAlignment="1">
      <alignment horizontal="left"/>
    </xf>
    <xf numFmtId="0" fontId="33" fillId="26" borderId="1" xfId="0" applyFont="1" applyFill="1" applyBorder="1" applyAlignment="1">
      <alignment horizontal="center" vertical="center"/>
    </xf>
    <xf numFmtId="0" fontId="33" fillId="26" borderId="1" xfId="0" applyFont="1" applyFill="1" applyBorder="1" applyAlignment="1">
      <alignment horizontal="left" vertical="center"/>
    </xf>
    <xf numFmtId="0" fontId="33" fillId="26" borderId="1" xfId="0" applyFont="1" applyFill="1" applyBorder="1" applyAlignment="1">
      <alignment horizontal="right"/>
    </xf>
    <xf numFmtId="165" fontId="33" fillId="26" borderId="0" xfId="0" applyNumberFormat="1" applyFont="1" applyFill="1" applyAlignment="1">
      <alignment horizontal="left"/>
    </xf>
    <xf numFmtId="0" fontId="33" fillId="26" borderId="0" xfId="0" applyFont="1" applyFill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right"/>
    </xf>
    <xf numFmtId="0" fontId="34" fillId="0" borderId="0" xfId="0" applyFont="1" applyAlignment="1">
      <alignment horizontal="left"/>
    </xf>
    <xf numFmtId="165" fontId="34" fillId="0" borderId="0" xfId="0" applyNumberFormat="1" applyFont="1" applyAlignment="1">
      <alignment horizontal="left"/>
    </xf>
    <xf numFmtId="0" fontId="35" fillId="3" borderId="1" xfId="0" applyFont="1" applyFill="1" applyBorder="1"/>
    <xf numFmtId="0" fontId="33" fillId="4" borderId="1" xfId="0" applyFont="1" applyFill="1" applyBorder="1" applyAlignment="1">
      <alignment horizontal="left"/>
    </xf>
    <xf numFmtId="0" fontId="33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right"/>
    </xf>
    <xf numFmtId="0" fontId="33" fillId="4" borderId="0" xfId="0" applyFont="1" applyFill="1" applyAlignment="1">
      <alignment horizontal="left"/>
    </xf>
    <xf numFmtId="0" fontId="36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6" fillId="4" borderId="1" xfId="0" applyFont="1" applyFill="1" applyBorder="1" applyAlignment="1">
      <alignment horizontal="left"/>
    </xf>
    <xf numFmtId="0" fontId="33" fillId="4" borderId="1" xfId="0" applyFont="1" applyFill="1" applyBorder="1"/>
    <xf numFmtId="0" fontId="33" fillId="0" borderId="1" xfId="0" applyFont="1" applyBorder="1"/>
    <xf numFmtId="0" fontId="33" fillId="0" borderId="1" xfId="0" applyFont="1" applyBorder="1" applyAlignment="1">
      <alignment vertical="center"/>
    </xf>
    <xf numFmtId="0" fontId="33" fillId="0" borderId="0" xfId="0" applyFont="1"/>
    <xf numFmtId="0" fontId="34" fillId="3" borderId="1" xfId="0" applyFont="1" applyFill="1" applyBorder="1" applyAlignment="1">
      <alignment horizontal="left"/>
    </xf>
    <xf numFmtId="0" fontId="33" fillId="5" borderId="1" xfId="0" applyFont="1" applyFill="1" applyBorder="1" applyAlignment="1">
      <alignment horizontal="left"/>
    </xf>
    <xf numFmtId="0" fontId="33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right"/>
    </xf>
    <xf numFmtId="0" fontId="33" fillId="5" borderId="0" xfId="0" applyFont="1" applyFill="1" applyAlignment="1">
      <alignment horizontal="left"/>
    </xf>
    <xf numFmtId="0" fontId="37" fillId="10" borderId="1" xfId="0" applyFont="1" applyFill="1" applyBorder="1" applyAlignment="1">
      <alignment horizontal="left" vertical="center"/>
    </xf>
    <xf numFmtId="0" fontId="38" fillId="5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left" vertical="top"/>
    </xf>
    <xf numFmtId="0" fontId="37" fillId="16" borderId="1" xfId="0" applyFont="1" applyFill="1" applyBorder="1" applyAlignment="1">
      <alignment horizontal="left" vertical="center"/>
    </xf>
    <xf numFmtId="0" fontId="39" fillId="3" borderId="1" xfId="0" applyFont="1" applyFill="1" applyBorder="1"/>
    <xf numFmtId="0" fontId="39" fillId="3" borderId="0" xfId="0" applyFont="1" applyFill="1"/>
    <xf numFmtId="0" fontId="33" fillId="0" borderId="0" xfId="0" applyFont="1" applyAlignment="1">
      <alignment horizontal="right"/>
    </xf>
    <xf numFmtId="0" fontId="33" fillId="0" borderId="1" xfId="0" applyFont="1" applyBorder="1" applyAlignment="1">
      <alignment horizontal="right" vertical="top" wrapText="1"/>
    </xf>
    <xf numFmtId="0" fontId="34" fillId="32" borderId="1" xfId="0" applyFont="1" applyFill="1" applyBorder="1"/>
    <xf numFmtId="0" fontId="34" fillId="32" borderId="0" xfId="0" applyFont="1" applyFill="1"/>
    <xf numFmtId="0" fontId="34" fillId="16" borderId="1" xfId="0" applyFont="1" applyFill="1" applyBorder="1" applyAlignment="1">
      <alignment horizontal="left"/>
    </xf>
    <xf numFmtId="0" fontId="34" fillId="10" borderId="1" xfId="0" applyFont="1" applyFill="1" applyBorder="1" applyAlignment="1">
      <alignment horizontal="left"/>
    </xf>
    <xf numFmtId="0" fontId="34" fillId="10" borderId="1" xfId="0" applyFont="1" applyFill="1" applyBorder="1" applyAlignment="1">
      <alignment horizontal="center"/>
    </xf>
    <xf numFmtId="0" fontId="34" fillId="10" borderId="1" xfId="0" applyFont="1" applyFill="1" applyBorder="1" applyAlignment="1">
      <alignment horizontal="right"/>
    </xf>
    <xf numFmtId="0" fontId="33" fillId="3" borderId="0" xfId="0" applyFont="1" applyFill="1" applyAlignment="1">
      <alignment horizontal="left"/>
    </xf>
    <xf numFmtId="0" fontId="33" fillId="3" borderId="0" xfId="0" applyFont="1" applyFill="1"/>
    <xf numFmtId="0" fontId="37" fillId="10" borderId="1" xfId="0" applyFont="1" applyFill="1" applyBorder="1" applyAlignment="1">
      <alignment horizontal="left"/>
    </xf>
    <xf numFmtId="0" fontId="34" fillId="10" borderId="0" xfId="0" applyFont="1" applyFill="1" applyAlignment="1">
      <alignment horizontal="left"/>
    </xf>
    <xf numFmtId="169" fontId="34" fillId="0" borderId="0" xfId="0" applyNumberFormat="1" applyFont="1" applyAlignment="1">
      <alignment horizontal="left"/>
    </xf>
    <xf numFmtId="0" fontId="34" fillId="16" borderId="1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right"/>
    </xf>
    <xf numFmtId="0" fontId="34" fillId="16" borderId="0" xfId="0" applyFont="1" applyFill="1" applyAlignment="1">
      <alignment horizontal="left"/>
    </xf>
    <xf numFmtId="0" fontId="40" fillId="0" borderId="1" xfId="0" applyFont="1" applyBorder="1" applyAlignment="1">
      <alignment horizontal="left"/>
    </xf>
    <xf numFmtId="0" fontId="41" fillId="3" borderId="1" xfId="0" applyFont="1" applyFill="1" applyBorder="1"/>
    <xf numFmtId="0" fontId="34" fillId="0" borderId="1" xfId="0" applyFont="1" applyBorder="1"/>
    <xf numFmtId="171" fontId="34" fillId="0" borderId="1" xfId="0" applyNumberFormat="1" applyFont="1" applyBorder="1" applyAlignment="1">
      <alignment horizontal="center"/>
    </xf>
    <xf numFmtId="0" fontId="41" fillId="3" borderId="0" xfId="0" applyFont="1" applyFill="1"/>
    <xf numFmtId="0" fontId="11" fillId="0" borderId="1" xfId="0" applyFont="1" applyBorder="1"/>
    <xf numFmtId="173" fontId="3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165" fontId="2" fillId="0" borderId="0" xfId="0" applyNumberFormat="1" applyFont="1" applyAlignment="1">
      <alignment horizontal="left"/>
    </xf>
    <xf numFmtId="165" fontId="2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26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7">
    <tableStyle name="AGOSTO 2025-style" pivot="0" count="4" xr9:uid="{00000000-0011-0000-FFFF-FFFF00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PRODUCCIÓN-style" pivot="0" count="4" xr9:uid="{00000000-0011-0000-FFFF-FFFF01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PRODUCCIÓN-style 2" pivot="0" count="2" xr9:uid="{00000000-0011-0000-FFFF-FFFF02000000}">
      <tableStyleElement type="firstRowStripe" dxfId="17"/>
      <tableStyleElement type="secondRowStripe" dxfId="16"/>
    </tableStyle>
    <tableStyle name="SEPTIEMBRE 2025-style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VENTAS NAVIDAD-style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VENTAS DAILY 2025-style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VENTAS DAILY 2026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895350</xdr:colOff>
      <xdr:row>1303</xdr:row>
      <xdr:rowOff>76200</xdr:rowOff>
    </xdr:from>
    <xdr:ext cx="200025" cy="123825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62464950" y="235737400"/>
          <a:ext cx="200025" cy="1238250"/>
          <a:chOff x="5255501" y="3208050"/>
          <a:chExt cx="180900" cy="1219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CxnSpPr/>
        </xdr:nvCxnSpPr>
        <xdr:spPr>
          <a:xfrm>
            <a:off x="5255501" y="3208050"/>
            <a:ext cx="180900" cy="12192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26</xdr:col>
      <xdr:colOff>419100</xdr:colOff>
      <xdr:row>1296</xdr:row>
      <xdr:rowOff>28575</xdr:rowOff>
    </xdr:from>
    <xdr:ext cx="200025" cy="1238250"/>
    <xdr:grpSp>
      <xdr:nvGrpSpPr>
        <xdr:cNvPr id="4" name="Shape 2" title="Dibuj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61988700" y="234267375"/>
          <a:ext cx="200025" cy="1238250"/>
          <a:chOff x="5255513" y="3170400"/>
          <a:chExt cx="180975" cy="121920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>
          <a:xfrm>
            <a:off x="5255513" y="3170400"/>
            <a:ext cx="180975" cy="12192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I58">
  <tableColumns count="9">
    <tableColumn id="1" xr3:uid="{00000000-0010-0000-0100-000001000000}" name="ver"/>
    <tableColumn id="2" xr3:uid="{00000000-0010-0000-0100-000002000000}" name="RECETA PLANEADA"/>
    <tableColumn id="3" xr3:uid="{00000000-0010-0000-0100-000003000000}" name="FECHA DE PRODUCCIÓN"/>
    <tableColumn id="4" xr3:uid="{00000000-0010-0000-0100-000004000000}" name="VIDA UTIL(DIAS) "/>
    <tableColumn id="5" xr3:uid="{00000000-0010-0000-0100-000005000000}" name="LOTE"/>
    <tableColumn id="6" xr3:uid="{00000000-0010-0000-0100-000006000000}" name="FECHA VENCIMIENTO"/>
    <tableColumn id="7" xr3:uid="{00000000-0010-0000-0100-000007000000}" name="PRODUCIDO"/>
    <tableColumn id="8" xr3:uid="{00000000-0010-0000-0100-000008000000}" name="DIFERENCIA UNIDADES"/>
    <tableColumn id="9" xr3:uid="{00000000-0010-0000-0100-000009000000}" name="RENDIMIENTO"/>
  </tableColumns>
  <tableStyleInfo name="PRODUCCIÓ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59:A65" headerRowCount="0">
  <tableColumns count="1">
    <tableColumn id="1" xr3:uid="{00000000-0010-0000-0200-000001000000}" name="Column1"/>
  </tableColumns>
  <tableStyleInfo name="PRODUCCIÓ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" displayName="Tabla" ref="A1:G515">
  <autoFilter ref="A1:G515" xr:uid="{00000000-0009-0000-0100-000004000000}"/>
  <tableColumns count="7">
    <tableColumn id="1" xr3:uid="{00000000-0010-0000-0300-000001000000}" name="30/09/2025"/>
    <tableColumn id="2" xr3:uid="{00000000-0010-0000-0300-000002000000}" name="CLIENTE"/>
    <tableColumn id="3" xr3:uid="{00000000-0010-0000-0300-000003000000}" name="# FACTURA"/>
    <tableColumn id="4" xr3:uid="{00000000-0010-0000-0300-000004000000}" name="VALOR"/>
    <tableColumn id="5" xr3:uid="{00000000-0010-0000-0300-000005000000}" name="VALOR NOTA CREDITO"/>
    <tableColumn id="6" xr3:uid="{00000000-0010-0000-0300-000006000000}" name="MEDIO DE PAGO"/>
    <tableColumn id="7" xr3:uid="{00000000-0010-0000-0300-000007000000}" name="PROVIENE CLIENTE"/>
  </tableColumns>
  <tableStyleInfo name="SEPTIEMBRE 2025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4" displayName="Tabla_4" ref="A1:G1155">
  <tableColumns count="7">
    <tableColumn id="1" xr3:uid="{00000000-0010-0000-0400-000001000000}" name="FECHA"/>
    <tableColumn id="2" xr3:uid="{00000000-0010-0000-0400-000002000000}" name="CLIENTE"/>
    <tableColumn id="3" xr3:uid="{00000000-0010-0000-0400-000003000000}" name="# FACTURA"/>
    <tableColumn id="4" xr3:uid="{00000000-0010-0000-0400-000004000000}" name="VALOR FACTURA"/>
    <tableColumn id="5" xr3:uid="{00000000-0010-0000-0400-000005000000}" name="ABONO "/>
    <tableColumn id="6" xr3:uid="{00000000-0010-0000-0400-000006000000}" name="MEDIO DE PAGO"/>
    <tableColumn id="7" xr3:uid="{00000000-0010-0000-0400-000007000000}" name="SALDO"/>
  </tableColumns>
  <tableStyleInfo name="VENTAS NAVIDAD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3" displayName="Tabla_3" ref="A1:G3989">
  <tableColumns count="7">
    <tableColumn id="1" xr3:uid="{00000000-0010-0000-0500-000001000000}" name="27/10/2025"/>
    <tableColumn id="2" xr3:uid="{00000000-0010-0000-0500-000002000000}" name="CLIENTE"/>
    <tableColumn id="3" xr3:uid="{00000000-0010-0000-0500-000003000000}" name="# FACTURA"/>
    <tableColumn id="4" xr3:uid="{00000000-0010-0000-0500-000004000000}" name="VALOR"/>
    <tableColumn id="5" xr3:uid="{00000000-0010-0000-0500-000005000000}" name="VALOR NOTA CREDITO"/>
    <tableColumn id="6" xr3:uid="{00000000-0010-0000-0500-000006000000}" name="MEDIO DE PAGO"/>
    <tableColumn id="7" xr3:uid="{00000000-0010-0000-0500-000007000000}" name="PROVIENE CLIENTE"/>
  </tableColumns>
  <tableStyleInfo name="VENTAS DAILY 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delucaeleonora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1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5.1640625" customWidth="1"/>
    <col min="2" max="2" width="17.1640625" customWidth="1"/>
    <col min="3" max="3" width="20.1640625" customWidth="1"/>
    <col min="4" max="9" width="17.1640625" customWidth="1"/>
  </cols>
  <sheetData>
    <row r="1" spans="1:29" ht="21" customHeight="1">
      <c r="A1" s="15" t="s">
        <v>175</v>
      </c>
      <c r="B1" s="16" t="s">
        <v>176</v>
      </c>
      <c r="C1" s="16" t="s">
        <v>177</v>
      </c>
      <c r="D1" s="16" t="s">
        <v>178</v>
      </c>
      <c r="E1" s="15" t="s">
        <v>179</v>
      </c>
      <c r="F1" s="16" t="s">
        <v>180</v>
      </c>
      <c r="G1" s="16" t="s">
        <v>181</v>
      </c>
      <c r="H1" s="16" t="s">
        <v>182</v>
      </c>
      <c r="I1" s="16" t="s">
        <v>183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21" customHeight="1">
      <c r="A2" s="18" t="s">
        <v>184</v>
      </c>
      <c r="B2" s="18">
        <v>50</v>
      </c>
      <c r="C2" s="19">
        <v>45414</v>
      </c>
      <c r="D2" s="18">
        <v>180</v>
      </c>
      <c r="E2" s="18">
        <v>1</v>
      </c>
      <c r="F2" s="19">
        <f t="shared" ref="F2:F70" si="0">C2+D2</f>
        <v>45594</v>
      </c>
      <c r="G2" s="20">
        <v>51</v>
      </c>
      <c r="H2" s="20">
        <f t="shared" ref="H2:H130" si="1">G2-B2</f>
        <v>1</v>
      </c>
      <c r="I2" s="21">
        <f t="shared" ref="I2:I256" si="2">G2/B2</f>
        <v>1.02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21" customHeight="1">
      <c r="A3" s="18" t="s">
        <v>185</v>
      </c>
      <c r="B3" s="18">
        <v>150</v>
      </c>
      <c r="C3" s="19">
        <v>45415</v>
      </c>
      <c r="D3" s="18">
        <v>180</v>
      </c>
      <c r="E3" s="18">
        <v>1</v>
      </c>
      <c r="F3" s="19">
        <f t="shared" si="0"/>
        <v>45595</v>
      </c>
      <c r="G3" s="20">
        <v>155</v>
      </c>
      <c r="H3" s="20">
        <f t="shared" si="1"/>
        <v>5</v>
      </c>
      <c r="I3" s="21">
        <f t="shared" si="2"/>
        <v>1.0333333333333334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21" customHeight="1">
      <c r="A4" s="18" t="s">
        <v>186</v>
      </c>
      <c r="B4" s="18">
        <v>150</v>
      </c>
      <c r="C4" s="19">
        <v>45416</v>
      </c>
      <c r="D4" s="18">
        <v>180</v>
      </c>
      <c r="E4" s="18">
        <v>1</v>
      </c>
      <c r="F4" s="19">
        <f t="shared" si="0"/>
        <v>45596</v>
      </c>
      <c r="G4" s="20">
        <v>176</v>
      </c>
      <c r="H4" s="20">
        <f t="shared" si="1"/>
        <v>26</v>
      </c>
      <c r="I4" s="21">
        <f t="shared" si="2"/>
        <v>1.1733333333333333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21" customHeight="1">
      <c r="A5" s="18" t="s">
        <v>187</v>
      </c>
      <c r="B5" s="18">
        <v>150</v>
      </c>
      <c r="C5" s="19">
        <v>45418</v>
      </c>
      <c r="D5" s="18">
        <v>180</v>
      </c>
      <c r="E5" s="18">
        <v>1</v>
      </c>
      <c r="F5" s="19">
        <f t="shared" si="0"/>
        <v>45598</v>
      </c>
      <c r="G5" s="20">
        <v>166</v>
      </c>
      <c r="H5" s="20">
        <f t="shared" si="1"/>
        <v>16</v>
      </c>
      <c r="I5" s="21">
        <f t="shared" si="2"/>
        <v>1.1066666666666667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29" ht="21" customHeight="1">
      <c r="A6" s="18" t="s">
        <v>188</v>
      </c>
      <c r="B6" s="18"/>
      <c r="C6" s="19">
        <v>45419</v>
      </c>
      <c r="D6" s="18">
        <v>90</v>
      </c>
      <c r="E6" s="18">
        <v>1</v>
      </c>
      <c r="F6" s="19">
        <f t="shared" si="0"/>
        <v>45509</v>
      </c>
      <c r="G6" s="20">
        <v>70</v>
      </c>
      <c r="H6" s="20">
        <f t="shared" si="1"/>
        <v>70</v>
      </c>
      <c r="I6" s="21" t="e">
        <f t="shared" si="2"/>
        <v>#DIV/0!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29" ht="21" customHeight="1">
      <c r="A7" s="18" t="s">
        <v>189</v>
      </c>
      <c r="B7" s="18">
        <v>150</v>
      </c>
      <c r="C7" s="19">
        <v>45420</v>
      </c>
      <c r="D7" s="18">
        <v>180</v>
      </c>
      <c r="E7" s="18">
        <v>1</v>
      </c>
      <c r="F7" s="19">
        <f t="shared" si="0"/>
        <v>45600</v>
      </c>
      <c r="G7" s="20">
        <v>130</v>
      </c>
      <c r="H7" s="20">
        <f t="shared" si="1"/>
        <v>-20</v>
      </c>
      <c r="I7" s="21">
        <f t="shared" si="2"/>
        <v>0.8666666666666667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21" customHeight="1">
      <c r="A8" s="18" t="s">
        <v>190</v>
      </c>
      <c r="B8" s="18">
        <v>150</v>
      </c>
      <c r="C8" s="19">
        <v>45421</v>
      </c>
      <c r="D8" s="18">
        <v>180</v>
      </c>
      <c r="E8" s="18"/>
      <c r="F8" s="19">
        <f t="shared" si="0"/>
        <v>45601</v>
      </c>
      <c r="G8" s="20"/>
      <c r="H8" s="20">
        <f t="shared" si="1"/>
        <v>-150</v>
      </c>
      <c r="I8" s="21">
        <f t="shared" si="2"/>
        <v>0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21" customHeight="1">
      <c r="A9" s="18" t="s">
        <v>191</v>
      </c>
      <c r="B9" s="18">
        <v>60</v>
      </c>
      <c r="C9" s="19">
        <v>45422</v>
      </c>
      <c r="D9" s="18">
        <v>180</v>
      </c>
      <c r="E9" s="18" t="s">
        <v>192</v>
      </c>
      <c r="F9" s="19">
        <f t="shared" si="0"/>
        <v>45602</v>
      </c>
      <c r="G9" s="20">
        <v>61</v>
      </c>
      <c r="H9" s="20">
        <f t="shared" si="1"/>
        <v>1</v>
      </c>
      <c r="I9" s="21">
        <f t="shared" si="2"/>
        <v>1.0166666666666666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21" customHeight="1">
      <c r="A10" s="18" t="s">
        <v>184</v>
      </c>
      <c r="B10" s="18">
        <v>150</v>
      </c>
      <c r="C10" s="19">
        <v>45423</v>
      </c>
      <c r="D10" s="18">
        <v>180</v>
      </c>
      <c r="E10" s="18" t="s">
        <v>193</v>
      </c>
      <c r="F10" s="19">
        <f t="shared" si="0"/>
        <v>45603</v>
      </c>
      <c r="G10" s="20">
        <v>159</v>
      </c>
      <c r="H10" s="20">
        <f t="shared" si="1"/>
        <v>9</v>
      </c>
      <c r="I10" s="21">
        <f t="shared" si="2"/>
        <v>1.06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21" customHeight="1">
      <c r="A11" s="18" t="s">
        <v>194</v>
      </c>
      <c r="B11" s="18">
        <v>150</v>
      </c>
      <c r="C11" s="19">
        <v>45426</v>
      </c>
      <c r="D11" s="18">
        <v>180</v>
      </c>
      <c r="E11" s="18" t="s">
        <v>195</v>
      </c>
      <c r="F11" s="19">
        <f t="shared" si="0"/>
        <v>45606</v>
      </c>
      <c r="G11" s="20">
        <v>167</v>
      </c>
      <c r="H11" s="20">
        <f t="shared" si="1"/>
        <v>17</v>
      </c>
      <c r="I11" s="21">
        <f t="shared" si="2"/>
        <v>1.1133333333333333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ht="21" customHeight="1">
      <c r="A12" s="18" t="s">
        <v>196</v>
      </c>
      <c r="B12" s="18">
        <v>50</v>
      </c>
      <c r="C12" s="19">
        <v>45427</v>
      </c>
      <c r="D12" s="18">
        <v>90</v>
      </c>
      <c r="E12" s="18" t="s">
        <v>197</v>
      </c>
      <c r="F12" s="19">
        <f t="shared" si="0"/>
        <v>45517</v>
      </c>
      <c r="G12" s="20">
        <v>57</v>
      </c>
      <c r="H12" s="20">
        <f t="shared" si="1"/>
        <v>7</v>
      </c>
      <c r="I12" s="21">
        <f t="shared" si="2"/>
        <v>1.1399999999999999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21" customHeight="1">
      <c r="A13" s="18" t="s">
        <v>188</v>
      </c>
      <c r="B13" s="18"/>
      <c r="C13" s="19">
        <v>45428</v>
      </c>
      <c r="D13" s="18">
        <v>90</v>
      </c>
      <c r="E13" s="18" t="s">
        <v>198</v>
      </c>
      <c r="F13" s="19">
        <f t="shared" si="0"/>
        <v>45518</v>
      </c>
      <c r="G13" s="20">
        <v>57</v>
      </c>
      <c r="H13" s="20">
        <f t="shared" si="1"/>
        <v>57</v>
      </c>
      <c r="I13" s="21" t="e">
        <f t="shared" si="2"/>
        <v>#DIV/0!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21" customHeight="1">
      <c r="A14" s="18" t="s">
        <v>199</v>
      </c>
      <c r="B14" s="18">
        <v>102</v>
      </c>
      <c r="C14" s="19">
        <v>45430</v>
      </c>
      <c r="D14" s="18">
        <v>90</v>
      </c>
      <c r="E14" s="18">
        <v>10524</v>
      </c>
      <c r="F14" s="19">
        <f t="shared" si="0"/>
        <v>45520</v>
      </c>
      <c r="G14" s="20">
        <v>74</v>
      </c>
      <c r="H14" s="20">
        <f t="shared" si="1"/>
        <v>-28</v>
      </c>
      <c r="I14" s="21">
        <f t="shared" si="2"/>
        <v>0.72549019607843135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 ht="21" customHeight="1">
      <c r="A15" s="18" t="s">
        <v>185</v>
      </c>
      <c r="B15" s="18">
        <v>100</v>
      </c>
      <c r="C15" s="19">
        <v>45432</v>
      </c>
      <c r="D15" s="18">
        <v>180</v>
      </c>
      <c r="E15" s="18">
        <v>10524</v>
      </c>
      <c r="F15" s="19">
        <f t="shared" si="0"/>
        <v>45612</v>
      </c>
      <c r="G15" s="20">
        <v>83</v>
      </c>
      <c r="H15" s="20">
        <f t="shared" si="1"/>
        <v>-17</v>
      </c>
      <c r="I15" s="21">
        <f t="shared" si="2"/>
        <v>0.83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ht="21" customHeight="1">
      <c r="A16" s="18" t="s">
        <v>200</v>
      </c>
      <c r="B16" s="18">
        <v>100</v>
      </c>
      <c r="C16" s="19">
        <v>45433</v>
      </c>
      <c r="D16" s="18">
        <v>180</v>
      </c>
      <c r="E16" s="18">
        <v>10524</v>
      </c>
      <c r="F16" s="19">
        <f t="shared" si="0"/>
        <v>45613</v>
      </c>
      <c r="G16" s="20">
        <v>86</v>
      </c>
      <c r="H16" s="20">
        <f t="shared" si="1"/>
        <v>-14</v>
      </c>
      <c r="I16" s="21">
        <f t="shared" si="2"/>
        <v>0.86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21" customHeight="1">
      <c r="A17" s="18" t="s">
        <v>196</v>
      </c>
      <c r="B17" s="18">
        <v>50</v>
      </c>
      <c r="C17" s="19">
        <v>45434</v>
      </c>
      <c r="D17" s="18">
        <v>90</v>
      </c>
      <c r="E17" s="18">
        <v>10524</v>
      </c>
      <c r="F17" s="19">
        <f t="shared" si="0"/>
        <v>45524</v>
      </c>
      <c r="G17" s="20">
        <v>54</v>
      </c>
      <c r="H17" s="20">
        <f t="shared" si="1"/>
        <v>4</v>
      </c>
      <c r="I17" s="21">
        <f t="shared" si="2"/>
        <v>1.08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21" customHeight="1">
      <c r="A18" s="18" t="s">
        <v>191</v>
      </c>
      <c r="B18" s="18">
        <v>50</v>
      </c>
      <c r="C18" s="19">
        <v>45434</v>
      </c>
      <c r="D18" s="18">
        <v>180</v>
      </c>
      <c r="E18" s="18">
        <v>10524</v>
      </c>
      <c r="F18" s="19">
        <f t="shared" si="0"/>
        <v>45614</v>
      </c>
      <c r="G18" s="20">
        <v>45</v>
      </c>
      <c r="H18" s="20">
        <f t="shared" si="1"/>
        <v>-5</v>
      </c>
      <c r="I18" s="21">
        <f t="shared" si="2"/>
        <v>0.9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ht="21" customHeight="1">
      <c r="A19" s="18" t="s">
        <v>187</v>
      </c>
      <c r="B19" s="18">
        <v>150</v>
      </c>
      <c r="C19" s="19">
        <v>45435</v>
      </c>
      <c r="D19" s="18">
        <v>180</v>
      </c>
      <c r="E19" s="18">
        <v>10524</v>
      </c>
      <c r="F19" s="19">
        <f t="shared" si="0"/>
        <v>45615</v>
      </c>
      <c r="G19" s="20">
        <v>157</v>
      </c>
      <c r="H19" s="20">
        <f t="shared" si="1"/>
        <v>7</v>
      </c>
      <c r="I19" s="21">
        <f t="shared" si="2"/>
        <v>1.0466666666666666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ht="21" customHeight="1">
      <c r="A20" s="18" t="s">
        <v>191</v>
      </c>
      <c r="B20" s="18">
        <v>60</v>
      </c>
      <c r="C20" s="19">
        <v>45436</v>
      </c>
      <c r="D20" s="18">
        <v>180</v>
      </c>
      <c r="E20" s="18">
        <v>20524</v>
      </c>
      <c r="F20" s="19">
        <f t="shared" si="0"/>
        <v>45616</v>
      </c>
      <c r="G20" s="20">
        <v>68</v>
      </c>
      <c r="H20" s="20">
        <f t="shared" si="1"/>
        <v>8</v>
      </c>
      <c r="I20" s="21">
        <f t="shared" si="2"/>
        <v>1.1333333333333333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21" customHeight="1">
      <c r="A21" s="18" t="s">
        <v>186</v>
      </c>
      <c r="B21" s="18">
        <v>100</v>
      </c>
      <c r="C21" s="19">
        <v>45437</v>
      </c>
      <c r="D21" s="18">
        <v>180</v>
      </c>
      <c r="E21" s="18">
        <v>10524</v>
      </c>
      <c r="F21" s="19">
        <f t="shared" si="0"/>
        <v>45617</v>
      </c>
      <c r="G21" s="20">
        <v>95</v>
      </c>
      <c r="H21" s="20">
        <f t="shared" si="1"/>
        <v>-5</v>
      </c>
      <c r="I21" s="21">
        <f t="shared" si="2"/>
        <v>0.95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21" customHeight="1">
      <c r="A22" s="18" t="s">
        <v>200</v>
      </c>
      <c r="B22" s="18">
        <v>100</v>
      </c>
      <c r="C22" s="19">
        <v>45439</v>
      </c>
      <c r="D22" s="18">
        <v>180</v>
      </c>
      <c r="E22" s="18">
        <v>20524</v>
      </c>
      <c r="F22" s="19">
        <f t="shared" si="0"/>
        <v>45619</v>
      </c>
      <c r="G22" s="20">
        <v>91</v>
      </c>
      <c r="H22" s="20">
        <f t="shared" si="1"/>
        <v>-9</v>
      </c>
      <c r="I22" s="21">
        <f t="shared" si="2"/>
        <v>0.91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ht="21" customHeight="1">
      <c r="A23" s="18" t="s">
        <v>184</v>
      </c>
      <c r="B23" s="18">
        <v>150</v>
      </c>
      <c r="C23" s="19">
        <v>45440</v>
      </c>
      <c r="D23" s="18">
        <v>180</v>
      </c>
      <c r="E23" s="18">
        <v>20524</v>
      </c>
      <c r="F23" s="19">
        <f t="shared" si="0"/>
        <v>45620</v>
      </c>
      <c r="G23" s="20">
        <v>157</v>
      </c>
      <c r="H23" s="20">
        <f t="shared" si="1"/>
        <v>7</v>
      </c>
      <c r="I23" s="21">
        <f t="shared" si="2"/>
        <v>1.0466666666666666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21" customHeight="1">
      <c r="A24" s="18" t="s">
        <v>185</v>
      </c>
      <c r="B24" s="18">
        <v>100</v>
      </c>
      <c r="C24" s="19">
        <v>45441</v>
      </c>
      <c r="D24" s="18">
        <v>180</v>
      </c>
      <c r="E24" s="18">
        <v>20524</v>
      </c>
      <c r="F24" s="19">
        <f t="shared" si="0"/>
        <v>45621</v>
      </c>
      <c r="G24" s="20">
        <v>100</v>
      </c>
      <c r="H24" s="20">
        <f t="shared" si="1"/>
        <v>0</v>
      </c>
      <c r="I24" s="21">
        <f t="shared" si="2"/>
        <v>1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21" customHeight="1">
      <c r="A25" s="18" t="s">
        <v>187</v>
      </c>
      <c r="B25" s="18">
        <v>100</v>
      </c>
      <c r="C25" s="19">
        <v>45444</v>
      </c>
      <c r="D25" s="18">
        <v>180</v>
      </c>
      <c r="E25" s="18">
        <v>10624</v>
      </c>
      <c r="F25" s="19">
        <f t="shared" si="0"/>
        <v>45624</v>
      </c>
      <c r="G25" s="20">
        <v>96</v>
      </c>
      <c r="H25" s="20">
        <f t="shared" si="1"/>
        <v>-4</v>
      </c>
      <c r="I25" s="21">
        <f t="shared" si="2"/>
        <v>0.96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21" customHeight="1">
      <c r="A26" s="18" t="s">
        <v>189</v>
      </c>
      <c r="B26" s="18">
        <v>100</v>
      </c>
      <c r="C26" s="19">
        <v>45447</v>
      </c>
      <c r="D26" s="18">
        <v>180</v>
      </c>
      <c r="E26" s="18">
        <v>10624</v>
      </c>
      <c r="F26" s="19">
        <f t="shared" si="0"/>
        <v>45627</v>
      </c>
      <c r="G26" s="20">
        <v>77</v>
      </c>
      <c r="H26" s="20">
        <f t="shared" si="1"/>
        <v>-23</v>
      </c>
      <c r="I26" s="21">
        <f t="shared" si="2"/>
        <v>0.77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21" customHeight="1">
      <c r="A27" s="18" t="s">
        <v>196</v>
      </c>
      <c r="B27" s="18">
        <v>50</v>
      </c>
      <c r="C27" s="19">
        <v>45448</v>
      </c>
      <c r="D27" s="18">
        <v>90</v>
      </c>
      <c r="E27" s="18">
        <v>10624</v>
      </c>
      <c r="F27" s="19">
        <f t="shared" si="0"/>
        <v>45538</v>
      </c>
      <c r="G27" s="20">
        <v>51</v>
      </c>
      <c r="H27" s="20">
        <f t="shared" si="1"/>
        <v>1</v>
      </c>
      <c r="I27" s="21">
        <f t="shared" si="2"/>
        <v>1.02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21" customHeight="1">
      <c r="A28" s="18" t="s">
        <v>185</v>
      </c>
      <c r="B28" s="18">
        <v>100</v>
      </c>
      <c r="C28" s="19">
        <v>45449</v>
      </c>
      <c r="D28" s="18">
        <v>180</v>
      </c>
      <c r="E28" s="18">
        <v>10624</v>
      </c>
      <c r="F28" s="19">
        <f t="shared" si="0"/>
        <v>45629</v>
      </c>
      <c r="G28" s="20">
        <v>91</v>
      </c>
      <c r="H28" s="20">
        <f t="shared" si="1"/>
        <v>-9</v>
      </c>
      <c r="I28" s="21">
        <f t="shared" si="2"/>
        <v>0.91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21" customHeight="1">
      <c r="A29" s="18" t="s">
        <v>184</v>
      </c>
      <c r="B29" s="18">
        <v>100</v>
      </c>
      <c r="C29" s="19">
        <v>45450</v>
      </c>
      <c r="D29" s="18">
        <v>180</v>
      </c>
      <c r="E29" s="18">
        <v>10624</v>
      </c>
      <c r="F29" s="19">
        <f t="shared" si="0"/>
        <v>45630</v>
      </c>
      <c r="G29" s="20">
        <v>99</v>
      </c>
      <c r="H29" s="20">
        <f t="shared" si="1"/>
        <v>-1</v>
      </c>
      <c r="I29" s="21">
        <f t="shared" si="2"/>
        <v>0.99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21" customHeight="1">
      <c r="A30" s="18" t="s">
        <v>200</v>
      </c>
      <c r="B30" s="18">
        <v>100</v>
      </c>
      <c r="C30" s="19">
        <v>45451</v>
      </c>
      <c r="D30" s="18">
        <v>180</v>
      </c>
      <c r="E30" s="18">
        <v>10624</v>
      </c>
      <c r="F30" s="19">
        <f t="shared" si="0"/>
        <v>45631</v>
      </c>
      <c r="G30" s="20">
        <v>98</v>
      </c>
      <c r="H30" s="20">
        <f t="shared" si="1"/>
        <v>-2</v>
      </c>
      <c r="I30" s="21">
        <f t="shared" si="2"/>
        <v>0.98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21" customHeight="1">
      <c r="A31" s="18" t="s">
        <v>190</v>
      </c>
      <c r="B31" s="18">
        <v>100</v>
      </c>
      <c r="C31" s="19">
        <v>45454</v>
      </c>
      <c r="D31" s="18">
        <v>180</v>
      </c>
      <c r="E31" s="18">
        <v>10624</v>
      </c>
      <c r="F31" s="19">
        <f t="shared" si="0"/>
        <v>45634</v>
      </c>
      <c r="G31" s="20">
        <v>100</v>
      </c>
      <c r="H31" s="20">
        <f t="shared" si="1"/>
        <v>0</v>
      </c>
      <c r="I31" s="21">
        <f t="shared" si="2"/>
        <v>1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21" customHeight="1">
      <c r="A32" s="18" t="s">
        <v>194</v>
      </c>
      <c r="B32" s="18">
        <v>100</v>
      </c>
      <c r="C32" s="19">
        <v>45455</v>
      </c>
      <c r="D32" s="18">
        <v>180</v>
      </c>
      <c r="E32" s="18">
        <v>10624</v>
      </c>
      <c r="F32" s="19">
        <f t="shared" si="0"/>
        <v>45635</v>
      </c>
      <c r="G32" s="20">
        <v>91</v>
      </c>
      <c r="H32" s="20">
        <f t="shared" si="1"/>
        <v>-9</v>
      </c>
      <c r="I32" s="21">
        <f t="shared" si="2"/>
        <v>0.91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21" customHeight="1">
      <c r="A33" s="18" t="s">
        <v>188</v>
      </c>
      <c r="B33" s="18"/>
      <c r="C33" s="19">
        <v>45456</v>
      </c>
      <c r="D33" s="18">
        <v>90</v>
      </c>
      <c r="E33" s="18">
        <v>10624</v>
      </c>
      <c r="F33" s="19">
        <f t="shared" si="0"/>
        <v>45546</v>
      </c>
      <c r="G33" s="20">
        <v>27</v>
      </c>
      <c r="H33" s="20">
        <f t="shared" si="1"/>
        <v>27</v>
      </c>
      <c r="I33" s="21" t="e">
        <f t="shared" si="2"/>
        <v>#DIV/0!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21" customHeight="1">
      <c r="A34" s="18" t="s">
        <v>186</v>
      </c>
      <c r="B34" s="18">
        <v>100</v>
      </c>
      <c r="C34" s="19">
        <v>45458</v>
      </c>
      <c r="D34" s="18">
        <v>180</v>
      </c>
      <c r="E34" s="18">
        <v>10624</v>
      </c>
      <c r="F34" s="19">
        <f t="shared" si="0"/>
        <v>45638</v>
      </c>
      <c r="G34" s="20">
        <v>94</v>
      </c>
      <c r="H34" s="20">
        <f t="shared" si="1"/>
        <v>-6</v>
      </c>
      <c r="I34" s="21">
        <f t="shared" si="2"/>
        <v>0.94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21" customHeight="1">
      <c r="A35" s="18" t="s">
        <v>185</v>
      </c>
      <c r="B35" s="18">
        <v>100</v>
      </c>
      <c r="C35" s="19">
        <v>45460</v>
      </c>
      <c r="D35" s="18">
        <v>180</v>
      </c>
      <c r="E35" s="18">
        <v>20524</v>
      </c>
      <c r="F35" s="19">
        <f t="shared" si="0"/>
        <v>45640</v>
      </c>
      <c r="G35" s="20">
        <v>92</v>
      </c>
      <c r="H35" s="20">
        <f t="shared" si="1"/>
        <v>-8</v>
      </c>
      <c r="I35" s="21">
        <f t="shared" si="2"/>
        <v>0.92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ht="21" customHeight="1">
      <c r="A36" s="18" t="s">
        <v>189</v>
      </c>
      <c r="B36" s="18">
        <v>100</v>
      </c>
      <c r="C36" s="19">
        <v>45461</v>
      </c>
      <c r="D36" s="18">
        <v>180</v>
      </c>
      <c r="E36" s="18">
        <v>20624</v>
      </c>
      <c r="F36" s="19">
        <f t="shared" si="0"/>
        <v>45641</v>
      </c>
      <c r="G36" s="20">
        <v>94</v>
      </c>
      <c r="H36" s="20">
        <f t="shared" si="1"/>
        <v>-6</v>
      </c>
      <c r="I36" s="21">
        <f t="shared" si="2"/>
        <v>0.94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ht="21" customHeight="1">
      <c r="A37" s="18" t="s">
        <v>187</v>
      </c>
      <c r="B37" s="18">
        <v>100</v>
      </c>
      <c r="C37" s="19">
        <v>45462</v>
      </c>
      <c r="D37" s="18">
        <v>180</v>
      </c>
      <c r="E37" s="18">
        <v>20624</v>
      </c>
      <c r="F37" s="19">
        <f t="shared" si="0"/>
        <v>45642</v>
      </c>
      <c r="G37" s="20">
        <v>90</v>
      </c>
      <c r="H37" s="20">
        <f t="shared" si="1"/>
        <v>-10</v>
      </c>
      <c r="I37" s="21">
        <f t="shared" si="2"/>
        <v>0.9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21" customHeight="1">
      <c r="A38" s="18" t="s">
        <v>188</v>
      </c>
      <c r="B38" s="18">
        <v>50</v>
      </c>
      <c r="C38" s="19">
        <v>45463</v>
      </c>
      <c r="D38" s="18">
        <v>90</v>
      </c>
      <c r="E38" s="18">
        <v>20624</v>
      </c>
      <c r="F38" s="19">
        <f t="shared" si="0"/>
        <v>45553</v>
      </c>
      <c r="G38" s="20">
        <v>27</v>
      </c>
      <c r="H38" s="20">
        <f t="shared" si="1"/>
        <v>-23</v>
      </c>
      <c r="I38" s="21">
        <f t="shared" si="2"/>
        <v>0.54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21" customHeight="1">
      <c r="A39" s="18" t="s">
        <v>201</v>
      </c>
      <c r="B39" s="18"/>
      <c r="C39" s="19">
        <v>45465</v>
      </c>
      <c r="D39" s="18">
        <v>90</v>
      </c>
      <c r="E39" s="18">
        <v>10624</v>
      </c>
      <c r="F39" s="19">
        <f t="shared" si="0"/>
        <v>45555</v>
      </c>
      <c r="G39" s="20">
        <v>33</v>
      </c>
      <c r="H39" s="20">
        <f t="shared" si="1"/>
        <v>33</v>
      </c>
      <c r="I39" s="21" t="e">
        <f t="shared" si="2"/>
        <v>#DIV/0!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21" customHeight="1">
      <c r="A40" s="18" t="s">
        <v>188</v>
      </c>
      <c r="B40" s="18">
        <v>50</v>
      </c>
      <c r="C40" s="19">
        <v>45476</v>
      </c>
      <c r="D40" s="18">
        <v>90</v>
      </c>
      <c r="E40" s="18">
        <v>10724</v>
      </c>
      <c r="F40" s="19">
        <f t="shared" si="0"/>
        <v>45566</v>
      </c>
      <c r="G40" s="20">
        <v>41</v>
      </c>
      <c r="H40" s="20">
        <f t="shared" si="1"/>
        <v>-9</v>
      </c>
      <c r="I40" s="21">
        <f t="shared" si="2"/>
        <v>0.82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21" customHeight="1">
      <c r="A41" s="18" t="s">
        <v>202</v>
      </c>
      <c r="B41" s="18">
        <v>50</v>
      </c>
      <c r="C41" s="19">
        <v>45477</v>
      </c>
      <c r="D41" s="18">
        <v>90</v>
      </c>
      <c r="E41" s="18">
        <v>10724</v>
      </c>
      <c r="F41" s="19">
        <f t="shared" si="0"/>
        <v>45567</v>
      </c>
      <c r="G41" s="20">
        <v>30</v>
      </c>
      <c r="H41" s="20">
        <f t="shared" si="1"/>
        <v>-20</v>
      </c>
      <c r="I41" s="21">
        <f t="shared" si="2"/>
        <v>0.6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21" customHeight="1">
      <c r="A42" s="18" t="s">
        <v>196</v>
      </c>
      <c r="B42" s="18">
        <v>50</v>
      </c>
      <c r="C42" s="19">
        <v>45478</v>
      </c>
      <c r="D42" s="18">
        <v>90</v>
      </c>
      <c r="E42" s="18">
        <v>10724</v>
      </c>
      <c r="F42" s="19">
        <f t="shared" si="0"/>
        <v>45568</v>
      </c>
      <c r="G42" s="20">
        <v>44</v>
      </c>
      <c r="H42" s="20">
        <f t="shared" si="1"/>
        <v>-6</v>
      </c>
      <c r="I42" s="21">
        <f t="shared" si="2"/>
        <v>0.88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ht="21" customHeight="1">
      <c r="A43" s="18" t="s">
        <v>203</v>
      </c>
      <c r="B43" s="18"/>
      <c r="C43" s="19">
        <v>45481</v>
      </c>
      <c r="D43" s="18">
        <v>180</v>
      </c>
      <c r="E43" s="18">
        <v>10724</v>
      </c>
      <c r="F43" s="19">
        <f t="shared" si="0"/>
        <v>45661</v>
      </c>
      <c r="G43" s="20">
        <v>27</v>
      </c>
      <c r="H43" s="20">
        <f t="shared" si="1"/>
        <v>27</v>
      </c>
      <c r="I43" s="21" t="e">
        <f t="shared" si="2"/>
        <v>#DIV/0!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ht="21" customHeight="1">
      <c r="A44" s="18" t="s">
        <v>204</v>
      </c>
      <c r="B44" s="18">
        <v>50</v>
      </c>
      <c r="C44" s="19">
        <v>45481</v>
      </c>
      <c r="D44" s="18">
        <v>180</v>
      </c>
      <c r="E44" s="18">
        <v>10724</v>
      </c>
      <c r="F44" s="19">
        <f t="shared" si="0"/>
        <v>45661</v>
      </c>
      <c r="G44" s="20">
        <v>45</v>
      </c>
      <c r="H44" s="20">
        <f t="shared" si="1"/>
        <v>-5</v>
      </c>
      <c r="I44" s="21">
        <f t="shared" si="2"/>
        <v>0.9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21" customHeight="1">
      <c r="A45" s="18" t="s">
        <v>205</v>
      </c>
      <c r="B45" s="18"/>
      <c r="C45" s="19">
        <v>45482</v>
      </c>
      <c r="D45" s="18">
        <v>180</v>
      </c>
      <c r="E45" s="18">
        <v>9724</v>
      </c>
      <c r="F45" s="19">
        <f t="shared" si="0"/>
        <v>45662</v>
      </c>
      <c r="G45" s="20">
        <v>23</v>
      </c>
      <c r="H45" s="20">
        <f t="shared" si="1"/>
        <v>23</v>
      </c>
      <c r="I45" s="21" t="e">
        <f t="shared" si="2"/>
        <v>#DIV/0!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21" customHeight="1">
      <c r="A46" s="18" t="s">
        <v>206</v>
      </c>
      <c r="B46" s="18"/>
      <c r="C46" s="19">
        <v>45482</v>
      </c>
      <c r="D46" s="18">
        <v>180</v>
      </c>
      <c r="E46" s="18">
        <v>9724</v>
      </c>
      <c r="F46" s="19">
        <f t="shared" si="0"/>
        <v>45662</v>
      </c>
      <c r="G46" s="20">
        <v>14</v>
      </c>
      <c r="H46" s="20">
        <f t="shared" si="1"/>
        <v>14</v>
      </c>
      <c r="I46" s="21" t="e">
        <f t="shared" si="2"/>
        <v>#DIV/0!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21" customHeight="1">
      <c r="A47" s="18" t="s">
        <v>207</v>
      </c>
      <c r="B47" s="18">
        <v>50</v>
      </c>
      <c r="C47" s="19">
        <v>45483</v>
      </c>
      <c r="D47" s="18">
        <v>90</v>
      </c>
      <c r="E47" s="18">
        <v>10724</v>
      </c>
      <c r="F47" s="19">
        <f t="shared" si="0"/>
        <v>45573</v>
      </c>
      <c r="G47" s="20">
        <v>35</v>
      </c>
      <c r="H47" s="20">
        <f t="shared" si="1"/>
        <v>-15</v>
      </c>
      <c r="I47" s="21">
        <f t="shared" si="2"/>
        <v>0.7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21" customHeight="1">
      <c r="A48" s="18" t="s">
        <v>208</v>
      </c>
      <c r="B48" s="18">
        <v>50</v>
      </c>
      <c r="C48" s="19">
        <v>45484</v>
      </c>
      <c r="D48" s="18">
        <v>90</v>
      </c>
      <c r="E48" s="18">
        <v>11724</v>
      </c>
      <c r="F48" s="19">
        <f t="shared" si="0"/>
        <v>45574</v>
      </c>
      <c r="G48" s="20">
        <v>86</v>
      </c>
      <c r="H48" s="20">
        <f t="shared" si="1"/>
        <v>36</v>
      </c>
      <c r="I48" s="21">
        <f t="shared" si="2"/>
        <v>1.72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21" customHeight="1">
      <c r="A49" s="18" t="s">
        <v>209</v>
      </c>
      <c r="B49" s="18">
        <v>30</v>
      </c>
      <c r="C49" s="19">
        <v>45484</v>
      </c>
      <c r="D49" s="18">
        <v>180</v>
      </c>
      <c r="E49" s="18"/>
      <c r="F49" s="19">
        <f t="shared" si="0"/>
        <v>45664</v>
      </c>
      <c r="G49" s="20"/>
      <c r="H49" s="20">
        <f t="shared" si="1"/>
        <v>-30</v>
      </c>
      <c r="I49" s="21">
        <f t="shared" si="2"/>
        <v>0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21" customHeight="1">
      <c r="A50" s="18" t="s">
        <v>186</v>
      </c>
      <c r="B50" s="18">
        <v>150</v>
      </c>
      <c r="C50" s="19">
        <v>45485</v>
      </c>
      <c r="D50" s="18">
        <v>180</v>
      </c>
      <c r="E50" s="18">
        <v>12724</v>
      </c>
      <c r="F50" s="19">
        <f t="shared" si="0"/>
        <v>45665</v>
      </c>
      <c r="G50" s="20">
        <v>135</v>
      </c>
      <c r="H50" s="20">
        <f t="shared" si="1"/>
        <v>-15</v>
      </c>
      <c r="I50" s="21">
        <f t="shared" si="2"/>
        <v>0.9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21" customHeight="1">
      <c r="A51" s="18" t="s">
        <v>190</v>
      </c>
      <c r="B51" s="18">
        <v>150</v>
      </c>
      <c r="C51" s="19">
        <v>45486</v>
      </c>
      <c r="D51" s="18">
        <v>180</v>
      </c>
      <c r="E51" s="18">
        <v>13724</v>
      </c>
      <c r="F51" s="19">
        <f t="shared" si="0"/>
        <v>45666</v>
      </c>
      <c r="G51" s="20">
        <v>150</v>
      </c>
      <c r="H51" s="20">
        <f t="shared" si="1"/>
        <v>0</v>
      </c>
      <c r="I51" s="21">
        <f t="shared" si="2"/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21" customHeight="1">
      <c r="A52" s="18" t="s">
        <v>185</v>
      </c>
      <c r="B52" s="18">
        <v>150</v>
      </c>
      <c r="C52" s="19">
        <v>45490</v>
      </c>
      <c r="D52" s="18">
        <v>180</v>
      </c>
      <c r="E52" s="18">
        <v>17724</v>
      </c>
      <c r="F52" s="19">
        <f t="shared" si="0"/>
        <v>45670</v>
      </c>
      <c r="G52" s="20">
        <v>154</v>
      </c>
      <c r="H52" s="20">
        <f t="shared" si="1"/>
        <v>4</v>
      </c>
      <c r="I52" s="21">
        <f t="shared" si="2"/>
        <v>1.0266666666666666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21" customHeight="1">
      <c r="A53" s="18" t="s">
        <v>188</v>
      </c>
      <c r="B53" s="18"/>
      <c r="C53" s="19">
        <v>45492</v>
      </c>
      <c r="D53" s="18">
        <v>90</v>
      </c>
      <c r="E53" s="18">
        <v>19724</v>
      </c>
      <c r="F53" s="19">
        <f t="shared" si="0"/>
        <v>45582</v>
      </c>
      <c r="G53" s="20">
        <v>15</v>
      </c>
      <c r="H53" s="20">
        <f t="shared" si="1"/>
        <v>15</v>
      </c>
      <c r="I53" s="21" t="e">
        <f t="shared" si="2"/>
        <v>#DIV/0!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21" customHeight="1">
      <c r="A54" s="18" t="s">
        <v>208</v>
      </c>
      <c r="B54" s="18"/>
      <c r="C54" s="19">
        <v>45492</v>
      </c>
      <c r="D54" s="18">
        <v>90</v>
      </c>
      <c r="E54" s="18">
        <v>19724</v>
      </c>
      <c r="F54" s="19">
        <f t="shared" si="0"/>
        <v>45582</v>
      </c>
      <c r="G54" s="20">
        <v>17</v>
      </c>
      <c r="H54" s="20">
        <f t="shared" si="1"/>
        <v>17</v>
      </c>
      <c r="I54" s="21" t="e">
        <f t="shared" si="2"/>
        <v>#DIV/0!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21" customHeight="1">
      <c r="A55" s="18" t="s">
        <v>202</v>
      </c>
      <c r="B55" s="18"/>
      <c r="C55" s="19">
        <v>45492</v>
      </c>
      <c r="D55" s="18">
        <v>90</v>
      </c>
      <c r="E55" s="18">
        <v>19724</v>
      </c>
      <c r="F55" s="19">
        <f t="shared" si="0"/>
        <v>45582</v>
      </c>
      <c r="G55" s="20">
        <v>25</v>
      </c>
      <c r="H55" s="20">
        <f t="shared" si="1"/>
        <v>25</v>
      </c>
      <c r="I55" s="21" t="e">
        <f t="shared" si="2"/>
        <v>#DIV/0!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21" customHeight="1">
      <c r="A56" s="18" t="s">
        <v>207</v>
      </c>
      <c r="B56" s="18"/>
      <c r="C56" s="19">
        <v>45495</v>
      </c>
      <c r="D56" s="18">
        <v>90</v>
      </c>
      <c r="E56" s="18">
        <v>22724</v>
      </c>
      <c r="F56" s="19">
        <f t="shared" si="0"/>
        <v>45585</v>
      </c>
      <c r="G56" s="20">
        <v>15</v>
      </c>
      <c r="H56" s="20">
        <f t="shared" si="1"/>
        <v>15</v>
      </c>
      <c r="I56" s="21" t="e">
        <f t="shared" si="2"/>
        <v>#DIV/0!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21" customHeight="1">
      <c r="A57" s="18" t="s">
        <v>187</v>
      </c>
      <c r="B57" s="18">
        <v>150</v>
      </c>
      <c r="C57" s="19">
        <v>45498</v>
      </c>
      <c r="D57" s="18">
        <v>180</v>
      </c>
      <c r="E57" s="18">
        <v>25724</v>
      </c>
      <c r="F57" s="19">
        <f t="shared" si="0"/>
        <v>45678</v>
      </c>
      <c r="G57" s="20">
        <v>140</v>
      </c>
      <c r="H57" s="20">
        <f t="shared" si="1"/>
        <v>-10</v>
      </c>
      <c r="I57" s="21">
        <f t="shared" si="2"/>
        <v>0.93333333333333335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21" customHeight="1">
      <c r="A58" s="18" t="s">
        <v>196</v>
      </c>
      <c r="B58" s="18">
        <v>50</v>
      </c>
      <c r="C58" s="19">
        <v>45502</v>
      </c>
      <c r="D58" s="18">
        <v>90</v>
      </c>
      <c r="E58" s="18">
        <v>29724</v>
      </c>
      <c r="F58" s="19">
        <f t="shared" si="0"/>
        <v>45592</v>
      </c>
      <c r="G58" s="20">
        <v>65</v>
      </c>
      <c r="H58" s="20">
        <f t="shared" si="1"/>
        <v>15</v>
      </c>
      <c r="I58" s="21">
        <f t="shared" si="2"/>
        <v>1.3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21" customHeight="1">
      <c r="A59" s="22" t="s">
        <v>184</v>
      </c>
      <c r="B59" s="23">
        <v>150</v>
      </c>
      <c r="C59" s="24">
        <v>45503</v>
      </c>
      <c r="D59" s="25">
        <v>180</v>
      </c>
      <c r="E59" s="25">
        <v>30724</v>
      </c>
      <c r="F59" s="26">
        <f t="shared" si="0"/>
        <v>45683</v>
      </c>
      <c r="G59" s="27">
        <v>147</v>
      </c>
      <c r="H59" s="28">
        <f t="shared" si="1"/>
        <v>-3</v>
      </c>
      <c r="I59" s="29">
        <f t="shared" si="2"/>
        <v>0.98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21" customHeight="1">
      <c r="A60" s="30" t="s">
        <v>194</v>
      </c>
      <c r="B60" s="23">
        <v>150</v>
      </c>
      <c r="C60" s="24">
        <v>45505</v>
      </c>
      <c r="D60" s="25">
        <v>180</v>
      </c>
      <c r="E60" s="25">
        <v>10824</v>
      </c>
      <c r="F60" s="26">
        <f t="shared" si="0"/>
        <v>45685</v>
      </c>
      <c r="G60" s="27">
        <v>150</v>
      </c>
      <c r="H60" s="28">
        <f t="shared" si="1"/>
        <v>0</v>
      </c>
      <c r="I60" s="29">
        <f t="shared" si="2"/>
        <v>1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21" customHeight="1">
      <c r="A61" s="22" t="s">
        <v>186</v>
      </c>
      <c r="B61" s="23">
        <v>150</v>
      </c>
      <c r="C61" s="24">
        <v>45506</v>
      </c>
      <c r="D61" s="25">
        <v>180</v>
      </c>
      <c r="E61" s="25">
        <v>20824</v>
      </c>
      <c r="F61" s="26">
        <f t="shared" si="0"/>
        <v>45686</v>
      </c>
      <c r="G61" s="27">
        <v>158</v>
      </c>
      <c r="H61" s="28">
        <f t="shared" si="1"/>
        <v>8</v>
      </c>
      <c r="I61" s="29">
        <f t="shared" si="2"/>
        <v>1.0533333333333332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21" customHeight="1">
      <c r="A62" s="30" t="s">
        <v>209</v>
      </c>
      <c r="B62" s="23">
        <v>30</v>
      </c>
      <c r="C62" s="24">
        <v>45506</v>
      </c>
      <c r="D62" s="25">
        <v>180</v>
      </c>
      <c r="E62" s="25">
        <v>20824</v>
      </c>
      <c r="F62" s="26">
        <f t="shared" si="0"/>
        <v>45686</v>
      </c>
      <c r="G62" s="27">
        <v>30</v>
      </c>
      <c r="H62" s="28">
        <f t="shared" si="1"/>
        <v>0</v>
      </c>
      <c r="I62" s="29">
        <f t="shared" si="2"/>
        <v>1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ht="21" customHeight="1">
      <c r="A63" s="22" t="s">
        <v>202</v>
      </c>
      <c r="B63" s="23">
        <v>50</v>
      </c>
      <c r="C63" s="24">
        <v>45507</v>
      </c>
      <c r="D63" s="25">
        <v>90</v>
      </c>
      <c r="E63" s="25">
        <v>30824</v>
      </c>
      <c r="F63" s="26">
        <f t="shared" si="0"/>
        <v>45597</v>
      </c>
      <c r="G63" s="27">
        <v>43</v>
      </c>
      <c r="H63" s="28">
        <f t="shared" si="1"/>
        <v>-7</v>
      </c>
      <c r="I63" s="29">
        <f t="shared" si="2"/>
        <v>0.86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21" customHeight="1">
      <c r="A64" s="30" t="s">
        <v>207</v>
      </c>
      <c r="B64" s="23">
        <v>50</v>
      </c>
      <c r="C64" s="24">
        <v>45509</v>
      </c>
      <c r="D64" s="25">
        <v>90</v>
      </c>
      <c r="E64" s="25">
        <v>50824</v>
      </c>
      <c r="F64" s="26">
        <f t="shared" si="0"/>
        <v>45599</v>
      </c>
      <c r="G64" s="27">
        <v>37</v>
      </c>
      <c r="H64" s="28">
        <f t="shared" si="1"/>
        <v>-13</v>
      </c>
      <c r="I64" s="29">
        <f t="shared" si="2"/>
        <v>0.74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21" customHeight="1">
      <c r="A65" s="22" t="s">
        <v>188</v>
      </c>
      <c r="B65" s="23">
        <v>50</v>
      </c>
      <c r="C65" s="24">
        <v>45510</v>
      </c>
      <c r="D65" s="25">
        <v>90</v>
      </c>
      <c r="E65" s="25">
        <v>60824</v>
      </c>
      <c r="F65" s="26">
        <f t="shared" si="0"/>
        <v>45600</v>
      </c>
      <c r="G65" s="27">
        <v>36</v>
      </c>
      <c r="H65" s="28">
        <f t="shared" si="1"/>
        <v>-14</v>
      </c>
      <c r="I65" s="29">
        <f t="shared" si="2"/>
        <v>0.72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21" customHeight="1">
      <c r="A66" s="31" t="s">
        <v>200</v>
      </c>
      <c r="B66" s="23">
        <v>150</v>
      </c>
      <c r="C66" s="24">
        <v>45512</v>
      </c>
      <c r="D66" s="25">
        <v>180</v>
      </c>
      <c r="E66" s="25">
        <v>80824</v>
      </c>
      <c r="F66" s="26">
        <f t="shared" si="0"/>
        <v>45692</v>
      </c>
      <c r="G66" s="27">
        <v>147</v>
      </c>
      <c r="H66" s="28">
        <f t="shared" si="1"/>
        <v>-3</v>
      </c>
      <c r="I66" s="29">
        <f t="shared" si="2"/>
        <v>0.98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21" customHeight="1">
      <c r="A67" s="31" t="s">
        <v>189</v>
      </c>
      <c r="B67" s="23">
        <v>100</v>
      </c>
      <c r="C67" s="24">
        <v>45513</v>
      </c>
      <c r="D67" s="25">
        <v>180</v>
      </c>
      <c r="E67" s="25">
        <v>90824</v>
      </c>
      <c r="F67" s="26">
        <f t="shared" si="0"/>
        <v>45693</v>
      </c>
      <c r="G67" s="27">
        <v>101</v>
      </c>
      <c r="H67" s="28">
        <f t="shared" si="1"/>
        <v>1</v>
      </c>
      <c r="I67" s="29">
        <f t="shared" si="2"/>
        <v>1.01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21" customHeight="1">
      <c r="A68" s="31" t="s">
        <v>185</v>
      </c>
      <c r="B68" s="23">
        <v>100</v>
      </c>
      <c r="C68" s="24">
        <v>45516</v>
      </c>
      <c r="D68" s="25">
        <v>180</v>
      </c>
      <c r="E68" s="25">
        <v>120824</v>
      </c>
      <c r="F68" s="26">
        <f t="shared" si="0"/>
        <v>45696</v>
      </c>
      <c r="G68" s="27">
        <v>98</v>
      </c>
      <c r="H68" s="28">
        <f t="shared" si="1"/>
        <v>-2</v>
      </c>
      <c r="I68" s="29">
        <f t="shared" si="2"/>
        <v>0.98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21" customHeight="1">
      <c r="A69" s="31" t="s">
        <v>196</v>
      </c>
      <c r="B69" s="23">
        <v>50</v>
      </c>
      <c r="C69" s="24">
        <v>45517</v>
      </c>
      <c r="D69" s="25">
        <v>90</v>
      </c>
      <c r="E69" s="25">
        <v>130824</v>
      </c>
      <c r="F69" s="26">
        <f t="shared" si="0"/>
        <v>45607</v>
      </c>
      <c r="G69" s="27">
        <v>48</v>
      </c>
      <c r="H69" s="28">
        <f t="shared" si="1"/>
        <v>-2</v>
      </c>
      <c r="I69" s="29">
        <f t="shared" si="2"/>
        <v>0.96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21" customHeight="1">
      <c r="A70" s="31" t="s">
        <v>190</v>
      </c>
      <c r="B70" s="23">
        <v>100</v>
      </c>
      <c r="C70" s="24">
        <v>45518</v>
      </c>
      <c r="D70" s="25">
        <v>180</v>
      </c>
      <c r="E70" s="25">
        <v>140824</v>
      </c>
      <c r="F70" s="26">
        <f t="shared" si="0"/>
        <v>45698</v>
      </c>
      <c r="G70" s="27">
        <v>100</v>
      </c>
      <c r="H70" s="28">
        <f t="shared" si="1"/>
        <v>0</v>
      </c>
      <c r="I70" s="29">
        <f t="shared" si="2"/>
        <v>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21" customHeight="1">
      <c r="A71" s="31" t="s">
        <v>208</v>
      </c>
      <c r="B71" s="23">
        <v>50</v>
      </c>
      <c r="C71" s="24">
        <v>45519</v>
      </c>
      <c r="D71" s="25">
        <v>90</v>
      </c>
      <c r="E71" s="25">
        <v>150824</v>
      </c>
      <c r="F71" s="26">
        <v>45611</v>
      </c>
      <c r="G71" s="27">
        <v>37</v>
      </c>
      <c r="H71" s="28">
        <f t="shared" si="1"/>
        <v>-13</v>
      </c>
      <c r="I71" s="29">
        <f t="shared" si="2"/>
        <v>0.74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21" customHeight="1">
      <c r="A72" s="31" t="s">
        <v>184</v>
      </c>
      <c r="B72" s="23">
        <v>150</v>
      </c>
      <c r="C72" s="24">
        <v>45520</v>
      </c>
      <c r="D72" s="25">
        <v>180</v>
      </c>
      <c r="E72" s="25">
        <v>160824</v>
      </c>
      <c r="F72" s="26">
        <v>45704</v>
      </c>
      <c r="G72" s="27">
        <v>152</v>
      </c>
      <c r="H72" s="28">
        <f t="shared" si="1"/>
        <v>2</v>
      </c>
      <c r="I72" s="29">
        <f t="shared" si="2"/>
        <v>1.0133333333333334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21" customHeight="1">
      <c r="A73" s="31" t="s">
        <v>202</v>
      </c>
      <c r="B73" s="23">
        <v>50</v>
      </c>
      <c r="C73" s="24">
        <v>45521</v>
      </c>
      <c r="D73" s="25">
        <v>90</v>
      </c>
      <c r="E73" s="25">
        <v>170824</v>
      </c>
      <c r="F73" s="26">
        <v>45613</v>
      </c>
      <c r="G73" s="27">
        <v>47</v>
      </c>
      <c r="H73" s="28">
        <f t="shared" si="1"/>
        <v>-3</v>
      </c>
      <c r="I73" s="29">
        <f t="shared" si="2"/>
        <v>0.94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21" customHeight="1">
      <c r="A74" s="31" t="s">
        <v>206</v>
      </c>
      <c r="B74" s="23">
        <v>50</v>
      </c>
      <c r="C74" s="24">
        <v>45525</v>
      </c>
      <c r="D74" s="25">
        <v>90</v>
      </c>
      <c r="E74" s="25">
        <v>210824</v>
      </c>
      <c r="F74" s="26">
        <v>45613</v>
      </c>
      <c r="G74" s="27">
        <v>39</v>
      </c>
      <c r="H74" s="28">
        <f t="shared" si="1"/>
        <v>-11</v>
      </c>
      <c r="I74" s="29">
        <f t="shared" si="2"/>
        <v>0.78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21" customHeight="1">
      <c r="A75" s="31" t="s">
        <v>209</v>
      </c>
      <c r="B75" s="23">
        <v>62</v>
      </c>
      <c r="C75" s="24">
        <v>45525</v>
      </c>
      <c r="D75" s="25">
        <v>180</v>
      </c>
      <c r="E75" s="25">
        <v>210824</v>
      </c>
      <c r="F75" s="26">
        <v>45709</v>
      </c>
      <c r="G75" s="27">
        <v>62</v>
      </c>
      <c r="H75" s="28">
        <f t="shared" si="1"/>
        <v>0</v>
      </c>
      <c r="I75" s="29">
        <f t="shared" si="2"/>
        <v>1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21" customHeight="1">
      <c r="A76" s="31" t="s">
        <v>187</v>
      </c>
      <c r="B76" s="23">
        <v>150</v>
      </c>
      <c r="C76" s="24">
        <v>45526</v>
      </c>
      <c r="D76" s="25">
        <v>180</v>
      </c>
      <c r="E76" s="25">
        <v>220824</v>
      </c>
      <c r="F76" s="26">
        <v>45710</v>
      </c>
      <c r="G76" s="27">
        <v>150</v>
      </c>
      <c r="H76" s="28">
        <f t="shared" si="1"/>
        <v>0</v>
      </c>
      <c r="I76" s="29">
        <f t="shared" si="2"/>
        <v>1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21" customHeight="1">
      <c r="A77" s="31" t="s">
        <v>186</v>
      </c>
      <c r="B77" s="23">
        <v>150</v>
      </c>
      <c r="C77" s="24">
        <v>45527</v>
      </c>
      <c r="D77" s="25">
        <v>180</v>
      </c>
      <c r="E77" s="25">
        <v>230824</v>
      </c>
      <c r="F77" s="26">
        <v>45345</v>
      </c>
      <c r="G77" s="27">
        <v>150</v>
      </c>
      <c r="H77" s="28">
        <f t="shared" si="1"/>
        <v>0</v>
      </c>
      <c r="I77" s="29">
        <f t="shared" si="2"/>
        <v>1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21" customHeight="1">
      <c r="A78" s="31" t="s">
        <v>191</v>
      </c>
      <c r="B78" s="23">
        <v>50</v>
      </c>
      <c r="C78" s="24">
        <v>45530</v>
      </c>
      <c r="D78" s="25">
        <v>180</v>
      </c>
      <c r="E78" s="25">
        <v>260824</v>
      </c>
      <c r="F78" s="26">
        <v>45714</v>
      </c>
      <c r="G78" s="27">
        <v>49</v>
      </c>
      <c r="H78" s="28">
        <f t="shared" si="1"/>
        <v>-1</v>
      </c>
      <c r="I78" s="29">
        <f t="shared" si="2"/>
        <v>0.98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ht="21" customHeight="1">
      <c r="A79" s="31" t="s">
        <v>188</v>
      </c>
      <c r="B79" s="23">
        <v>50</v>
      </c>
      <c r="C79" s="24">
        <v>45533</v>
      </c>
      <c r="D79" s="25">
        <v>90</v>
      </c>
      <c r="E79" s="25">
        <v>290824</v>
      </c>
      <c r="F79" s="26">
        <v>45625</v>
      </c>
      <c r="G79" s="27">
        <v>29</v>
      </c>
      <c r="H79" s="28">
        <f t="shared" si="1"/>
        <v>-21</v>
      </c>
      <c r="I79" s="29">
        <f t="shared" si="2"/>
        <v>0.57999999999999996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ht="21" customHeight="1">
      <c r="A80" s="31" t="s">
        <v>207</v>
      </c>
      <c r="B80" s="23">
        <v>50</v>
      </c>
      <c r="C80" s="24">
        <v>45533</v>
      </c>
      <c r="D80" s="25">
        <v>90</v>
      </c>
      <c r="E80" s="25">
        <v>290824</v>
      </c>
      <c r="F80" s="26">
        <v>45625</v>
      </c>
      <c r="G80" s="27">
        <v>40</v>
      </c>
      <c r="H80" s="28">
        <f t="shared" si="1"/>
        <v>-10</v>
      </c>
      <c r="I80" s="29">
        <f t="shared" si="2"/>
        <v>0.8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ht="21" customHeight="1">
      <c r="A81" s="31" t="s">
        <v>196</v>
      </c>
      <c r="B81" s="23">
        <v>50</v>
      </c>
      <c r="C81" s="32">
        <v>45534</v>
      </c>
      <c r="D81" s="25">
        <v>90</v>
      </c>
      <c r="E81" s="25">
        <v>300824</v>
      </c>
      <c r="F81" s="26">
        <v>45626</v>
      </c>
      <c r="G81" s="27">
        <v>62</v>
      </c>
      <c r="H81" s="28">
        <f t="shared" si="1"/>
        <v>12</v>
      </c>
      <c r="I81" s="29">
        <f t="shared" si="2"/>
        <v>1.24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ht="21" customHeight="1">
      <c r="A82" s="31" t="s">
        <v>194</v>
      </c>
      <c r="B82" s="23">
        <v>100</v>
      </c>
      <c r="C82" s="24">
        <v>45537</v>
      </c>
      <c r="D82" s="25">
        <v>180</v>
      </c>
      <c r="E82" s="25">
        <v>20924</v>
      </c>
      <c r="F82" s="26">
        <v>45718</v>
      </c>
      <c r="G82" s="27">
        <v>100</v>
      </c>
      <c r="H82" s="28">
        <f t="shared" si="1"/>
        <v>0</v>
      </c>
      <c r="I82" s="29">
        <f t="shared" si="2"/>
        <v>1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ht="21" customHeight="1">
      <c r="A83" s="31" t="s">
        <v>185</v>
      </c>
      <c r="B83" s="23">
        <v>100</v>
      </c>
      <c r="C83" s="24">
        <v>45538</v>
      </c>
      <c r="D83" s="25">
        <v>180</v>
      </c>
      <c r="E83" s="25">
        <v>30924</v>
      </c>
      <c r="F83" s="26">
        <v>45719</v>
      </c>
      <c r="G83" s="27">
        <v>100</v>
      </c>
      <c r="H83" s="28">
        <f t="shared" si="1"/>
        <v>0</v>
      </c>
      <c r="I83" s="29">
        <f t="shared" si="2"/>
        <v>1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ht="21" customHeight="1">
      <c r="A84" s="31" t="s">
        <v>190</v>
      </c>
      <c r="B84" s="23">
        <v>100</v>
      </c>
      <c r="C84" s="24">
        <v>45539</v>
      </c>
      <c r="D84" s="25">
        <v>180</v>
      </c>
      <c r="E84" s="25">
        <v>40924</v>
      </c>
      <c r="F84" s="26">
        <v>45720</v>
      </c>
      <c r="G84" s="27">
        <v>100</v>
      </c>
      <c r="H84" s="28">
        <f t="shared" si="1"/>
        <v>0</v>
      </c>
      <c r="I84" s="29">
        <f t="shared" si="2"/>
        <v>1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ht="21" customHeight="1">
      <c r="A85" s="31" t="s">
        <v>202</v>
      </c>
      <c r="B85" s="23">
        <v>50</v>
      </c>
      <c r="C85" s="24">
        <v>45540</v>
      </c>
      <c r="D85" s="25">
        <v>90</v>
      </c>
      <c r="E85" s="25">
        <v>50924</v>
      </c>
      <c r="F85" s="26">
        <v>45631</v>
      </c>
      <c r="G85" s="27">
        <v>48</v>
      </c>
      <c r="H85" s="28">
        <f t="shared" si="1"/>
        <v>-2</v>
      </c>
      <c r="I85" s="29">
        <f t="shared" si="2"/>
        <v>0.96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ht="21" customHeight="1">
      <c r="A86" s="31" t="s">
        <v>208</v>
      </c>
      <c r="B86" s="23">
        <v>50</v>
      </c>
      <c r="C86" s="24">
        <v>45540</v>
      </c>
      <c r="D86" s="25">
        <v>90</v>
      </c>
      <c r="E86" s="25">
        <v>50924</v>
      </c>
      <c r="F86" s="26">
        <v>45631</v>
      </c>
      <c r="G86" s="27">
        <v>52</v>
      </c>
      <c r="H86" s="28">
        <f t="shared" si="1"/>
        <v>2</v>
      </c>
      <c r="I86" s="29">
        <f t="shared" si="2"/>
        <v>1.04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ht="21" customHeight="1">
      <c r="A87" s="31" t="s">
        <v>189</v>
      </c>
      <c r="B87" s="23">
        <v>100</v>
      </c>
      <c r="C87" s="24">
        <v>45541</v>
      </c>
      <c r="D87" s="25">
        <v>180</v>
      </c>
      <c r="E87" s="25">
        <v>60924</v>
      </c>
      <c r="F87" s="26">
        <v>45722</v>
      </c>
      <c r="G87" s="27">
        <v>121</v>
      </c>
      <c r="H87" s="28">
        <f t="shared" si="1"/>
        <v>21</v>
      </c>
      <c r="I87" s="29">
        <f t="shared" si="2"/>
        <v>1.21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ht="21" customHeight="1">
      <c r="A88" s="31" t="s">
        <v>200</v>
      </c>
      <c r="B88" s="23">
        <v>150</v>
      </c>
      <c r="C88" s="24">
        <v>45544</v>
      </c>
      <c r="D88" s="25">
        <v>180</v>
      </c>
      <c r="E88" s="25">
        <v>90924</v>
      </c>
      <c r="F88" s="26">
        <v>45360</v>
      </c>
      <c r="G88" s="27">
        <v>150</v>
      </c>
      <c r="H88" s="28">
        <f t="shared" si="1"/>
        <v>0</v>
      </c>
      <c r="I88" s="29">
        <f t="shared" si="2"/>
        <v>1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ht="21" customHeight="1">
      <c r="A89" s="31" t="s">
        <v>188</v>
      </c>
      <c r="B89" s="23">
        <v>50</v>
      </c>
      <c r="C89" s="24">
        <v>45544</v>
      </c>
      <c r="D89" s="25">
        <v>90</v>
      </c>
      <c r="E89" s="25">
        <v>90924</v>
      </c>
      <c r="F89" s="26">
        <v>45635</v>
      </c>
      <c r="G89" s="27">
        <v>42</v>
      </c>
      <c r="H89" s="28">
        <f t="shared" si="1"/>
        <v>-8</v>
      </c>
      <c r="I89" s="29">
        <f t="shared" si="2"/>
        <v>0.84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ht="21" customHeight="1">
      <c r="A90" s="31" t="s">
        <v>207</v>
      </c>
      <c r="B90" s="23">
        <v>50</v>
      </c>
      <c r="C90" s="24">
        <v>45545</v>
      </c>
      <c r="D90" s="25">
        <v>90</v>
      </c>
      <c r="E90" s="25">
        <v>10924</v>
      </c>
      <c r="F90" s="26">
        <v>45636</v>
      </c>
      <c r="G90" s="27">
        <v>42</v>
      </c>
      <c r="H90" s="28">
        <f t="shared" si="1"/>
        <v>-8</v>
      </c>
      <c r="I90" s="29">
        <f t="shared" si="2"/>
        <v>0.84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ht="21" customHeight="1">
      <c r="A91" s="31" t="s">
        <v>187</v>
      </c>
      <c r="B91" s="23">
        <v>150</v>
      </c>
      <c r="C91" s="24">
        <v>45545</v>
      </c>
      <c r="D91" s="25">
        <v>180</v>
      </c>
      <c r="E91" s="25">
        <v>1924</v>
      </c>
      <c r="F91" s="26">
        <v>45726</v>
      </c>
      <c r="G91" s="27">
        <v>155</v>
      </c>
      <c r="H91" s="28">
        <f t="shared" si="1"/>
        <v>5</v>
      </c>
      <c r="I91" s="29">
        <f t="shared" si="2"/>
        <v>1.0333333333333334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ht="21" customHeight="1">
      <c r="A92" s="31" t="s">
        <v>186</v>
      </c>
      <c r="B92" s="23">
        <v>150</v>
      </c>
      <c r="C92" s="24">
        <v>45546</v>
      </c>
      <c r="D92" s="25">
        <v>180</v>
      </c>
      <c r="E92" s="25">
        <v>110924</v>
      </c>
      <c r="F92" s="26">
        <v>45727</v>
      </c>
      <c r="G92" s="27">
        <v>154</v>
      </c>
      <c r="H92" s="28">
        <f t="shared" si="1"/>
        <v>4</v>
      </c>
      <c r="I92" s="29">
        <f t="shared" si="2"/>
        <v>1.0266666666666666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ht="21" customHeight="1">
      <c r="A93" s="31" t="s">
        <v>196</v>
      </c>
      <c r="B93" s="23">
        <v>50</v>
      </c>
      <c r="C93" s="24">
        <v>45547</v>
      </c>
      <c r="D93" s="25">
        <v>90</v>
      </c>
      <c r="E93" s="25">
        <v>120924</v>
      </c>
      <c r="F93" s="26">
        <v>45638</v>
      </c>
      <c r="G93" s="27">
        <v>55</v>
      </c>
      <c r="H93" s="28">
        <f t="shared" si="1"/>
        <v>5</v>
      </c>
      <c r="I93" s="29">
        <f t="shared" si="2"/>
        <v>1.1000000000000001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 ht="21" customHeight="1">
      <c r="A94" s="31" t="s">
        <v>202</v>
      </c>
      <c r="B94" s="23">
        <v>50</v>
      </c>
      <c r="C94" s="24">
        <v>45547</v>
      </c>
      <c r="D94" s="25">
        <v>90</v>
      </c>
      <c r="E94" s="25">
        <v>120924</v>
      </c>
      <c r="F94" s="26">
        <v>45638</v>
      </c>
      <c r="G94" s="27">
        <v>43</v>
      </c>
      <c r="H94" s="28">
        <f t="shared" si="1"/>
        <v>-7</v>
      </c>
      <c r="I94" s="29">
        <f t="shared" si="2"/>
        <v>0.86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 ht="21" customHeight="1">
      <c r="A95" s="31" t="s">
        <v>194</v>
      </c>
      <c r="B95" s="23">
        <v>150</v>
      </c>
      <c r="C95" s="24">
        <v>45548</v>
      </c>
      <c r="D95" s="25">
        <v>180</v>
      </c>
      <c r="E95" s="25">
        <v>130924</v>
      </c>
      <c r="F95" s="26">
        <v>45729</v>
      </c>
      <c r="G95" s="27">
        <v>166</v>
      </c>
      <c r="H95" s="28">
        <f t="shared" si="1"/>
        <v>16</v>
      </c>
      <c r="I95" s="29">
        <f t="shared" si="2"/>
        <v>1.1066666666666667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ht="21" customHeight="1">
      <c r="A96" s="31" t="s">
        <v>185</v>
      </c>
      <c r="B96" s="23">
        <v>150</v>
      </c>
      <c r="C96" s="24">
        <v>45548</v>
      </c>
      <c r="D96" s="25">
        <v>180</v>
      </c>
      <c r="E96" s="25">
        <v>130924</v>
      </c>
      <c r="F96" s="26">
        <v>45729</v>
      </c>
      <c r="G96" s="27">
        <v>150</v>
      </c>
      <c r="H96" s="28">
        <f t="shared" si="1"/>
        <v>0</v>
      </c>
      <c r="I96" s="29">
        <f t="shared" si="2"/>
        <v>1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ht="21" customHeight="1">
      <c r="A97" s="31" t="s">
        <v>205</v>
      </c>
      <c r="B97" s="23">
        <v>50</v>
      </c>
      <c r="C97" s="24">
        <v>45551</v>
      </c>
      <c r="D97" s="25">
        <v>90</v>
      </c>
      <c r="E97" s="25">
        <v>160924</v>
      </c>
      <c r="F97" s="26">
        <v>45642</v>
      </c>
      <c r="G97" s="27">
        <v>30</v>
      </c>
      <c r="H97" s="28">
        <f t="shared" si="1"/>
        <v>-20</v>
      </c>
      <c r="I97" s="29">
        <f t="shared" si="2"/>
        <v>0.6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ht="21" customHeight="1">
      <c r="A98" s="31" t="s">
        <v>208</v>
      </c>
      <c r="B98" s="23">
        <v>50</v>
      </c>
      <c r="C98" s="24">
        <v>45551</v>
      </c>
      <c r="D98" s="25">
        <v>90</v>
      </c>
      <c r="E98" s="25">
        <v>160924</v>
      </c>
      <c r="F98" s="26">
        <v>45642</v>
      </c>
      <c r="G98" s="27">
        <v>52</v>
      </c>
      <c r="H98" s="28">
        <f t="shared" si="1"/>
        <v>2</v>
      </c>
      <c r="I98" s="29">
        <f t="shared" si="2"/>
        <v>1.04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ht="21" customHeight="1">
      <c r="A99" s="31" t="s">
        <v>207</v>
      </c>
      <c r="B99" s="23">
        <v>50</v>
      </c>
      <c r="C99" s="24">
        <v>45552</v>
      </c>
      <c r="D99" s="25">
        <v>90</v>
      </c>
      <c r="E99" s="25">
        <v>170924</v>
      </c>
      <c r="F99" s="26">
        <v>45643</v>
      </c>
      <c r="G99" s="27">
        <v>59</v>
      </c>
      <c r="H99" s="28">
        <f t="shared" si="1"/>
        <v>9</v>
      </c>
      <c r="I99" s="29">
        <f t="shared" si="2"/>
        <v>1.18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ht="21" customHeight="1">
      <c r="A100" s="31" t="s">
        <v>188</v>
      </c>
      <c r="B100" s="23">
        <v>50</v>
      </c>
      <c r="C100" s="24">
        <v>45553</v>
      </c>
      <c r="D100" s="25">
        <v>90</v>
      </c>
      <c r="E100" s="25">
        <v>180924</v>
      </c>
      <c r="F100" s="26">
        <v>45644</v>
      </c>
      <c r="G100" s="27">
        <v>46</v>
      </c>
      <c r="H100" s="28">
        <f t="shared" si="1"/>
        <v>-4</v>
      </c>
      <c r="I100" s="29">
        <f t="shared" si="2"/>
        <v>0.92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ht="21" customHeight="1">
      <c r="A101" s="31" t="s">
        <v>190</v>
      </c>
      <c r="B101" s="23">
        <v>150</v>
      </c>
      <c r="C101" s="24">
        <v>45553</v>
      </c>
      <c r="D101" s="25">
        <v>180</v>
      </c>
      <c r="E101" s="25">
        <v>180924</v>
      </c>
      <c r="F101" s="26">
        <v>45735</v>
      </c>
      <c r="G101" s="27">
        <v>157</v>
      </c>
      <c r="H101" s="28">
        <f t="shared" si="1"/>
        <v>7</v>
      </c>
      <c r="I101" s="29">
        <f t="shared" si="2"/>
        <v>1.0466666666666666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 ht="21" customHeight="1">
      <c r="A102" s="31" t="s">
        <v>196</v>
      </c>
      <c r="B102" s="23">
        <v>50</v>
      </c>
      <c r="C102" s="24">
        <v>45554</v>
      </c>
      <c r="D102" s="25">
        <v>90</v>
      </c>
      <c r="E102" s="25">
        <v>190924</v>
      </c>
      <c r="F102" s="26">
        <v>45645</v>
      </c>
      <c r="G102" s="27">
        <v>61</v>
      </c>
      <c r="H102" s="28">
        <f t="shared" si="1"/>
        <v>11</v>
      </c>
      <c r="I102" s="29">
        <f t="shared" si="2"/>
        <v>1.22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 ht="21" customHeight="1">
      <c r="A103" s="31" t="s">
        <v>189</v>
      </c>
      <c r="B103" s="23">
        <v>150</v>
      </c>
      <c r="C103" s="24">
        <v>45554</v>
      </c>
      <c r="D103" s="25">
        <v>180</v>
      </c>
      <c r="E103" s="25">
        <v>190924</v>
      </c>
      <c r="F103" s="26">
        <v>45735</v>
      </c>
      <c r="G103" s="27">
        <v>160</v>
      </c>
      <c r="H103" s="28">
        <f t="shared" si="1"/>
        <v>10</v>
      </c>
      <c r="I103" s="29">
        <f t="shared" si="2"/>
        <v>1.0666666666666667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 ht="21" customHeight="1">
      <c r="A104" s="31" t="s">
        <v>184</v>
      </c>
      <c r="B104" s="23">
        <v>150</v>
      </c>
      <c r="C104" s="24">
        <v>45555</v>
      </c>
      <c r="D104" s="25">
        <v>180</v>
      </c>
      <c r="E104" s="25">
        <v>200924</v>
      </c>
      <c r="F104" s="26">
        <v>45736</v>
      </c>
      <c r="G104" s="27">
        <v>177</v>
      </c>
      <c r="H104" s="28">
        <f t="shared" si="1"/>
        <v>27</v>
      </c>
      <c r="I104" s="29">
        <f t="shared" si="2"/>
        <v>1.18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ht="21" customHeight="1">
      <c r="A105" s="31" t="s">
        <v>188</v>
      </c>
      <c r="B105" s="23">
        <v>50</v>
      </c>
      <c r="C105" s="24">
        <v>45558</v>
      </c>
      <c r="D105" s="25">
        <v>90</v>
      </c>
      <c r="E105" s="25">
        <v>230924</v>
      </c>
      <c r="F105" s="26">
        <v>45649</v>
      </c>
      <c r="G105" s="27">
        <v>51</v>
      </c>
      <c r="H105" s="28">
        <f t="shared" si="1"/>
        <v>1</v>
      </c>
      <c r="I105" s="29">
        <f t="shared" si="2"/>
        <v>1.02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ht="21" customHeight="1">
      <c r="A106" s="31" t="s">
        <v>202</v>
      </c>
      <c r="B106" s="23">
        <v>50</v>
      </c>
      <c r="C106" s="24">
        <v>45558</v>
      </c>
      <c r="D106" s="25">
        <v>90</v>
      </c>
      <c r="E106" s="25">
        <v>230924</v>
      </c>
      <c r="F106" s="26">
        <v>45649</v>
      </c>
      <c r="G106" s="27">
        <v>59</v>
      </c>
      <c r="H106" s="28">
        <f t="shared" si="1"/>
        <v>9</v>
      </c>
      <c r="I106" s="29">
        <f t="shared" si="2"/>
        <v>1.18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21" customHeight="1">
      <c r="A107" s="31" t="s">
        <v>208</v>
      </c>
      <c r="B107" s="23">
        <v>50</v>
      </c>
      <c r="C107" s="24">
        <v>45559</v>
      </c>
      <c r="D107" s="25">
        <v>90</v>
      </c>
      <c r="E107" s="25">
        <v>240924</v>
      </c>
      <c r="F107" s="26">
        <v>45650</v>
      </c>
      <c r="G107" s="27">
        <v>55</v>
      </c>
      <c r="H107" s="28">
        <f t="shared" si="1"/>
        <v>5</v>
      </c>
      <c r="I107" s="29">
        <f t="shared" si="2"/>
        <v>1.1000000000000001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ht="21" customHeight="1">
      <c r="A108" s="31" t="s">
        <v>187</v>
      </c>
      <c r="B108" s="23">
        <v>150</v>
      </c>
      <c r="C108" s="24">
        <v>45559</v>
      </c>
      <c r="D108" s="25">
        <v>180</v>
      </c>
      <c r="E108" s="25">
        <v>240924</v>
      </c>
      <c r="F108" s="26">
        <v>45375</v>
      </c>
      <c r="G108" s="27">
        <v>150</v>
      </c>
      <c r="H108" s="28">
        <f t="shared" si="1"/>
        <v>0</v>
      </c>
      <c r="I108" s="29">
        <f t="shared" si="2"/>
        <v>1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ht="21" customHeight="1">
      <c r="A109" s="31" t="s">
        <v>196</v>
      </c>
      <c r="B109" s="23">
        <v>50</v>
      </c>
      <c r="C109" s="24">
        <v>45560</v>
      </c>
      <c r="D109" s="25">
        <v>90</v>
      </c>
      <c r="E109" s="25">
        <v>250924</v>
      </c>
      <c r="F109" s="26">
        <v>45651</v>
      </c>
      <c r="G109" s="27">
        <v>62</v>
      </c>
      <c r="H109" s="28">
        <f t="shared" si="1"/>
        <v>12</v>
      </c>
      <c r="I109" s="29">
        <f t="shared" si="2"/>
        <v>1.24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ht="21" customHeight="1">
      <c r="A110" s="31" t="s">
        <v>186</v>
      </c>
      <c r="B110" s="23">
        <v>150</v>
      </c>
      <c r="C110" s="24">
        <v>45560</v>
      </c>
      <c r="D110" s="25">
        <v>180</v>
      </c>
      <c r="E110" s="25">
        <v>250924</v>
      </c>
      <c r="F110" s="26">
        <v>45741</v>
      </c>
      <c r="G110" s="27">
        <v>150</v>
      </c>
      <c r="H110" s="28">
        <f t="shared" si="1"/>
        <v>0</v>
      </c>
      <c r="I110" s="29">
        <f t="shared" si="2"/>
        <v>1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ht="21" customHeight="1">
      <c r="A111" s="31" t="s">
        <v>209</v>
      </c>
      <c r="B111" s="23">
        <v>60</v>
      </c>
      <c r="C111" s="24">
        <v>45562</v>
      </c>
      <c r="D111" s="25">
        <v>180</v>
      </c>
      <c r="E111" s="25">
        <v>270924</v>
      </c>
      <c r="F111" s="26">
        <v>45743</v>
      </c>
      <c r="G111" s="27">
        <v>60</v>
      </c>
      <c r="H111" s="28">
        <f t="shared" si="1"/>
        <v>0</v>
      </c>
      <c r="I111" s="29">
        <f t="shared" si="2"/>
        <v>1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 ht="21" customHeight="1">
      <c r="A112" s="31" t="s">
        <v>188</v>
      </c>
      <c r="B112" s="23">
        <v>50</v>
      </c>
      <c r="C112" s="24">
        <v>45565</v>
      </c>
      <c r="D112" s="25">
        <v>90</v>
      </c>
      <c r="E112" s="25">
        <v>300924</v>
      </c>
      <c r="F112" s="33">
        <v>45656</v>
      </c>
      <c r="G112" s="27">
        <v>54</v>
      </c>
      <c r="H112" s="28">
        <f t="shared" si="1"/>
        <v>4</v>
      </c>
      <c r="I112" s="29">
        <f t="shared" si="2"/>
        <v>1.08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 ht="21" customHeight="1">
      <c r="A113" s="31" t="s">
        <v>207</v>
      </c>
      <c r="B113" s="23">
        <v>50</v>
      </c>
      <c r="C113" s="24">
        <v>45565</v>
      </c>
      <c r="D113" s="25">
        <v>90</v>
      </c>
      <c r="E113" s="25">
        <v>300924</v>
      </c>
      <c r="F113" s="26">
        <v>45656</v>
      </c>
      <c r="G113" s="27">
        <v>57</v>
      </c>
      <c r="H113" s="28">
        <f t="shared" si="1"/>
        <v>7</v>
      </c>
      <c r="I113" s="29">
        <f t="shared" si="2"/>
        <v>1.1399999999999999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ht="21" customHeight="1">
      <c r="A114" s="31" t="s">
        <v>185</v>
      </c>
      <c r="B114" s="23">
        <v>150</v>
      </c>
      <c r="C114" s="24">
        <v>45566</v>
      </c>
      <c r="D114" s="25">
        <v>180</v>
      </c>
      <c r="E114" s="25">
        <v>11024</v>
      </c>
      <c r="F114" s="26">
        <v>45748</v>
      </c>
      <c r="G114" s="27">
        <v>150</v>
      </c>
      <c r="H114" s="28">
        <f t="shared" si="1"/>
        <v>0</v>
      </c>
      <c r="I114" s="29">
        <f t="shared" si="2"/>
        <v>1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ht="21" customHeight="1">
      <c r="A115" s="31" t="s">
        <v>200</v>
      </c>
      <c r="B115" s="23">
        <v>150</v>
      </c>
      <c r="C115" s="24">
        <v>45567</v>
      </c>
      <c r="D115" s="25">
        <v>180</v>
      </c>
      <c r="E115" s="25">
        <v>21024</v>
      </c>
      <c r="F115" s="26">
        <v>45749</v>
      </c>
      <c r="G115" s="27">
        <v>150</v>
      </c>
      <c r="H115" s="28">
        <f t="shared" si="1"/>
        <v>0</v>
      </c>
      <c r="I115" s="29">
        <f t="shared" si="2"/>
        <v>1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ht="21" customHeight="1">
      <c r="A116" s="31" t="s">
        <v>205</v>
      </c>
      <c r="B116" s="17"/>
      <c r="C116" s="24">
        <v>45567</v>
      </c>
      <c r="D116" s="25">
        <v>180</v>
      </c>
      <c r="E116" s="25">
        <v>21024</v>
      </c>
      <c r="F116" s="26">
        <v>45749</v>
      </c>
      <c r="G116" s="27">
        <v>32</v>
      </c>
      <c r="H116" s="28">
        <f t="shared" si="1"/>
        <v>32</v>
      </c>
      <c r="I116" s="29" t="e">
        <f t="shared" si="2"/>
        <v>#DIV/0!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 ht="21" customHeight="1">
      <c r="A117" s="31" t="s">
        <v>206</v>
      </c>
      <c r="B117" s="17"/>
      <c r="C117" s="24">
        <v>45567</v>
      </c>
      <c r="D117" s="25">
        <v>180</v>
      </c>
      <c r="E117" s="25">
        <v>21024</v>
      </c>
      <c r="F117" s="26">
        <v>45749</v>
      </c>
      <c r="G117" s="27">
        <v>20</v>
      </c>
      <c r="H117" s="28">
        <f t="shared" si="1"/>
        <v>20</v>
      </c>
      <c r="I117" s="29" t="e">
        <f t="shared" si="2"/>
        <v>#DIV/0!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 ht="21" customHeight="1">
      <c r="A118" s="31" t="s">
        <v>203</v>
      </c>
      <c r="B118" s="17"/>
      <c r="C118" s="24">
        <v>45568</v>
      </c>
      <c r="D118" s="25">
        <v>180</v>
      </c>
      <c r="E118" s="25">
        <v>31024</v>
      </c>
      <c r="F118" s="26">
        <v>45750</v>
      </c>
      <c r="G118" s="27">
        <v>20</v>
      </c>
      <c r="H118" s="28">
        <f t="shared" si="1"/>
        <v>20</v>
      </c>
      <c r="I118" s="29" t="e">
        <f t="shared" si="2"/>
        <v>#DIV/0!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ht="21" customHeight="1">
      <c r="A119" s="31" t="s">
        <v>204</v>
      </c>
      <c r="B119" s="17"/>
      <c r="C119" s="24">
        <v>45568</v>
      </c>
      <c r="D119" s="25">
        <v>180</v>
      </c>
      <c r="E119" s="25">
        <v>31024</v>
      </c>
      <c r="F119" s="26">
        <v>45750</v>
      </c>
      <c r="G119" s="27">
        <v>20</v>
      </c>
      <c r="H119" s="28">
        <f t="shared" si="1"/>
        <v>20</v>
      </c>
      <c r="I119" s="29" t="e">
        <f t="shared" si="2"/>
        <v>#DIV/0!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ht="21" customHeight="1">
      <c r="A120" s="31" t="s">
        <v>187</v>
      </c>
      <c r="B120" s="23">
        <v>150</v>
      </c>
      <c r="C120" s="24">
        <v>45569</v>
      </c>
      <c r="D120" s="25">
        <v>180</v>
      </c>
      <c r="E120" s="25">
        <v>41024</v>
      </c>
      <c r="F120" s="26">
        <v>45751</v>
      </c>
      <c r="G120" s="27">
        <v>149</v>
      </c>
      <c r="H120" s="28">
        <f t="shared" si="1"/>
        <v>-1</v>
      </c>
      <c r="I120" s="29">
        <f t="shared" si="2"/>
        <v>0.99333333333333329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ht="21" customHeight="1">
      <c r="A121" s="31" t="s">
        <v>208</v>
      </c>
      <c r="B121" s="23">
        <v>50</v>
      </c>
      <c r="C121" s="24">
        <v>45572</v>
      </c>
      <c r="D121" s="25">
        <v>90</v>
      </c>
      <c r="E121" s="25">
        <v>71024</v>
      </c>
      <c r="F121" s="26">
        <v>45664</v>
      </c>
      <c r="G121" s="27">
        <v>47</v>
      </c>
      <c r="H121" s="28">
        <f t="shared" si="1"/>
        <v>-3</v>
      </c>
      <c r="I121" s="29">
        <f t="shared" si="2"/>
        <v>0.94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 ht="21" customHeight="1">
      <c r="A122" s="31" t="s">
        <v>202</v>
      </c>
      <c r="B122" s="23">
        <v>50</v>
      </c>
      <c r="C122" s="24">
        <v>45572</v>
      </c>
      <c r="D122" s="25">
        <v>90</v>
      </c>
      <c r="E122" s="25">
        <v>71024</v>
      </c>
      <c r="F122" s="26">
        <v>45664</v>
      </c>
      <c r="G122" s="27">
        <v>54</v>
      </c>
      <c r="H122" s="28">
        <f t="shared" si="1"/>
        <v>4</v>
      </c>
      <c r="I122" s="29">
        <f t="shared" si="2"/>
        <v>1.08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 ht="21" customHeight="1">
      <c r="A123" s="31" t="s">
        <v>194</v>
      </c>
      <c r="B123" s="23">
        <v>150</v>
      </c>
      <c r="C123" s="24">
        <v>45573</v>
      </c>
      <c r="D123" s="25">
        <v>180</v>
      </c>
      <c r="E123" s="25">
        <v>81024</v>
      </c>
      <c r="F123" s="26">
        <v>45755</v>
      </c>
      <c r="G123" s="27">
        <v>150</v>
      </c>
      <c r="H123" s="28">
        <f t="shared" si="1"/>
        <v>0</v>
      </c>
      <c r="I123" s="29">
        <f t="shared" si="2"/>
        <v>1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21" customHeight="1">
      <c r="A124" s="31" t="s">
        <v>196</v>
      </c>
      <c r="B124" s="23">
        <v>50</v>
      </c>
      <c r="C124" s="24">
        <v>45573</v>
      </c>
      <c r="D124" s="25">
        <v>90</v>
      </c>
      <c r="E124" s="25">
        <v>81024</v>
      </c>
      <c r="F124" s="26">
        <v>45665</v>
      </c>
      <c r="G124" s="27">
        <v>61</v>
      </c>
      <c r="H124" s="28">
        <f t="shared" si="1"/>
        <v>11</v>
      </c>
      <c r="I124" s="29">
        <f t="shared" si="2"/>
        <v>1.22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 ht="21" customHeight="1">
      <c r="A125" s="31" t="s">
        <v>207</v>
      </c>
      <c r="B125" s="23">
        <v>50</v>
      </c>
      <c r="C125" s="24">
        <v>45574</v>
      </c>
      <c r="D125" s="25">
        <v>90</v>
      </c>
      <c r="E125" s="25">
        <v>91024</v>
      </c>
      <c r="F125" s="26">
        <v>45666</v>
      </c>
      <c r="G125" s="27">
        <v>57</v>
      </c>
      <c r="H125" s="28">
        <f t="shared" si="1"/>
        <v>7</v>
      </c>
      <c r="I125" s="29">
        <f t="shared" si="2"/>
        <v>1.1399999999999999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ht="21" customHeight="1">
      <c r="A126" s="31" t="s">
        <v>188</v>
      </c>
      <c r="B126" s="23">
        <v>100</v>
      </c>
      <c r="C126" s="24">
        <v>45575</v>
      </c>
      <c r="D126" s="25">
        <v>90</v>
      </c>
      <c r="E126" s="25">
        <v>101024</v>
      </c>
      <c r="F126" s="26">
        <v>45667</v>
      </c>
      <c r="G126" s="27">
        <v>92</v>
      </c>
      <c r="H126" s="28">
        <f t="shared" si="1"/>
        <v>-8</v>
      </c>
      <c r="I126" s="29">
        <f t="shared" si="2"/>
        <v>0.92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 ht="21" customHeight="1">
      <c r="A127" s="31" t="s">
        <v>190</v>
      </c>
      <c r="B127" s="23">
        <v>150</v>
      </c>
      <c r="C127" s="24">
        <v>45576</v>
      </c>
      <c r="D127" s="25">
        <v>180</v>
      </c>
      <c r="E127" s="25">
        <v>111024</v>
      </c>
      <c r="F127" s="26">
        <v>45758</v>
      </c>
      <c r="G127" s="27">
        <v>150</v>
      </c>
      <c r="H127" s="28">
        <f t="shared" si="1"/>
        <v>0</v>
      </c>
      <c r="I127" s="29">
        <f t="shared" si="2"/>
        <v>1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 ht="21" customHeight="1">
      <c r="A128" s="31" t="s">
        <v>202</v>
      </c>
      <c r="B128" s="23">
        <v>50</v>
      </c>
      <c r="C128" s="24">
        <v>45580</v>
      </c>
      <c r="D128" s="25">
        <v>90</v>
      </c>
      <c r="E128" s="25">
        <v>151024</v>
      </c>
      <c r="F128" s="26">
        <v>45672</v>
      </c>
      <c r="G128" s="27">
        <v>54</v>
      </c>
      <c r="H128" s="28">
        <f t="shared" si="1"/>
        <v>4</v>
      </c>
      <c r="I128" s="29">
        <f t="shared" si="2"/>
        <v>1.08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 ht="21" customHeight="1">
      <c r="A129" s="31" t="s">
        <v>208</v>
      </c>
      <c r="B129" s="23">
        <v>50</v>
      </c>
      <c r="C129" s="24">
        <v>45580</v>
      </c>
      <c r="D129" s="25">
        <v>90</v>
      </c>
      <c r="E129" s="25">
        <v>151024</v>
      </c>
      <c r="F129" s="26">
        <v>45672</v>
      </c>
      <c r="G129" s="27">
        <v>52</v>
      </c>
      <c r="H129" s="28">
        <f t="shared" si="1"/>
        <v>2</v>
      </c>
      <c r="I129" s="29">
        <f t="shared" si="2"/>
        <v>1.04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ht="21" customHeight="1">
      <c r="A130" s="31" t="s">
        <v>186</v>
      </c>
      <c r="B130" s="23">
        <v>150</v>
      </c>
      <c r="C130" s="24">
        <v>45581</v>
      </c>
      <c r="D130" s="25">
        <v>180</v>
      </c>
      <c r="E130" s="25">
        <v>161024</v>
      </c>
      <c r="F130" s="26">
        <v>45763</v>
      </c>
      <c r="G130" s="27">
        <v>158</v>
      </c>
      <c r="H130" s="28">
        <f t="shared" si="1"/>
        <v>8</v>
      </c>
      <c r="I130" s="29">
        <f t="shared" si="2"/>
        <v>1.0533333333333332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 ht="21" customHeight="1">
      <c r="A131" s="31" t="s">
        <v>196</v>
      </c>
      <c r="B131" s="23">
        <v>50</v>
      </c>
      <c r="C131" s="24">
        <v>45582</v>
      </c>
      <c r="D131" s="25">
        <v>90</v>
      </c>
      <c r="E131" s="25">
        <v>171024</v>
      </c>
      <c r="F131" s="26">
        <v>45674</v>
      </c>
      <c r="G131" s="27">
        <v>60</v>
      </c>
      <c r="H131" s="28" t="s">
        <v>210</v>
      </c>
      <c r="I131" s="29">
        <f t="shared" si="2"/>
        <v>1.2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ht="21" customHeight="1">
      <c r="A132" s="31" t="s">
        <v>189</v>
      </c>
      <c r="B132" s="23">
        <v>150</v>
      </c>
      <c r="C132" s="24">
        <v>45583</v>
      </c>
      <c r="D132" s="25">
        <v>180</v>
      </c>
      <c r="E132" s="25">
        <v>181024</v>
      </c>
      <c r="F132" s="26">
        <v>45765</v>
      </c>
      <c r="G132" s="27">
        <v>150</v>
      </c>
      <c r="H132" s="28">
        <f t="shared" ref="H132:H386" si="3">G132-B132</f>
        <v>0</v>
      </c>
      <c r="I132" s="29">
        <f t="shared" si="2"/>
        <v>1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 ht="21" customHeight="1">
      <c r="A133" s="31" t="s">
        <v>202</v>
      </c>
      <c r="B133" s="23">
        <v>100</v>
      </c>
      <c r="C133" s="24">
        <v>45586</v>
      </c>
      <c r="D133" s="25">
        <v>90</v>
      </c>
      <c r="E133" s="25">
        <v>211024</v>
      </c>
      <c r="F133" s="26">
        <v>45678</v>
      </c>
      <c r="G133" s="27">
        <v>110</v>
      </c>
      <c r="H133" s="28">
        <f t="shared" si="3"/>
        <v>10</v>
      </c>
      <c r="I133" s="29">
        <f t="shared" si="2"/>
        <v>1.1000000000000001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 ht="21" customHeight="1">
      <c r="A134" s="31" t="s">
        <v>208</v>
      </c>
      <c r="B134" s="23">
        <v>100</v>
      </c>
      <c r="C134" s="24">
        <v>45587</v>
      </c>
      <c r="D134" s="25">
        <v>90</v>
      </c>
      <c r="E134" s="25">
        <v>221024</v>
      </c>
      <c r="F134" s="26">
        <v>45679</v>
      </c>
      <c r="G134" s="27">
        <v>96</v>
      </c>
      <c r="H134" s="28">
        <f t="shared" si="3"/>
        <v>-4</v>
      </c>
      <c r="I134" s="29">
        <f t="shared" si="2"/>
        <v>0.96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 ht="21" customHeight="1">
      <c r="A135" s="31" t="s">
        <v>187</v>
      </c>
      <c r="B135" s="23">
        <v>150</v>
      </c>
      <c r="C135" s="24">
        <v>45588</v>
      </c>
      <c r="D135" s="25">
        <v>180</v>
      </c>
      <c r="E135" s="25">
        <v>231024</v>
      </c>
      <c r="F135" s="34">
        <v>45770</v>
      </c>
      <c r="G135" s="27">
        <v>150</v>
      </c>
      <c r="H135" s="28">
        <f t="shared" si="3"/>
        <v>0</v>
      </c>
      <c r="I135" s="29">
        <f t="shared" si="2"/>
        <v>1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ht="21" customHeight="1">
      <c r="A136" s="31" t="s">
        <v>184</v>
      </c>
      <c r="B136" s="23">
        <v>150</v>
      </c>
      <c r="C136" s="35">
        <v>45589</v>
      </c>
      <c r="D136" s="25">
        <v>180</v>
      </c>
      <c r="E136" s="25">
        <v>241024</v>
      </c>
      <c r="F136" s="26">
        <v>45771</v>
      </c>
      <c r="G136" s="27">
        <v>170</v>
      </c>
      <c r="H136" s="28">
        <f t="shared" si="3"/>
        <v>20</v>
      </c>
      <c r="I136" s="29">
        <f t="shared" si="2"/>
        <v>1.1333333333333333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ht="21" customHeight="1">
      <c r="A137" s="31" t="s">
        <v>207</v>
      </c>
      <c r="B137" s="23">
        <v>50</v>
      </c>
      <c r="C137" s="24">
        <v>45590</v>
      </c>
      <c r="D137" s="25">
        <v>90</v>
      </c>
      <c r="E137" s="25">
        <v>251024</v>
      </c>
      <c r="F137" s="26">
        <v>45682</v>
      </c>
      <c r="G137" s="27">
        <v>41</v>
      </c>
      <c r="H137" s="28">
        <f t="shared" si="3"/>
        <v>-9</v>
      </c>
      <c r="I137" s="29">
        <f t="shared" si="2"/>
        <v>0.82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ht="21" customHeight="1">
      <c r="A138" s="31" t="s">
        <v>185</v>
      </c>
      <c r="B138" s="23">
        <v>150</v>
      </c>
      <c r="C138" s="24">
        <v>45597</v>
      </c>
      <c r="D138" s="25">
        <v>180</v>
      </c>
      <c r="E138" s="25">
        <v>11124</v>
      </c>
      <c r="F138" s="26">
        <v>45689</v>
      </c>
      <c r="G138" s="27">
        <v>147</v>
      </c>
      <c r="H138" s="28">
        <f t="shared" si="3"/>
        <v>-3</v>
      </c>
      <c r="I138" s="29">
        <f t="shared" si="2"/>
        <v>0.98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ht="21" customHeight="1">
      <c r="A139" s="31" t="s">
        <v>196</v>
      </c>
      <c r="B139" s="23">
        <v>50</v>
      </c>
      <c r="C139" s="24">
        <v>45601</v>
      </c>
      <c r="D139" s="25">
        <v>90</v>
      </c>
      <c r="E139" s="25">
        <v>51124</v>
      </c>
      <c r="F139" s="26">
        <v>45693</v>
      </c>
      <c r="G139" s="27">
        <v>65</v>
      </c>
      <c r="H139" s="28">
        <f t="shared" si="3"/>
        <v>15</v>
      </c>
      <c r="I139" s="29">
        <f t="shared" si="2"/>
        <v>1.3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21" customHeight="1">
      <c r="A140" s="31" t="s">
        <v>188</v>
      </c>
      <c r="B140" s="23">
        <v>100</v>
      </c>
      <c r="C140" s="24">
        <v>45602</v>
      </c>
      <c r="D140" s="25">
        <v>90</v>
      </c>
      <c r="E140" s="25">
        <v>61124</v>
      </c>
      <c r="F140" s="26">
        <v>45694</v>
      </c>
      <c r="G140" s="27">
        <v>103</v>
      </c>
      <c r="H140" s="28">
        <f t="shared" si="3"/>
        <v>3</v>
      </c>
      <c r="I140" s="29">
        <f t="shared" si="2"/>
        <v>1.03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21" customHeight="1">
      <c r="A141" s="31" t="s">
        <v>200</v>
      </c>
      <c r="B141" s="23">
        <v>150</v>
      </c>
      <c r="C141" s="24">
        <v>45604</v>
      </c>
      <c r="D141" s="25">
        <v>180</v>
      </c>
      <c r="E141" s="25">
        <v>81124</v>
      </c>
      <c r="F141" s="26">
        <v>45785</v>
      </c>
      <c r="G141" s="27">
        <v>153</v>
      </c>
      <c r="H141" s="28">
        <f t="shared" si="3"/>
        <v>3</v>
      </c>
      <c r="I141" s="29">
        <f t="shared" si="2"/>
        <v>1.02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21" customHeight="1">
      <c r="A142" s="31" t="s">
        <v>186</v>
      </c>
      <c r="B142" s="23">
        <v>150</v>
      </c>
      <c r="C142" s="24">
        <v>45608</v>
      </c>
      <c r="D142" s="25">
        <v>180</v>
      </c>
      <c r="E142" s="25">
        <v>121124</v>
      </c>
      <c r="F142" s="26">
        <v>45424</v>
      </c>
      <c r="G142" s="27">
        <v>158</v>
      </c>
      <c r="H142" s="28">
        <f t="shared" si="3"/>
        <v>8</v>
      </c>
      <c r="I142" s="29">
        <f t="shared" si="2"/>
        <v>1.0533333333333332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21" customHeight="1">
      <c r="A143" s="31" t="s">
        <v>185</v>
      </c>
      <c r="B143" s="23">
        <v>150</v>
      </c>
      <c r="C143" s="24">
        <v>45609</v>
      </c>
      <c r="D143" s="25">
        <v>180</v>
      </c>
      <c r="E143" s="25">
        <v>131124</v>
      </c>
      <c r="F143" s="26">
        <v>45425</v>
      </c>
      <c r="G143" s="27">
        <v>150</v>
      </c>
      <c r="H143" s="28">
        <f t="shared" si="3"/>
        <v>0</v>
      </c>
      <c r="I143" s="29">
        <f t="shared" si="2"/>
        <v>1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21" customHeight="1">
      <c r="A144" s="31" t="s">
        <v>194</v>
      </c>
      <c r="B144" s="23">
        <v>150</v>
      </c>
      <c r="C144" s="24">
        <v>45610</v>
      </c>
      <c r="D144" s="25">
        <v>180</v>
      </c>
      <c r="E144" s="25">
        <v>141124</v>
      </c>
      <c r="F144" s="26">
        <v>45426</v>
      </c>
      <c r="G144" s="27">
        <v>166</v>
      </c>
      <c r="H144" s="28">
        <f t="shared" si="3"/>
        <v>16</v>
      </c>
      <c r="I144" s="29">
        <f t="shared" si="2"/>
        <v>1.1066666666666667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21" customHeight="1">
      <c r="A145" s="31" t="s">
        <v>208</v>
      </c>
      <c r="B145" s="23">
        <v>50</v>
      </c>
      <c r="C145" s="24">
        <v>45611</v>
      </c>
      <c r="D145" s="25">
        <v>90</v>
      </c>
      <c r="E145" s="25">
        <v>151124</v>
      </c>
      <c r="F145" s="26">
        <v>45337</v>
      </c>
      <c r="G145" s="27">
        <v>67</v>
      </c>
      <c r="H145" s="28">
        <f t="shared" si="3"/>
        <v>17</v>
      </c>
      <c r="I145" s="29">
        <f t="shared" si="2"/>
        <v>1.34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21" customHeight="1">
      <c r="A146" s="31" t="s">
        <v>185</v>
      </c>
      <c r="B146" s="23">
        <v>150</v>
      </c>
      <c r="C146" s="24">
        <v>45666</v>
      </c>
      <c r="D146" s="25">
        <v>180</v>
      </c>
      <c r="E146" s="25">
        <v>90125</v>
      </c>
      <c r="F146" s="26">
        <v>45817</v>
      </c>
      <c r="G146" s="27">
        <v>144</v>
      </c>
      <c r="H146" s="28">
        <f t="shared" si="3"/>
        <v>-6</v>
      </c>
      <c r="I146" s="29">
        <f t="shared" si="2"/>
        <v>0.96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ht="21" customHeight="1">
      <c r="A147" s="31" t="s">
        <v>208</v>
      </c>
      <c r="B147" s="23">
        <v>100</v>
      </c>
      <c r="C147" s="24">
        <v>45667</v>
      </c>
      <c r="D147" s="25">
        <v>90</v>
      </c>
      <c r="E147" s="25">
        <v>130125</v>
      </c>
      <c r="F147" s="26">
        <v>45757</v>
      </c>
      <c r="G147" s="27">
        <v>104</v>
      </c>
      <c r="H147" s="28">
        <f t="shared" si="3"/>
        <v>4</v>
      </c>
      <c r="I147" s="29">
        <f t="shared" si="2"/>
        <v>1.04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21" customHeight="1">
      <c r="A148" s="31" t="s">
        <v>205</v>
      </c>
      <c r="B148" s="23">
        <v>60</v>
      </c>
      <c r="C148" s="24">
        <v>45670</v>
      </c>
      <c r="D148" s="25">
        <v>180</v>
      </c>
      <c r="E148" s="25">
        <v>130125</v>
      </c>
      <c r="F148" s="26">
        <v>45821</v>
      </c>
      <c r="G148" s="27">
        <v>69</v>
      </c>
      <c r="H148" s="28">
        <f t="shared" si="3"/>
        <v>9</v>
      </c>
      <c r="I148" s="29">
        <f t="shared" si="2"/>
        <v>1.1499999999999999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21" customHeight="1">
      <c r="A149" s="31" t="s">
        <v>186</v>
      </c>
      <c r="B149" s="23">
        <v>150</v>
      </c>
      <c r="C149" s="24">
        <v>45671</v>
      </c>
      <c r="D149" s="25">
        <v>180</v>
      </c>
      <c r="E149" s="25">
        <v>140125</v>
      </c>
      <c r="F149" s="26">
        <v>45822</v>
      </c>
      <c r="G149" s="27">
        <v>150</v>
      </c>
      <c r="H149" s="28">
        <f t="shared" si="3"/>
        <v>0</v>
      </c>
      <c r="I149" s="29">
        <f t="shared" si="2"/>
        <v>1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21" customHeight="1">
      <c r="A150" s="31" t="s">
        <v>184</v>
      </c>
      <c r="B150" s="23">
        <v>50</v>
      </c>
      <c r="C150" s="24">
        <v>45672</v>
      </c>
      <c r="D150" s="25">
        <v>180</v>
      </c>
      <c r="E150" s="25">
        <v>150125</v>
      </c>
      <c r="F150" s="26">
        <v>45823</v>
      </c>
      <c r="G150" s="27">
        <v>53</v>
      </c>
      <c r="H150" s="28">
        <f t="shared" si="3"/>
        <v>3</v>
      </c>
      <c r="I150" s="29">
        <f t="shared" si="2"/>
        <v>1.06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21" customHeight="1">
      <c r="A151" s="31" t="s">
        <v>194</v>
      </c>
      <c r="B151" s="23">
        <v>150</v>
      </c>
      <c r="C151" s="24">
        <v>45673</v>
      </c>
      <c r="D151" s="25">
        <v>180</v>
      </c>
      <c r="E151" s="25">
        <v>160125</v>
      </c>
      <c r="F151" s="26">
        <v>45824</v>
      </c>
      <c r="G151" s="27">
        <v>161</v>
      </c>
      <c r="H151" s="28">
        <f t="shared" si="3"/>
        <v>11</v>
      </c>
      <c r="I151" s="29">
        <f t="shared" si="2"/>
        <v>1.0733333333333333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21" customHeight="1">
      <c r="A152" s="31" t="s">
        <v>189</v>
      </c>
      <c r="B152" s="23">
        <v>150</v>
      </c>
      <c r="C152" s="24">
        <v>45674</v>
      </c>
      <c r="D152" s="25">
        <v>180</v>
      </c>
      <c r="E152" s="25">
        <v>170125</v>
      </c>
      <c r="F152" s="26">
        <v>45825</v>
      </c>
      <c r="G152" s="27">
        <v>174</v>
      </c>
      <c r="H152" s="28">
        <f t="shared" si="3"/>
        <v>24</v>
      </c>
      <c r="I152" s="29">
        <f t="shared" si="2"/>
        <v>1.1599999999999999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21" customHeight="1">
      <c r="A153" s="31" t="s">
        <v>196</v>
      </c>
      <c r="B153" s="23">
        <v>100</v>
      </c>
      <c r="C153" s="24">
        <v>45677</v>
      </c>
      <c r="D153" s="25">
        <v>90</v>
      </c>
      <c r="E153" s="25">
        <v>200125</v>
      </c>
      <c r="F153" s="26">
        <v>45767</v>
      </c>
      <c r="G153" s="27">
        <v>115</v>
      </c>
      <c r="H153" s="28">
        <f t="shared" si="3"/>
        <v>15</v>
      </c>
      <c r="I153" s="29">
        <f t="shared" si="2"/>
        <v>1.1499999999999999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21" customHeight="1">
      <c r="A154" s="31" t="s">
        <v>202</v>
      </c>
      <c r="B154" s="23">
        <v>100</v>
      </c>
      <c r="C154" s="24">
        <v>45678</v>
      </c>
      <c r="D154" s="25">
        <v>90</v>
      </c>
      <c r="E154" s="25">
        <v>210125</v>
      </c>
      <c r="F154" s="26">
        <v>45768</v>
      </c>
      <c r="G154" s="27">
        <v>115</v>
      </c>
      <c r="H154" s="28">
        <f t="shared" si="3"/>
        <v>15</v>
      </c>
      <c r="I154" s="29">
        <f t="shared" si="2"/>
        <v>1.1499999999999999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21" customHeight="1">
      <c r="A155" s="31" t="s">
        <v>200</v>
      </c>
      <c r="B155" s="23">
        <v>150</v>
      </c>
      <c r="C155" s="24">
        <v>45679</v>
      </c>
      <c r="D155" s="25">
        <v>180</v>
      </c>
      <c r="E155" s="25">
        <v>220125</v>
      </c>
      <c r="F155" s="26">
        <v>45830</v>
      </c>
      <c r="G155" s="27">
        <v>158</v>
      </c>
      <c r="H155" s="28">
        <f t="shared" si="3"/>
        <v>8</v>
      </c>
      <c r="I155" s="29">
        <f t="shared" si="2"/>
        <v>1.0533333333333332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21" customHeight="1">
      <c r="A156" s="31" t="s">
        <v>187</v>
      </c>
      <c r="B156" s="23">
        <v>150</v>
      </c>
      <c r="C156" s="24">
        <v>45680</v>
      </c>
      <c r="D156" s="25">
        <v>180</v>
      </c>
      <c r="E156" s="25">
        <v>230125</v>
      </c>
      <c r="F156" s="26">
        <v>45831</v>
      </c>
      <c r="G156" s="27">
        <v>154</v>
      </c>
      <c r="H156" s="28">
        <f t="shared" si="3"/>
        <v>4</v>
      </c>
      <c r="I156" s="29">
        <f t="shared" si="2"/>
        <v>1.0266666666666666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21" customHeight="1">
      <c r="A157" s="31" t="s">
        <v>203</v>
      </c>
      <c r="B157" s="23">
        <v>30</v>
      </c>
      <c r="C157" s="24">
        <v>45681</v>
      </c>
      <c r="D157" s="25">
        <v>180</v>
      </c>
      <c r="E157" s="25">
        <v>240125</v>
      </c>
      <c r="F157" s="26">
        <v>45832</v>
      </c>
      <c r="G157" s="27">
        <v>12</v>
      </c>
      <c r="H157" s="28">
        <f t="shared" si="3"/>
        <v>-18</v>
      </c>
      <c r="I157" s="29">
        <f t="shared" si="2"/>
        <v>0.4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21" customHeight="1">
      <c r="A158" s="31" t="s">
        <v>188</v>
      </c>
      <c r="B158" s="23">
        <v>100</v>
      </c>
      <c r="C158" s="24">
        <v>45681</v>
      </c>
      <c r="D158" s="25">
        <v>90</v>
      </c>
      <c r="E158" s="25">
        <v>240125</v>
      </c>
      <c r="F158" s="26">
        <v>45771</v>
      </c>
      <c r="G158" s="27">
        <v>90</v>
      </c>
      <c r="H158" s="28">
        <f t="shared" si="3"/>
        <v>-10</v>
      </c>
      <c r="I158" s="29">
        <f t="shared" si="2"/>
        <v>0.9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21" customHeight="1">
      <c r="A159" s="17" t="s">
        <v>185</v>
      </c>
      <c r="B159" s="17">
        <v>150</v>
      </c>
      <c r="C159" s="36">
        <v>45686</v>
      </c>
      <c r="D159" s="25">
        <v>90</v>
      </c>
      <c r="E159" s="37">
        <v>290124</v>
      </c>
      <c r="F159" s="38">
        <v>45837</v>
      </c>
      <c r="G159" s="39">
        <v>147</v>
      </c>
      <c r="H159" s="28">
        <f t="shared" si="3"/>
        <v>-3</v>
      </c>
      <c r="I159" s="29">
        <f t="shared" si="2"/>
        <v>0.98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21" customHeight="1">
      <c r="A160" s="37" t="s">
        <v>207</v>
      </c>
      <c r="B160" s="40">
        <v>50</v>
      </c>
      <c r="C160" s="41">
        <v>45687</v>
      </c>
      <c r="D160" s="25">
        <v>90</v>
      </c>
      <c r="E160" s="37">
        <v>300125</v>
      </c>
      <c r="F160" s="38">
        <v>45777</v>
      </c>
      <c r="G160" s="39">
        <v>44</v>
      </c>
      <c r="H160" s="28">
        <f t="shared" si="3"/>
        <v>-6</v>
      </c>
      <c r="I160" s="29">
        <f t="shared" si="2"/>
        <v>0.88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21" customHeight="1">
      <c r="A161" s="37" t="s">
        <v>208</v>
      </c>
      <c r="B161" s="40">
        <v>50</v>
      </c>
      <c r="C161" s="41">
        <v>45687</v>
      </c>
      <c r="D161" s="25">
        <v>90</v>
      </c>
      <c r="E161" s="37">
        <v>300125</v>
      </c>
      <c r="F161" s="38">
        <v>45777</v>
      </c>
      <c r="G161" s="39">
        <v>57</v>
      </c>
      <c r="H161" s="28">
        <f t="shared" si="3"/>
        <v>7</v>
      </c>
      <c r="I161" s="29">
        <f t="shared" si="2"/>
        <v>1.1399999999999999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21" customHeight="1">
      <c r="A162" s="37" t="s">
        <v>184</v>
      </c>
      <c r="B162" s="40">
        <v>50</v>
      </c>
      <c r="C162" s="41">
        <v>45688</v>
      </c>
      <c r="D162" s="25">
        <v>180</v>
      </c>
      <c r="E162" s="37">
        <v>310125</v>
      </c>
      <c r="F162" s="38">
        <v>45869</v>
      </c>
      <c r="G162" s="39">
        <v>53</v>
      </c>
      <c r="H162" s="28">
        <f t="shared" si="3"/>
        <v>3</v>
      </c>
      <c r="I162" s="29">
        <f t="shared" si="2"/>
        <v>1.06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21" customHeight="1">
      <c r="A163" s="37" t="s">
        <v>207</v>
      </c>
      <c r="B163" s="40">
        <v>50</v>
      </c>
      <c r="C163" s="41">
        <v>45688</v>
      </c>
      <c r="D163" s="25">
        <v>90</v>
      </c>
      <c r="E163" s="37">
        <v>310125</v>
      </c>
      <c r="F163" s="37" t="s">
        <v>211</v>
      </c>
      <c r="G163" s="39">
        <v>45</v>
      </c>
      <c r="H163" s="28">
        <f t="shared" si="3"/>
        <v>-5</v>
      </c>
      <c r="I163" s="29">
        <f t="shared" si="2"/>
        <v>0.9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21" customHeight="1">
      <c r="A164" s="37" t="s">
        <v>196</v>
      </c>
      <c r="B164" s="40">
        <v>100</v>
      </c>
      <c r="C164" s="41">
        <v>45691</v>
      </c>
      <c r="D164" s="25">
        <v>90</v>
      </c>
      <c r="E164" s="37">
        <v>30225</v>
      </c>
      <c r="F164" s="38">
        <v>45780</v>
      </c>
      <c r="G164" s="39">
        <v>120</v>
      </c>
      <c r="H164" s="28">
        <f t="shared" si="3"/>
        <v>20</v>
      </c>
      <c r="I164" s="29">
        <f t="shared" si="2"/>
        <v>1.2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21" customHeight="1">
      <c r="A165" s="37" t="s">
        <v>190</v>
      </c>
      <c r="B165" s="40">
        <v>100</v>
      </c>
      <c r="C165" s="41">
        <v>45692</v>
      </c>
      <c r="D165" s="25">
        <v>180</v>
      </c>
      <c r="E165" s="37">
        <v>40225</v>
      </c>
      <c r="F165" s="38">
        <v>45873</v>
      </c>
      <c r="G165" s="39">
        <v>102</v>
      </c>
      <c r="H165" s="28">
        <f t="shared" si="3"/>
        <v>2</v>
      </c>
      <c r="I165" s="29">
        <f t="shared" si="2"/>
        <v>1.02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21" customHeight="1">
      <c r="A166" s="37" t="s">
        <v>206</v>
      </c>
      <c r="B166" s="40">
        <v>50</v>
      </c>
      <c r="C166" s="41">
        <v>45692</v>
      </c>
      <c r="D166" s="25">
        <v>90</v>
      </c>
      <c r="E166" s="37">
        <v>40225</v>
      </c>
      <c r="F166" s="38">
        <v>45781</v>
      </c>
      <c r="G166" s="39">
        <v>37</v>
      </c>
      <c r="H166" s="28">
        <f t="shared" si="3"/>
        <v>-13</v>
      </c>
      <c r="I166" s="29">
        <f t="shared" si="2"/>
        <v>0.74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21" customHeight="1">
      <c r="A167" s="37" t="s">
        <v>209</v>
      </c>
      <c r="B167" s="40">
        <v>60</v>
      </c>
      <c r="C167" s="41">
        <v>45692</v>
      </c>
      <c r="D167" s="37">
        <v>90</v>
      </c>
      <c r="E167" s="37">
        <v>40225</v>
      </c>
      <c r="F167" s="38">
        <v>45781</v>
      </c>
      <c r="G167" s="39">
        <v>60</v>
      </c>
      <c r="H167" s="28">
        <f t="shared" si="3"/>
        <v>0</v>
      </c>
      <c r="I167" s="29">
        <f t="shared" si="2"/>
        <v>1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21" customHeight="1">
      <c r="A168" s="37" t="s">
        <v>186</v>
      </c>
      <c r="B168" s="40">
        <v>150</v>
      </c>
      <c r="C168" s="41">
        <v>45693</v>
      </c>
      <c r="D168" s="37">
        <v>180</v>
      </c>
      <c r="E168" s="37">
        <v>50225</v>
      </c>
      <c r="F168" s="38">
        <v>45874</v>
      </c>
      <c r="G168" s="39">
        <v>156</v>
      </c>
      <c r="H168" s="28">
        <f t="shared" si="3"/>
        <v>6</v>
      </c>
      <c r="I168" s="29">
        <f t="shared" si="2"/>
        <v>1.04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21" customHeight="1">
      <c r="A169" s="37" t="s">
        <v>187</v>
      </c>
      <c r="B169" s="40">
        <v>150</v>
      </c>
      <c r="C169" s="41">
        <v>45694</v>
      </c>
      <c r="D169" s="37">
        <v>180</v>
      </c>
      <c r="E169" s="37">
        <v>60225</v>
      </c>
      <c r="F169" s="38">
        <v>45875</v>
      </c>
      <c r="G169" s="39">
        <v>159</v>
      </c>
      <c r="H169" s="28">
        <f t="shared" si="3"/>
        <v>9</v>
      </c>
      <c r="I169" s="29">
        <f t="shared" si="2"/>
        <v>1.06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21" customHeight="1">
      <c r="A170" s="37" t="s">
        <v>184</v>
      </c>
      <c r="B170" s="40">
        <v>50</v>
      </c>
      <c r="C170" s="41">
        <v>45695</v>
      </c>
      <c r="D170" s="37">
        <v>180</v>
      </c>
      <c r="E170" s="37">
        <v>70225</v>
      </c>
      <c r="F170" s="38">
        <v>45876</v>
      </c>
      <c r="G170" s="39">
        <v>54</v>
      </c>
      <c r="H170" s="28">
        <f t="shared" si="3"/>
        <v>4</v>
      </c>
      <c r="I170" s="29">
        <f t="shared" si="2"/>
        <v>1.08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21" customHeight="1">
      <c r="A171" s="37" t="s">
        <v>208</v>
      </c>
      <c r="B171" s="40">
        <v>100</v>
      </c>
      <c r="C171" s="41">
        <v>45695</v>
      </c>
      <c r="D171" s="37">
        <v>90</v>
      </c>
      <c r="E171" s="37">
        <v>70225</v>
      </c>
      <c r="F171" s="38">
        <v>45784</v>
      </c>
      <c r="G171" s="39">
        <v>119</v>
      </c>
      <c r="H171" s="28">
        <f t="shared" si="3"/>
        <v>19</v>
      </c>
      <c r="I171" s="29">
        <f t="shared" si="2"/>
        <v>1.19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21" customHeight="1">
      <c r="A172" s="37" t="s">
        <v>185</v>
      </c>
      <c r="B172" s="40">
        <v>150</v>
      </c>
      <c r="C172" s="41">
        <v>45698</v>
      </c>
      <c r="D172" s="37">
        <v>180</v>
      </c>
      <c r="E172" s="37">
        <v>100225</v>
      </c>
      <c r="F172" s="38">
        <v>45879</v>
      </c>
      <c r="G172" s="39">
        <v>152</v>
      </c>
      <c r="H172" s="28">
        <f t="shared" si="3"/>
        <v>2</v>
      </c>
      <c r="I172" s="29">
        <f t="shared" si="2"/>
        <v>1.0133333333333334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21" customHeight="1">
      <c r="A173" s="37" t="s">
        <v>202</v>
      </c>
      <c r="B173" s="40">
        <v>100</v>
      </c>
      <c r="C173" s="41">
        <v>45699</v>
      </c>
      <c r="D173" s="37">
        <v>90</v>
      </c>
      <c r="E173" s="37">
        <v>110225</v>
      </c>
      <c r="F173" s="38">
        <v>45788</v>
      </c>
      <c r="G173" s="39">
        <v>105</v>
      </c>
      <c r="H173" s="28">
        <f t="shared" si="3"/>
        <v>5</v>
      </c>
      <c r="I173" s="29">
        <f t="shared" si="2"/>
        <v>1.05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21" customHeight="1">
      <c r="A174" s="37" t="s">
        <v>188</v>
      </c>
      <c r="B174" s="40">
        <v>100</v>
      </c>
      <c r="C174" s="42">
        <v>46795</v>
      </c>
      <c r="D174" s="37">
        <v>90</v>
      </c>
      <c r="E174" s="37">
        <v>120225</v>
      </c>
      <c r="F174" s="38">
        <v>45789</v>
      </c>
      <c r="G174" s="39">
        <v>91</v>
      </c>
      <c r="H174" s="28">
        <f t="shared" si="3"/>
        <v>-9</v>
      </c>
      <c r="I174" s="29">
        <f t="shared" si="2"/>
        <v>0.91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21" customHeight="1">
      <c r="A175" s="37" t="s">
        <v>194</v>
      </c>
      <c r="B175" s="40">
        <v>150</v>
      </c>
      <c r="C175" s="41">
        <v>45701</v>
      </c>
      <c r="D175" s="37">
        <v>180</v>
      </c>
      <c r="E175" s="37">
        <v>130225</v>
      </c>
      <c r="F175" s="38">
        <v>45882</v>
      </c>
      <c r="G175" s="39">
        <v>161</v>
      </c>
      <c r="H175" s="28">
        <f t="shared" si="3"/>
        <v>11</v>
      </c>
      <c r="I175" s="29">
        <f t="shared" si="2"/>
        <v>1.0733333333333333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21" customHeight="1">
      <c r="A176" s="37" t="s">
        <v>200</v>
      </c>
      <c r="B176" s="40">
        <v>150</v>
      </c>
      <c r="C176" s="41">
        <v>45702</v>
      </c>
      <c r="D176" s="37">
        <v>180</v>
      </c>
      <c r="E176" s="37">
        <v>140225</v>
      </c>
      <c r="F176" s="38">
        <v>45883</v>
      </c>
      <c r="G176" s="39">
        <v>160</v>
      </c>
      <c r="H176" s="28">
        <f t="shared" si="3"/>
        <v>10</v>
      </c>
      <c r="I176" s="29">
        <f t="shared" si="2"/>
        <v>1.0666666666666667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21" customHeight="1">
      <c r="A177" s="43" t="s">
        <v>207</v>
      </c>
      <c r="B177" s="17">
        <v>100</v>
      </c>
      <c r="C177" s="36">
        <v>45705</v>
      </c>
      <c r="D177" s="37">
        <v>90</v>
      </c>
      <c r="E177" s="37">
        <v>170225</v>
      </c>
      <c r="F177" s="44">
        <v>45794</v>
      </c>
      <c r="G177" s="39">
        <v>80</v>
      </c>
      <c r="H177" s="28">
        <f t="shared" si="3"/>
        <v>-20</v>
      </c>
      <c r="I177" s="29">
        <f t="shared" si="2"/>
        <v>0.8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21" customHeight="1">
      <c r="A178" s="37" t="s">
        <v>196</v>
      </c>
      <c r="B178" s="40">
        <v>100</v>
      </c>
      <c r="C178" s="41">
        <v>45706</v>
      </c>
      <c r="D178" s="37">
        <v>90</v>
      </c>
      <c r="E178" s="37">
        <v>180225</v>
      </c>
      <c r="F178" s="38">
        <v>45795</v>
      </c>
      <c r="G178" s="39">
        <v>117</v>
      </c>
      <c r="H178" s="28">
        <f t="shared" si="3"/>
        <v>17</v>
      </c>
      <c r="I178" s="29">
        <f t="shared" si="2"/>
        <v>1.17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21" customHeight="1">
      <c r="A179" s="37" t="s">
        <v>184</v>
      </c>
      <c r="B179" s="40">
        <v>100</v>
      </c>
      <c r="C179" s="41">
        <v>45707</v>
      </c>
      <c r="D179" s="37">
        <v>180</v>
      </c>
      <c r="E179" s="37">
        <v>190225</v>
      </c>
      <c r="F179" s="38">
        <v>45888</v>
      </c>
      <c r="G179" s="39">
        <v>105</v>
      </c>
      <c r="H179" s="28">
        <f t="shared" si="3"/>
        <v>5</v>
      </c>
      <c r="I179" s="29">
        <f t="shared" si="2"/>
        <v>1.05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21" customHeight="1">
      <c r="A180" s="37" t="s">
        <v>189</v>
      </c>
      <c r="B180" s="40">
        <v>150</v>
      </c>
      <c r="C180" s="41">
        <v>45708</v>
      </c>
      <c r="D180" s="37">
        <v>180</v>
      </c>
      <c r="E180" s="37">
        <v>200225</v>
      </c>
      <c r="F180" s="44">
        <v>45889</v>
      </c>
      <c r="G180" s="39">
        <v>175</v>
      </c>
      <c r="H180" s="28">
        <f t="shared" si="3"/>
        <v>25</v>
      </c>
      <c r="I180" s="29">
        <f t="shared" si="2"/>
        <v>1.1666666666666667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21" customHeight="1">
      <c r="A181" s="37" t="s">
        <v>190</v>
      </c>
      <c r="B181" s="40">
        <v>150</v>
      </c>
      <c r="C181" s="41">
        <v>45709</v>
      </c>
      <c r="D181" s="37">
        <v>180</v>
      </c>
      <c r="E181" s="37">
        <v>210225</v>
      </c>
      <c r="F181" s="38">
        <v>45890</v>
      </c>
      <c r="G181" s="39">
        <v>150</v>
      </c>
      <c r="H181" s="28">
        <f t="shared" si="3"/>
        <v>0</v>
      </c>
      <c r="I181" s="29">
        <f t="shared" si="2"/>
        <v>1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21" customHeight="1">
      <c r="A182" s="37" t="s">
        <v>186</v>
      </c>
      <c r="B182" s="40">
        <v>150</v>
      </c>
      <c r="C182" s="41">
        <v>45712</v>
      </c>
      <c r="D182" s="37">
        <v>180</v>
      </c>
      <c r="E182" s="37">
        <v>240225</v>
      </c>
      <c r="F182" s="38">
        <v>45893</v>
      </c>
      <c r="G182" s="39">
        <v>156</v>
      </c>
      <c r="H182" s="28">
        <f t="shared" si="3"/>
        <v>6</v>
      </c>
      <c r="I182" s="29">
        <f t="shared" si="2"/>
        <v>1.04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21" customHeight="1">
      <c r="A183" s="37" t="s">
        <v>208</v>
      </c>
      <c r="B183" s="40">
        <v>100</v>
      </c>
      <c r="C183" s="41">
        <v>45713</v>
      </c>
      <c r="D183" s="37">
        <v>90</v>
      </c>
      <c r="E183" s="37">
        <v>250225</v>
      </c>
      <c r="F183" s="38">
        <v>45802</v>
      </c>
      <c r="G183" s="39">
        <v>112</v>
      </c>
      <c r="H183" s="28">
        <f t="shared" si="3"/>
        <v>12</v>
      </c>
      <c r="I183" s="29">
        <f t="shared" si="2"/>
        <v>1.1200000000000001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21" customHeight="1">
      <c r="A184" s="37" t="s">
        <v>187</v>
      </c>
      <c r="B184" s="40">
        <v>150</v>
      </c>
      <c r="C184" s="41">
        <v>45715</v>
      </c>
      <c r="D184" s="37">
        <v>180</v>
      </c>
      <c r="E184" s="37">
        <v>270225</v>
      </c>
      <c r="F184" s="38">
        <v>45896</v>
      </c>
      <c r="G184" s="39">
        <v>150</v>
      </c>
      <c r="H184" s="28">
        <f t="shared" si="3"/>
        <v>0</v>
      </c>
      <c r="I184" s="29">
        <f t="shared" si="2"/>
        <v>1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21" customHeight="1">
      <c r="A185" s="37" t="s">
        <v>202</v>
      </c>
      <c r="B185" s="40">
        <v>100</v>
      </c>
      <c r="C185" s="41">
        <v>45716</v>
      </c>
      <c r="D185" s="37">
        <v>90</v>
      </c>
      <c r="E185" s="37">
        <v>280225</v>
      </c>
      <c r="F185" s="44">
        <v>45805</v>
      </c>
      <c r="G185" s="39">
        <v>107</v>
      </c>
      <c r="H185" s="28">
        <f t="shared" si="3"/>
        <v>7</v>
      </c>
      <c r="I185" s="29">
        <f t="shared" si="2"/>
        <v>1.07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21" customHeight="1">
      <c r="A186" s="45" t="s">
        <v>190</v>
      </c>
      <c r="B186" s="46">
        <v>100</v>
      </c>
      <c r="C186" s="47">
        <v>45719</v>
      </c>
      <c r="D186" s="45">
        <v>180</v>
      </c>
      <c r="E186" s="45">
        <v>30325</v>
      </c>
      <c r="F186" s="48">
        <v>45903</v>
      </c>
      <c r="G186" s="49">
        <v>105</v>
      </c>
      <c r="H186" s="50">
        <f t="shared" si="3"/>
        <v>5</v>
      </c>
      <c r="I186" s="51">
        <f t="shared" si="2"/>
        <v>1.05</v>
      </c>
      <c r="J186" s="52">
        <v>45717</v>
      </c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</row>
    <row r="187" spans="1:29" ht="21" customHeight="1">
      <c r="A187" s="37" t="s">
        <v>185</v>
      </c>
      <c r="B187" s="40">
        <v>150</v>
      </c>
      <c r="C187" s="41">
        <v>45720</v>
      </c>
      <c r="D187" s="37">
        <v>180</v>
      </c>
      <c r="E187" s="37">
        <v>40325</v>
      </c>
      <c r="F187" s="38">
        <v>45904</v>
      </c>
      <c r="G187" s="39">
        <v>150</v>
      </c>
      <c r="H187" s="28">
        <f t="shared" si="3"/>
        <v>0</v>
      </c>
      <c r="I187" s="29">
        <f t="shared" si="2"/>
        <v>1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21" customHeight="1">
      <c r="A188" s="37" t="s">
        <v>184</v>
      </c>
      <c r="B188" s="40">
        <v>100</v>
      </c>
      <c r="C188" s="41">
        <v>45721</v>
      </c>
      <c r="D188" s="37">
        <v>180</v>
      </c>
      <c r="E188" s="37">
        <v>50325</v>
      </c>
      <c r="F188" s="38">
        <v>45905</v>
      </c>
      <c r="G188" s="39">
        <v>110</v>
      </c>
      <c r="H188" s="28">
        <f t="shared" si="3"/>
        <v>10</v>
      </c>
      <c r="I188" s="29">
        <f t="shared" si="2"/>
        <v>1.1000000000000001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21" customHeight="1">
      <c r="A189" s="37" t="s">
        <v>188</v>
      </c>
      <c r="B189" s="40">
        <v>100</v>
      </c>
      <c r="C189" s="41">
        <v>45722</v>
      </c>
      <c r="D189" s="37">
        <v>90</v>
      </c>
      <c r="E189" s="37">
        <v>60325</v>
      </c>
      <c r="F189" s="38">
        <v>45814</v>
      </c>
      <c r="G189" s="39">
        <v>90</v>
      </c>
      <c r="H189" s="28">
        <f t="shared" si="3"/>
        <v>-10</v>
      </c>
      <c r="I189" s="29">
        <f t="shared" si="2"/>
        <v>0.9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21" customHeight="1">
      <c r="A190" s="37" t="s">
        <v>205</v>
      </c>
      <c r="B190" s="40">
        <v>100</v>
      </c>
      <c r="C190" s="41">
        <v>45722</v>
      </c>
      <c r="D190" s="37">
        <v>90</v>
      </c>
      <c r="E190" s="37">
        <v>60325</v>
      </c>
      <c r="F190" s="38">
        <v>45814</v>
      </c>
      <c r="G190" s="39">
        <v>34</v>
      </c>
      <c r="H190" s="28">
        <f t="shared" si="3"/>
        <v>-66</v>
      </c>
      <c r="I190" s="29">
        <f t="shared" si="2"/>
        <v>0.34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21" customHeight="1">
      <c r="A191" s="37" t="s">
        <v>209</v>
      </c>
      <c r="B191" s="40">
        <v>60</v>
      </c>
      <c r="C191" s="41">
        <v>45722</v>
      </c>
      <c r="D191" s="37">
        <v>90</v>
      </c>
      <c r="E191" s="37">
        <v>60325</v>
      </c>
      <c r="F191" s="38">
        <v>45814</v>
      </c>
      <c r="G191" s="39">
        <v>56</v>
      </c>
      <c r="H191" s="28">
        <f t="shared" si="3"/>
        <v>-4</v>
      </c>
      <c r="I191" s="29">
        <f t="shared" si="2"/>
        <v>0.93333333333333335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21" customHeight="1">
      <c r="A192" s="37" t="s">
        <v>194</v>
      </c>
      <c r="B192" s="40">
        <v>150</v>
      </c>
      <c r="C192" s="41">
        <v>45723</v>
      </c>
      <c r="D192" s="37">
        <v>180</v>
      </c>
      <c r="E192" s="37">
        <v>70325</v>
      </c>
      <c r="F192" s="38">
        <v>45907</v>
      </c>
      <c r="G192" s="39">
        <v>163</v>
      </c>
      <c r="H192" s="28">
        <f t="shared" si="3"/>
        <v>13</v>
      </c>
      <c r="I192" s="29">
        <f t="shared" si="2"/>
        <v>1.0866666666666667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21" customHeight="1">
      <c r="A193" s="37" t="s">
        <v>196</v>
      </c>
      <c r="B193" s="40">
        <v>100</v>
      </c>
      <c r="C193" s="41">
        <v>45726</v>
      </c>
      <c r="D193" s="37">
        <v>90</v>
      </c>
      <c r="E193" s="37">
        <v>100325</v>
      </c>
      <c r="F193" s="38">
        <v>45818</v>
      </c>
      <c r="G193" s="39">
        <v>107</v>
      </c>
      <c r="H193" s="28">
        <f t="shared" si="3"/>
        <v>7</v>
      </c>
      <c r="I193" s="29">
        <f t="shared" si="2"/>
        <v>1.07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21" customHeight="1">
      <c r="A194" s="37" t="s">
        <v>208</v>
      </c>
      <c r="B194" s="40">
        <v>100</v>
      </c>
      <c r="C194" s="41">
        <v>45727</v>
      </c>
      <c r="D194" s="37">
        <v>90</v>
      </c>
      <c r="E194" s="37">
        <v>110325</v>
      </c>
      <c r="F194" s="38">
        <v>45819</v>
      </c>
      <c r="G194" s="39">
        <v>104</v>
      </c>
      <c r="H194" s="28">
        <f t="shared" si="3"/>
        <v>4</v>
      </c>
      <c r="I194" s="29">
        <f t="shared" si="2"/>
        <v>1.04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21" customHeight="1">
      <c r="A195" s="37" t="s">
        <v>187</v>
      </c>
      <c r="B195" s="40">
        <v>150</v>
      </c>
      <c r="C195" s="41">
        <v>45728</v>
      </c>
      <c r="D195" s="37">
        <v>180</v>
      </c>
      <c r="E195" s="37">
        <v>120325</v>
      </c>
      <c r="F195" s="44">
        <v>45912</v>
      </c>
      <c r="G195" s="39">
        <v>148</v>
      </c>
      <c r="H195" s="28">
        <f t="shared" si="3"/>
        <v>-2</v>
      </c>
      <c r="I195" s="29">
        <f t="shared" si="2"/>
        <v>0.98666666666666669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21" customHeight="1">
      <c r="A196" s="37" t="s">
        <v>200</v>
      </c>
      <c r="B196" s="40">
        <v>150</v>
      </c>
      <c r="C196" s="41">
        <v>45729</v>
      </c>
      <c r="D196" s="37">
        <v>180</v>
      </c>
      <c r="E196" s="37">
        <v>130325</v>
      </c>
      <c r="F196" s="38">
        <v>45913</v>
      </c>
      <c r="G196" s="39">
        <v>155</v>
      </c>
      <c r="H196" s="28">
        <f t="shared" si="3"/>
        <v>5</v>
      </c>
      <c r="I196" s="29">
        <f t="shared" si="2"/>
        <v>1.0333333333333334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21" customHeight="1">
      <c r="A197" s="37" t="s">
        <v>207</v>
      </c>
      <c r="B197" s="40">
        <v>100</v>
      </c>
      <c r="C197" s="41">
        <v>45730</v>
      </c>
      <c r="D197" s="37">
        <v>90</v>
      </c>
      <c r="E197" s="37">
        <v>140325</v>
      </c>
      <c r="F197" s="38">
        <v>45822</v>
      </c>
      <c r="G197" s="39">
        <v>99</v>
      </c>
      <c r="H197" s="28">
        <f t="shared" si="3"/>
        <v>-1</v>
      </c>
      <c r="I197" s="29">
        <f t="shared" si="2"/>
        <v>0.99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21" customHeight="1">
      <c r="A198" s="37" t="s">
        <v>204</v>
      </c>
      <c r="B198" s="40"/>
      <c r="C198" s="41">
        <v>45731</v>
      </c>
      <c r="D198" s="37">
        <v>90</v>
      </c>
      <c r="E198" s="37">
        <v>150325</v>
      </c>
      <c r="F198" s="38">
        <v>45823</v>
      </c>
      <c r="G198" s="39">
        <v>22</v>
      </c>
      <c r="H198" s="28">
        <f t="shared" si="3"/>
        <v>22</v>
      </c>
      <c r="I198" s="29" t="e">
        <f t="shared" si="2"/>
        <v>#DIV/0!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21" customHeight="1">
      <c r="A199" s="37" t="s">
        <v>203</v>
      </c>
      <c r="B199" s="40"/>
      <c r="C199" s="41">
        <v>45731</v>
      </c>
      <c r="D199" s="37">
        <v>90</v>
      </c>
      <c r="E199" s="37">
        <v>150325</v>
      </c>
      <c r="F199" s="38">
        <v>45823</v>
      </c>
      <c r="G199" s="39">
        <v>19</v>
      </c>
      <c r="H199" s="28">
        <f t="shared" si="3"/>
        <v>19</v>
      </c>
      <c r="I199" s="29" t="e">
        <f t="shared" si="2"/>
        <v>#DIV/0!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21" customHeight="1">
      <c r="A200" s="37" t="s">
        <v>186</v>
      </c>
      <c r="B200" s="40">
        <v>150</v>
      </c>
      <c r="C200" s="41">
        <v>45733</v>
      </c>
      <c r="D200" s="37">
        <v>180</v>
      </c>
      <c r="E200" s="37">
        <v>170325</v>
      </c>
      <c r="F200" s="44">
        <v>45917</v>
      </c>
      <c r="G200" s="39">
        <v>150</v>
      </c>
      <c r="H200" s="28">
        <f t="shared" si="3"/>
        <v>0</v>
      </c>
      <c r="I200" s="29">
        <f t="shared" si="2"/>
        <v>1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21" customHeight="1">
      <c r="A201" s="37" t="s">
        <v>189</v>
      </c>
      <c r="B201" s="40">
        <v>150</v>
      </c>
      <c r="C201" s="41">
        <v>45734</v>
      </c>
      <c r="D201" s="37">
        <v>180</v>
      </c>
      <c r="E201" s="37">
        <v>180325</v>
      </c>
      <c r="F201" s="38">
        <v>45918</v>
      </c>
      <c r="G201" s="39">
        <v>165</v>
      </c>
      <c r="H201" s="28">
        <f t="shared" si="3"/>
        <v>15</v>
      </c>
      <c r="I201" s="29">
        <f t="shared" si="2"/>
        <v>1.1000000000000001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21" customHeight="1">
      <c r="A202" s="37" t="s">
        <v>185</v>
      </c>
      <c r="B202" s="40">
        <v>150</v>
      </c>
      <c r="C202" s="41">
        <v>45735</v>
      </c>
      <c r="D202" s="37">
        <v>180</v>
      </c>
      <c r="E202" s="37">
        <v>190325</v>
      </c>
      <c r="F202" s="38">
        <v>45919</v>
      </c>
      <c r="G202" s="39">
        <v>150</v>
      </c>
      <c r="H202" s="28">
        <f t="shared" si="3"/>
        <v>0</v>
      </c>
      <c r="I202" s="29">
        <f t="shared" si="2"/>
        <v>1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21" customHeight="1">
      <c r="A203" s="37" t="s">
        <v>202</v>
      </c>
      <c r="B203" s="40">
        <v>100</v>
      </c>
      <c r="C203" s="41">
        <v>45741</v>
      </c>
      <c r="D203" s="37">
        <v>90</v>
      </c>
      <c r="E203" s="37">
        <v>250325</v>
      </c>
      <c r="F203" s="38">
        <v>45833</v>
      </c>
      <c r="G203" s="39">
        <v>106</v>
      </c>
      <c r="H203" s="28">
        <f t="shared" si="3"/>
        <v>6</v>
      </c>
      <c r="I203" s="29">
        <f t="shared" si="2"/>
        <v>1.06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21" customHeight="1">
      <c r="A204" s="37" t="s">
        <v>208</v>
      </c>
      <c r="B204" s="40">
        <v>100</v>
      </c>
      <c r="C204" s="41">
        <v>45742</v>
      </c>
      <c r="D204" s="37">
        <v>90</v>
      </c>
      <c r="E204" s="37">
        <v>260325</v>
      </c>
      <c r="F204" s="38">
        <v>45834</v>
      </c>
      <c r="G204" s="39">
        <v>100</v>
      </c>
      <c r="H204" s="28">
        <f t="shared" si="3"/>
        <v>0</v>
      </c>
      <c r="I204" s="29">
        <f t="shared" si="2"/>
        <v>1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21" customHeight="1">
      <c r="A205" s="37" t="s">
        <v>188</v>
      </c>
      <c r="B205" s="40">
        <v>100</v>
      </c>
      <c r="C205" s="41">
        <v>45743</v>
      </c>
      <c r="D205" s="37">
        <v>90</v>
      </c>
      <c r="E205" s="37">
        <v>270325</v>
      </c>
      <c r="F205" s="38">
        <v>45835</v>
      </c>
      <c r="G205" s="39">
        <v>114</v>
      </c>
      <c r="H205" s="28">
        <f t="shared" si="3"/>
        <v>14</v>
      </c>
      <c r="I205" s="29">
        <f t="shared" si="2"/>
        <v>1.1399999999999999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21" customHeight="1">
      <c r="A206" s="37" t="s">
        <v>187</v>
      </c>
      <c r="B206" s="40">
        <v>150</v>
      </c>
      <c r="C206" s="41">
        <v>45744</v>
      </c>
      <c r="D206" s="37">
        <v>180</v>
      </c>
      <c r="E206" s="37">
        <v>280325</v>
      </c>
      <c r="F206" s="38">
        <v>45928</v>
      </c>
      <c r="G206" s="39">
        <v>150</v>
      </c>
      <c r="H206" s="28">
        <f t="shared" si="3"/>
        <v>0</v>
      </c>
      <c r="I206" s="29">
        <f t="shared" si="2"/>
        <v>1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21" customHeight="1">
      <c r="A207" s="37" t="s">
        <v>196</v>
      </c>
      <c r="B207" s="40">
        <v>100</v>
      </c>
      <c r="C207" s="41">
        <v>45747</v>
      </c>
      <c r="D207" s="37">
        <v>90</v>
      </c>
      <c r="E207" s="37">
        <v>310325</v>
      </c>
      <c r="F207" s="37" t="s">
        <v>212</v>
      </c>
      <c r="G207" s="39">
        <v>109</v>
      </c>
      <c r="H207" s="28">
        <f t="shared" si="3"/>
        <v>9</v>
      </c>
      <c r="I207" s="29">
        <f t="shared" si="2"/>
        <v>1.0900000000000001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21" customHeight="1">
      <c r="A208" s="54" t="s">
        <v>184</v>
      </c>
      <c r="B208" s="55">
        <v>100</v>
      </c>
      <c r="C208" s="56">
        <v>45748</v>
      </c>
      <c r="D208" s="54">
        <v>180</v>
      </c>
      <c r="E208" s="54">
        <v>10425</v>
      </c>
      <c r="F208" s="57">
        <v>45931</v>
      </c>
      <c r="G208" s="58">
        <v>100</v>
      </c>
      <c r="H208" s="59">
        <f t="shared" si="3"/>
        <v>0</v>
      </c>
      <c r="I208" s="60">
        <f t="shared" si="2"/>
        <v>1</v>
      </c>
      <c r="J208" s="61" t="s">
        <v>213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21" customHeight="1">
      <c r="A209" s="37" t="s">
        <v>214</v>
      </c>
      <c r="B209" s="40">
        <v>100</v>
      </c>
      <c r="C209" s="41">
        <v>45748</v>
      </c>
      <c r="D209" s="37">
        <v>90</v>
      </c>
      <c r="E209" s="37">
        <v>10425</v>
      </c>
      <c r="F209" s="38">
        <v>45839</v>
      </c>
      <c r="G209" s="39">
        <v>32</v>
      </c>
      <c r="H209" s="28">
        <f t="shared" si="3"/>
        <v>-68</v>
      </c>
      <c r="I209" s="29">
        <f t="shared" si="2"/>
        <v>0.32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21" customHeight="1">
      <c r="A210" s="37" t="s">
        <v>194</v>
      </c>
      <c r="B210" s="40">
        <v>150</v>
      </c>
      <c r="C210" s="41">
        <v>45749</v>
      </c>
      <c r="D210" s="37">
        <v>180</v>
      </c>
      <c r="E210" s="37">
        <v>20425</v>
      </c>
      <c r="F210" s="38">
        <v>45932</v>
      </c>
      <c r="G210" s="39">
        <v>159</v>
      </c>
      <c r="H210" s="28">
        <f t="shared" si="3"/>
        <v>9</v>
      </c>
      <c r="I210" s="29">
        <f t="shared" si="2"/>
        <v>1.06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21" customHeight="1">
      <c r="A211" s="37" t="s">
        <v>190</v>
      </c>
      <c r="B211" s="40">
        <v>150</v>
      </c>
      <c r="C211" s="41">
        <v>45750</v>
      </c>
      <c r="D211" s="37">
        <v>180</v>
      </c>
      <c r="E211" s="37">
        <v>30425</v>
      </c>
      <c r="F211" s="38">
        <v>45933</v>
      </c>
      <c r="G211" s="39">
        <v>157</v>
      </c>
      <c r="H211" s="28">
        <f t="shared" si="3"/>
        <v>7</v>
      </c>
      <c r="I211" s="29">
        <f t="shared" si="2"/>
        <v>1.0466666666666666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21" customHeight="1">
      <c r="A212" s="37" t="s">
        <v>186</v>
      </c>
      <c r="B212" s="40">
        <v>150</v>
      </c>
      <c r="C212" s="41">
        <v>45751</v>
      </c>
      <c r="D212" s="37">
        <v>180</v>
      </c>
      <c r="E212" s="37">
        <v>40425</v>
      </c>
      <c r="F212" s="38">
        <v>45934</v>
      </c>
      <c r="G212" s="39">
        <v>160</v>
      </c>
      <c r="H212" s="28">
        <f t="shared" si="3"/>
        <v>10</v>
      </c>
      <c r="I212" s="29">
        <f t="shared" si="2"/>
        <v>1.0666666666666667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21" customHeight="1">
      <c r="A213" s="37" t="s">
        <v>209</v>
      </c>
      <c r="B213" s="40">
        <v>60</v>
      </c>
      <c r="C213" s="41">
        <v>45751</v>
      </c>
      <c r="D213" s="37">
        <v>90</v>
      </c>
      <c r="E213" s="37">
        <v>40425</v>
      </c>
      <c r="F213" s="38">
        <v>45842</v>
      </c>
      <c r="G213" s="39">
        <v>60</v>
      </c>
      <c r="H213" s="28">
        <f t="shared" si="3"/>
        <v>0</v>
      </c>
      <c r="I213" s="29">
        <f t="shared" si="2"/>
        <v>1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21" customHeight="1">
      <c r="A214" s="37" t="s">
        <v>200</v>
      </c>
      <c r="B214" s="40">
        <v>150</v>
      </c>
      <c r="C214" s="41">
        <v>45754</v>
      </c>
      <c r="D214" s="37">
        <v>180</v>
      </c>
      <c r="E214" s="37">
        <v>70425</v>
      </c>
      <c r="F214" s="38">
        <v>45937</v>
      </c>
      <c r="G214" s="39">
        <v>150</v>
      </c>
      <c r="H214" s="28">
        <f t="shared" si="3"/>
        <v>0</v>
      </c>
      <c r="I214" s="29">
        <f t="shared" si="2"/>
        <v>1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21" customHeight="1">
      <c r="A215" s="37" t="s">
        <v>208</v>
      </c>
      <c r="B215" s="40">
        <v>100</v>
      </c>
      <c r="C215" s="41">
        <v>45390</v>
      </c>
      <c r="D215" s="37">
        <v>90</v>
      </c>
      <c r="E215" s="37">
        <v>80425</v>
      </c>
      <c r="F215" s="38">
        <v>45846</v>
      </c>
      <c r="G215" s="39">
        <v>111</v>
      </c>
      <c r="H215" s="28">
        <f t="shared" si="3"/>
        <v>11</v>
      </c>
      <c r="I215" s="29">
        <f t="shared" si="2"/>
        <v>1.1100000000000001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21" customHeight="1">
      <c r="A216" s="37" t="s">
        <v>206</v>
      </c>
      <c r="B216" s="40">
        <v>30</v>
      </c>
      <c r="C216" s="41">
        <v>45755</v>
      </c>
      <c r="D216" s="37">
        <v>90</v>
      </c>
      <c r="E216" s="37">
        <v>80425</v>
      </c>
      <c r="F216" s="38">
        <v>45846</v>
      </c>
      <c r="G216" s="39">
        <v>30</v>
      </c>
      <c r="H216" s="28">
        <f t="shared" si="3"/>
        <v>0</v>
      </c>
      <c r="I216" s="29">
        <f t="shared" si="2"/>
        <v>1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21" customHeight="1">
      <c r="A217" s="37" t="s">
        <v>205</v>
      </c>
      <c r="B217" s="40">
        <v>30</v>
      </c>
      <c r="C217" s="41">
        <v>45755</v>
      </c>
      <c r="D217" s="37">
        <v>90</v>
      </c>
      <c r="E217" s="37">
        <v>80425</v>
      </c>
      <c r="F217" s="38">
        <v>45846</v>
      </c>
      <c r="G217" s="39">
        <v>39</v>
      </c>
      <c r="H217" s="28">
        <f t="shared" si="3"/>
        <v>9</v>
      </c>
      <c r="I217" s="29">
        <f t="shared" si="2"/>
        <v>1.3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21" customHeight="1">
      <c r="A218" s="37" t="s">
        <v>188</v>
      </c>
      <c r="B218" s="40">
        <v>100</v>
      </c>
      <c r="C218" s="42">
        <v>45756</v>
      </c>
      <c r="D218" s="37">
        <v>90</v>
      </c>
      <c r="E218" s="37">
        <v>90425</v>
      </c>
      <c r="F218" s="38">
        <v>45847</v>
      </c>
      <c r="G218" s="39">
        <v>103</v>
      </c>
      <c r="H218" s="28">
        <f t="shared" si="3"/>
        <v>3</v>
      </c>
      <c r="I218" s="29">
        <f t="shared" si="2"/>
        <v>1.03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21" customHeight="1">
      <c r="A219" s="37" t="s">
        <v>185</v>
      </c>
      <c r="B219" s="40">
        <v>150</v>
      </c>
      <c r="C219" s="41">
        <v>45757</v>
      </c>
      <c r="D219" s="37">
        <v>180</v>
      </c>
      <c r="E219" s="37">
        <v>100425</v>
      </c>
      <c r="F219" s="38">
        <v>45940</v>
      </c>
      <c r="G219" s="39">
        <v>144</v>
      </c>
      <c r="H219" s="28">
        <f t="shared" si="3"/>
        <v>-6</v>
      </c>
      <c r="I219" s="29">
        <f t="shared" si="2"/>
        <v>0.96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21" customHeight="1">
      <c r="A220" s="37" t="s">
        <v>204</v>
      </c>
      <c r="B220" s="40">
        <v>30</v>
      </c>
      <c r="C220" s="41">
        <v>45758</v>
      </c>
      <c r="D220" s="37">
        <v>90</v>
      </c>
      <c r="E220" s="37">
        <v>110425</v>
      </c>
      <c r="F220" s="44">
        <v>45849</v>
      </c>
      <c r="G220" s="39">
        <v>35</v>
      </c>
      <c r="H220" s="28">
        <f t="shared" si="3"/>
        <v>5</v>
      </c>
      <c r="I220" s="29">
        <f t="shared" si="2"/>
        <v>1.1666666666666667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21" customHeight="1">
      <c r="A221" s="37" t="s">
        <v>203</v>
      </c>
      <c r="B221" s="40">
        <v>30</v>
      </c>
      <c r="C221" s="41">
        <v>45758</v>
      </c>
      <c r="D221" s="37">
        <v>90</v>
      </c>
      <c r="E221" s="37">
        <v>110425</v>
      </c>
      <c r="F221" s="38">
        <v>45849</v>
      </c>
      <c r="G221" s="39">
        <v>65</v>
      </c>
      <c r="H221" s="28">
        <f t="shared" si="3"/>
        <v>35</v>
      </c>
      <c r="I221" s="29">
        <f t="shared" si="2"/>
        <v>2.1666666666666665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21" customHeight="1">
      <c r="A222" s="37" t="s">
        <v>207</v>
      </c>
      <c r="B222" s="40">
        <v>100</v>
      </c>
      <c r="C222" s="41">
        <v>45761</v>
      </c>
      <c r="D222" s="37">
        <v>90</v>
      </c>
      <c r="E222" s="37">
        <v>140425</v>
      </c>
      <c r="F222" s="38">
        <v>45852</v>
      </c>
      <c r="G222" s="39">
        <v>97</v>
      </c>
      <c r="H222" s="28">
        <f t="shared" si="3"/>
        <v>-3</v>
      </c>
      <c r="I222" s="29">
        <f t="shared" si="2"/>
        <v>0.97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21" customHeight="1">
      <c r="A223" s="37" t="s">
        <v>214</v>
      </c>
      <c r="B223" s="40">
        <v>100</v>
      </c>
      <c r="C223" s="41">
        <v>45761</v>
      </c>
      <c r="D223" s="37">
        <v>90</v>
      </c>
      <c r="E223" s="37">
        <v>140425</v>
      </c>
      <c r="F223" s="38">
        <v>45852</v>
      </c>
      <c r="G223" s="39">
        <v>23</v>
      </c>
      <c r="H223" s="28">
        <f t="shared" si="3"/>
        <v>-77</v>
      </c>
      <c r="I223" s="29">
        <f t="shared" si="2"/>
        <v>0.23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21" customHeight="1">
      <c r="A224" s="37" t="s">
        <v>187</v>
      </c>
      <c r="B224" s="40">
        <v>150</v>
      </c>
      <c r="C224" s="41">
        <v>45763</v>
      </c>
      <c r="D224" s="37">
        <v>180</v>
      </c>
      <c r="E224" s="37">
        <v>160425</v>
      </c>
      <c r="F224" s="62">
        <v>45946</v>
      </c>
      <c r="G224" s="39">
        <v>157</v>
      </c>
      <c r="H224" s="28">
        <f t="shared" si="3"/>
        <v>7</v>
      </c>
      <c r="I224" s="29">
        <f t="shared" si="2"/>
        <v>1.0466666666666666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21" customHeight="1">
      <c r="A225" s="37" t="s">
        <v>196</v>
      </c>
      <c r="B225" s="40">
        <v>100</v>
      </c>
      <c r="C225" s="41">
        <v>45768</v>
      </c>
      <c r="D225" s="37">
        <v>90</v>
      </c>
      <c r="E225" s="37">
        <v>210425</v>
      </c>
      <c r="F225" s="38">
        <v>45859</v>
      </c>
      <c r="G225" s="39">
        <v>107</v>
      </c>
      <c r="H225" s="28">
        <f t="shared" si="3"/>
        <v>7</v>
      </c>
      <c r="I225" s="29">
        <f t="shared" si="2"/>
        <v>1.07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21" customHeight="1">
      <c r="A226" s="37" t="s">
        <v>206</v>
      </c>
      <c r="B226" s="40">
        <v>50</v>
      </c>
      <c r="C226" s="41">
        <v>45769</v>
      </c>
      <c r="D226" s="37">
        <v>90</v>
      </c>
      <c r="E226" s="37">
        <v>220425</v>
      </c>
      <c r="F226" s="38">
        <v>45860</v>
      </c>
      <c r="G226" s="39">
        <v>55</v>
      </c>
      <c r="H226" s="28">
        <f t="shared" si="3"/>
        <v>5</v>
      </c>
      <c r="I226" s="29">
        <f t="shared" si="2"/>
        <v>1.1000000000000001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21" customHeight="1">
      <c r="A227" s="37" t="s">
        <v>214</v>
      </c>
      <c r="B227" s="40">
        <v>100</v>
      </c>
      <c r="C227" s="41">
        <v>45769</v>
      </c>
      <c r="D227" s="37">
        <v>90</v>
      </c>
      <c r="E227" s="37">
        <v>220425</v>
      </c>
      <c r="F227" s="38">
        <v>45860</v>
      </c>
      <c r="G227" s="39">
        <v>62</v>
      </c>
      <c r="H227" s="28">
        <f t="shared" si="3"/>
        <v>-38</v>
      </c>
      <c r="I227" s="29">
        <f t="shared" si="2"/>
        <v>0.62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21" customHeight="1">
      <c r="A228" s="37" t="s">
        <v>215</v>
      </c>
      <c r="B228" s="40">
        <v>50</v>
      </c>
      <c r="C228" s="41">
        <v>45770</v>
      </c>
      <c r="D228" s="37">
        <v>90</v>
      </c>
      <c r="E228" s="37">
        <v>230425</v>
      </c>
      <c r="F228" s="38">
        <v>45861</v>
      </c>
      <c r="G228" s="39">
        <v>15</v>
      </c>
      <c r="H228" s="28">
        <f t="shared" si="3"/>
        <v>-35</v>
      </c>
      <c r="I228" s="29">
        <f t="shared" si="2"/>
        <v>0.3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21" customHeight="1">
      <c r="A229" s="37" t="s">
        <v>186</v>
      </c>
      <c r="B229" s="40">
        <v>150</v>
      </c>
      <c r="C229" s="41">
        <v>45771</v>
      </c>
      <c r="D229" s="37">
        <v>180</v>
      </c>
      <c r="E229" s="37">
        <v>240425</v>
      </c>
      <c r="F229" s="38">
        <v>45954</v>
      </c>
      <c r="G229" s="39">
        <v>160</v>
      </c>
      <c r="H229" s="28">
        <f t="shared" si="3"/>
        <v>10</v>
      </c>
      <c r="I229" s="29">
        <f t="shared" si="2"/>
        <v>1.0666666666666667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21" customHeight="1">
      <c r="A230" s="37" t="s">
        <v>202</v>
      </c>
      <c r="B230" s="40">
        <v>100</v>
      </c>
      <c r="C230" s="41">
        <v>45772</v>
      </c>
      <c r="D230" s="37">
        <v>90</v>
      </c>
      <c r="E230" s="37">
        <v>250425</v>
      </c>
      <c r="F230" s="38">
        <v>45863</v>
      </c>
      <c r="G230" s="39">
        <v>106</v>
      </c>
      <c r="H230" s="28">
        <f t="shared" si="3"/>
        <v>6</v>
      </c>
      <c r="I230" s="29">
        <f t="shared" si="2"/>
        <v>1.06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21" customHeight="1">
      <c r="A231" s="37" t="s">
        <v>194</v>
      </c>
      <c r="B231" s="40">
        <v>150</v>
      </c>
      <c r="C231" s="41">
        <v>45772</v>
      </c>
      <c r="D231" s="37">
        <v>180</v>
      </c>
      <c r="E231" s="37">
        <v>250425</v>
      </c>
      <c r="F231" s="38">
        <v>45955</v>
      </c>
      <c r="G231" s="39">
        <v>163</v>
      </c>
      <c r="H231" s="28">
        <f t="shared" si="3"/>
        <v>13</v>
      </c>
      <c r="I231" s="29">
        <f t="shared" si="2"/>
        <v>1.0866666666666667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21" customHeight="1">
      <c r="A232" s="37" t="s">
        <v>190</v>
      </c>
      <c r="B232" s="40">
        <v>150</v>
      </c>
      <c r="C232" s="41">
        <v>45775</v>
      </c>
      <c r="D232" s="37">
        <v>180</v>
      </c>
      <c r="E232" s="37">
        <v>280425</v>
      </c>
      <c r="F232" s="38">
        <v>45958</v>
      </c>
      <c r="G232" s="39">
        <v>157</v>
      </c>
      <c r="H232" s="28">
        <f t="shared" si="3"/>
        <v>7</v>
      </c>
      <c r="I232" s="29">
        <f t="shared" si="2"/>
        <v>1.0466666666666666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21" customHeight="1">
      <c r="A233" s="37" t="s">
        <v>184</v>
      </c>
      <c r="B233" s="40">
        <v>100</v>
      </c>
      <c r="C233" s="41">
        <v>45776</v>
      </c>
      <c r="D233" s="37">
        <v>180</v>
      </c>
      <c r="E233" s="37">
        <v>290425</v>
      </c>
      <c r="F233" s="38">
        <v>45959</v>
      </c>
      <c r="G233" s="39">
        <v>112</v>
      </c>
      <c r="H233" s="28">
        <f t="shared" si="3"/>
        <v>12</v>
      </c>
      <c r="I233" s="29">
        <f t="shared" si="2"/>
        <v>1.1200000000000001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21" customHeight="1">
      <c r="A234" s="37" t="s">
        <v>214</v>
      </c>
      <c r="B234" s="40">
        <v>50</v>
      </c>
      <c r="C234" s="41">
        <v>45776</v>
      </c>
      <c r="D234" s="37">
        <v>90</v>
      </c>
      <c r="E234" s="37">
        <v>290425</v>
      </c>
      <c r="F234" s="38">
        <v>45867</v>
      </c>
      <c r="G234" s="39">
        <v>44</v>
      </c>
      <c r="H234" s="28">
        <f t="shared" si="3"/>
        <v>-6</v>
      </c>
      <c r="I234" s="29">
        <f t="shared" si="2"/>
        <v>0.88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21" customHeight="1">
      <c r="A235" s="63" t="s">
        <v>187</v>
      </c>
      <c r="B235" s="64">
        <v>150</v>
      </c>
      <c r="C235" s="65">
        <v>45779</v>
      </c>
      <c r="D235" s="63">
        <v>180</v>
      </c>
      <c r="E235" s="63">
        <v>20525</v>
      </c>
      <c r="F235" s="66">
        <v>45963</v>
      </c>
      <c r="G235" s="67">
        <v>158</v>
      </c>
      <c r="H235" s="68">
        <f t="shared" si="3"/>
        <v>8</v>
      </c>
      <c r="I235" s="69">
        <f t="shared" si="2"/>
        <v>1.0533333333333332</v>
      </c>
      <c r="J235" s="70" t="s">
        <v>216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21" customHeight="1">
      <c r="A236" s="37" t="s">
        <v>196</v>
      </c>
      <c r="B236" s="40">
        <v>100</v>
      </c>
      <c r="C236" s="42">
        <v>45782</v>
      </c>
      <c r="D236" s="37">
        <v>90</v>
      </c>
      <c r="E236" s="37">
        <v>50525</v>
      </c>
      <c r="F236" s="38">
        <v>45874</v>
      </c>
      <c r="G236" s="39">
        <v>102</v>
      </c>
      <c r="H236" s="28">
        <f t="shared" si="3"/>
        <v>2</v>
      </c>
      <c r="I236" s="29">
        <f t="shared" si="2"/>
        <v>1.02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21" customHeight="1">
      <c r="A237" s="37" t="s">
        <v>189</v>
      </c>
      <c r="B237" s="40">
        <v>150</v>
      </c>
      <c r="C237" s="41">
        <v>45783</v>
      </c>
      <c r="D237" s="37">
        <v>180</v>
      </c>
      <c r="E237" s="37">
        <v>60525</v>
      </c>
      <c r="F237" s="38">
        <v>45967</v>
      </c>
      <c r="G237" s="39">
        <v>165</v>
      </c>
      <c r="H237" s="28">
        <f t="shared" si="3"/>
        <v>15</v>
      </c>
      <c r="I237" s="29">
        <f t="shared" si="2"/>
        <v>1.1000000000000001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21" customHeight="1">
      <c r="A238" s="37" t="s">
        <v>188</v>
      </c>
      <c r="B238" s="40">
        <v>100</v>
      </c>
      <c r="C238" s="41">
        <v>45783</v>
      </c>
      <c r="D238" s="37">
        <v>90</v>
      </c>
      <c r="E238" s="37">
        <v>60525</v>
      </c>
      <c r="F238" s="38">
        <v>45875</v>
      </c>
      <c r="G238" s="39">
        <v>106</v>
      </c>
      <c r="H238" s="28">
        <f t="shared" si="3"/>
        <v>6</v>
      </c>
      <c r="I238" s="29">
        <f t="shared" si="2"/>
        <v>1.06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21" customHeight="1">
      <c r="A239" s="37" t="s">
        <v>185</v>
      </c>
      <c r="B239" s="40">
        <v>150</v>
      </c>
      <c r="C239" s="41">
        <v>45784</v>
      </c>
      <c r="D239" s="37">
        <v>180</v>
      </c>
      <c r="E239" s="37">
        <v>70525</v>
      </c>
      <c r="F239" s="38">
        <v>45968</v>
      </c>
      <c r="G239" s="39">
        <v>154</v>
      </c>
      <c r="H239" s="28">
        <f t="shared" si="3"/>
        <v>4</v>
      </c>
      <c r="I239" s="29">
        <f t="shared" si="2"/>
        <v>1.0266666666666666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21" customHeight="1">
      <c r="A240" s="37" t="s">
        <v>205</v>
      </c>
      <c r="B240" s="40">
        <v>50</v>
      </c>
      <c r="C240" s="41">
        <v>45785</v>
      </c>
      <c r="D240" s="37">
        <v>90</v>
      </c>
      <c r="E240" s="37">
        <v>80525</v>
      </c>
      <c r="F240" s="38">
        <v>45877</v>
      </c>
      <c r="G240" s="39">
        <v>50</v>
      </c>
      <c r="H240" s="28">
        <f t="shared" si="3"/>
        <v>0</v>
      </c>
      <c r="I240" s="29">
        <f t="shared" si="2"/>
        <v>1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21" customHeight="1">
      <c r="A241" s="37" t="s">
        <v>206</v>
      </c>
      <c r="B241" s="40">
        <v>50</v>
      </c>
      <c r="C241" s="41">
        <v>45785</v>
      </c>
      <c r="D241" s="37">
        <v>90</v>
      </c>
      <c r="E241" s="37">
        <v>80525</v>
      </c>
      <c r="F241" s="38">
        <v>45877</v>
      </c>
      <c r="G241" s="39">
        <v>50</v>
      </c>
      <c r="H241" s="28">
        <f t="shared" si="3"/>
        <v>0</v>
      </c>
      <c r="I241" s="29">
        <f t="shared" si="2"/>
        <v>1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21" customHeight="1">
      <c r="A242" s="37" t="s">
        <v>215</v>
      </c>
      <c r="B242" s="40">
        <v>30</v>
      </c>
      <c r="C242" s="41">
        <v>45786</v>
      </c>
      <c r="D242" s="37">
        <v>90</v>
      </c>
      <c r="E242" s="37">
        <v>90525</v>
      </c>
      <c r="F242" s="38">
        <v>45878</v>
      </c>
      <c r="G242" s="39">
        <v>22</v>
      </c>
      <c r="H242" s="28">
        <f t="shared" si="3"/>
        <v>-8</v>
      </c>
      <c r="I242" s="29">
        <f t="shared" si="2"/>
        <v>0.73333333333333328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22.5" customHeight="1">
      <c r="A243" s="37" t="s">
        <v>202</v>
      </c>
      <c r="B243" s="40">
        <v>100</v>
      </c>
      <c r="C243" s="41">
        <v>45786</v>
      </c>
      <c r="D243" s="37">
        <v>90</v>
      </c>
      <c r="E243" s="37">
        <v>90525</v>
      </c>
      <c r="F243" s="38">
        <v>45878</v>
      </c>
      <c r="G243" s="39">
        <v>109</v>
      </c>
      <c r="H243" s="28">
        <f t="shared" si="3"/>
        <v>9</v>
      </c>
      <c r="I243" s="29">
        <f t="shared" si="2"/>
        <v>1.0900000000000001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21" customHeight="1">
      <c r="A244" s="37" t="s">
        <v>208</v>
      </c>
      <c r="B244" s="40">
        <v>150</v>
      </c>
      <c r="C244" s="41">
        <v>45790</v>
      </c>
      <c r="D244" s="37">
        <v>90</v>
      </c>
      <c r="E244" s="37">
        <v>130525</v>
      </c>
      <c r="F244" s="38">
        <v>45882</v>
      </c>
      <c r="G244" s="39">
        <v>157</v>
      </c>
      <c r="H244" s="28">
        <f t="shared" si="3"/>
        <v>7</v>
      </c>
      <c r="I244" s="29">
        <f t="shared" si="2"/>
        <v>1.0466666666666666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21" customHeight="1">
      <c r="A245" s="37" t="s">
        <v>190</v>
      </c>
      <c r="B245" s="40">
        <v>50</v>
      </c>
      <c r="C245" s="41">
        <v>45791</v>
      </c>
      <c r="D245" s="37">
        <v>180</v>
      </c>
      <c r="E245" s="37">
        <v>140525</v>
      </c>
      <c r="F245" s="38">
        <v>45975</v>
      </c>
      <c r="G245" s="39">
        <v>55</v>
      </c>
      <c r="H245" s="28">
        <f t="shared" si="3"/>
        <v>5</v>
      </c>
      <c r="I245" s="29">
        <f t="shared" si="2"/>
        <v>1.1000000000000001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21" customHeight="1">
      <c r="A246" s="37" t="s">
        <v>207</v>
      </c>
      <c r="B246" s="40">
        <v>100</v>
      </c>
      <c r="C246" s="41">
        <v>45791</v>
      </c>
      <c r="D246" s="37">
        <v>90</v>
      </c>
      <c r="E246" s="37">
        <v>140525</v>
      </c>
      <c r="F246" s="38">
        <v>45883</v>
      </c>
      <c r="G246" s="39">
        <v>95</v>
      </c>
      <c r="H246" s="28">
        <f t="shared" si="3"/>
        <v>-5</v>
      </c>
      <c r="I246" s="29">
        <f t="shared" si="2"/>
        <v>0.95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21" customHeight="1">
      <c r="A247" s="37" t="s">
        <v>200</v>
      </c>
      <c r="B247" s="40">
        <v>150</v>
      </c>
      <c r="C247" s="41">
        <v>45792</v>
      </c>
      <c r="D247" s="37">
        <v>180</v>
      </c>
      <c r="E247" s="37">
        <v>150525</v>
      </c>
      <c r="F247" s="38">
        <v>45976</v>
      </c>
      <c r="G247" s="39">
        <v>154</v>
      </c>
      <c r="H247" s="28">
        <f t="shared" si="3"/>
        <v>4</v>
      </c>
      <c r="I247" s="29">
        <f t="shared" si="2"/>
        <v>1.0266666666666666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21" customHeight="1">
      <c r="A248" s="37" t="s">
        <v>187</v>
      </c>
      <c r="B248" s="40">
        <v>150</v>
      </c>
      <c r="C248" s="41">
        <v>45793</v>
      </c>
      <c r="D248" s="37">
        <v>180</v>
      </c>
      <c r="E248" s="37">
        <v>160525</v>
      </c>
      <c r="F248" s="38">
        <v>45977</v>
      </c>
      <c r="G248" s="39">
        <v>160</v>
      </c>
      <c r="H248" s="28">
        <f t="shared" si="3"/>
        <v>10</v>
      </c>
      <c r="I248" s="29">
        <f t="shared" si="2"/>
        <v>1.0666666666666667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21" customHeight="1">
      <c r="A249" s="37" t="s">
        <v>184</v>
      </c>
      <c r="B249" s="40">
        <v>100</v>
      </c>
      <c r="C249" s="41">
        <v>45797</v>
      </c>
      <c r="D249" s="37">
        <v>180</v>
      </c>
      <c r="E249" s="37">
        <v>200525</v>
      </c>
      <c r="F249" s="38">
        <v>45981</v>
      </c>
      <c r="G249" s="39">
        <v>109</v>
      </c>
      <c r="H249" s="28">
        <f t="shared" si="3"/>
        <v>9</v>
      </c>
      <c r="I249" s="29">
        <f t="shared" si="2"/>
        <v>1.0900000000000001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21" customHeight="1">
      <c r="A250" s="37" t="s">
        <v>217</v>
      </c>
      <c r="B250" s="40">
        <v>50</v>
      </c>
      <c r="C250" s="41">
        <v>45798</v>
      </c>
      <c r="D250" s="37">
        <v>180</v>
      </c>
      <c r="E250" s="37">
        <v>210525</v>
      </c>
      <c r="F250" s="38">
        <v>45982</v>
      </c>
      <c r="G250" s="39">
        <v>50</v>
      </c>
      <c r="H250" s="28">
        <f t="shared" si="3"/>
        <v>0</v>
      </c>
      <c r="I250" s="29">
        <f t="shared" si="2"/>
        <v>1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21" customHeight="1">
      <c r="A251" s="37" t="s">
        <v>196</v>
      </c>
      <c r="B251" s="40">
        <v>100</v>
      </c>
      <c r="C251" s="41">
        <v>45799</v>
      </c>
      <c r="D251" s="37">
        <v>90</v>
      </c>
      <c r="E251" s="37">
        <v>220525</v>
      </c>
      <c r="F251" s="38">
        <v>45891</v>
      </c>
      <c r="G251" s="39">
        <v>106</v>
      </c>
      <c r="H251" s="28">
        <f t="shared" si="3"/>
        <v>6</v>
      </c>
      <c r="I251" s="29">
        <f t="shared" si="2"/>
        <v>1.06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21" customHeight="1">
      <c r="A252" s="37" t="s">
        <v>214</v>
      </c>
      <c r="B252" s="40">
        <v>50</v>
      </c>
      <c r="C252" s="41">
        <v>45799</v>
      </c>
      <c r="D252" s="37">
        <v>90</v>
      </c>
      <c r="E252" s="37">
        <v>220525</v>
      </c>
      <c r="F252" s="38">
        <v>45891</v>
      </c>
      <c r="G252" s="39">
        <v>39</v>
      </c>
      <c r="H252" s="28">
        <f t="shared" si="3"/>
        <v>-11</v>
      </c>
      <c r="I252" s="29">
        <f t="shared" si="2"/>
        <v>0.78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21" customHeight="1">
      <c r="A253" s="37" t="s">
        <v>186</v>
      </c>
      <c r="B253" s="40">
        <v>150</v>
      </c>
      <c r="C253" s="42">
        <v>45800</v>
      </c>
      <c r="D253" s="37">
        <v>180</v>
      </c>
      <c r="E253" s="37">
        <v>230525</v>
      </c>
      <c r="F253" s="44">
        <v>45984</v>
      </c>
      <c r="G253" s="39">
        <v>159</v>
      </c>
      <c r="H253" s="28">
        <f t="shared" si="3"/>
        <v>9</v>
      </c>
      <c r="I253" s="29">
        <f t="shared" si="2"/>
        <v>1.06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21" customHeight="1">
      <c r="A254" s="37" t="s">
        <v>202</v>
      </c>
      <c r="B254" s="40">
        <v>100</v>
      </c>
      <c r="C254" s="41">
        <v>45803</v>
      </c>
      <c r="D254" s="37">
        <v>90</v>
      </c>
      <c r="E254" s="37">
        <v>260525</v>
      </c>
      <c r="F254" s="38">
        <v>45895</v>
      </c>
      <c r="G254" s="39">
        <v>109</v>
      </c>
      <c r="H254" s="28">
        <f t="shared" si="3"/>
        <v>9</v>
      </c>
      <c r="I254" s="29">
        <f t="shared" si="2"/>
        <v>1.0900000000000001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21" customHeight="1">
      <c r="A255" s="37" t="s">
        <v>215</v>
      </c>
      <c r="B255" s="40">
        <v>30</v>
      </c>
      <c r="C255" s="41">
        <v>45803</v>
      </c>
      <c r="D255" s="37">
        <v>90</v>
      </c>
      <c r="E255" s="37">
        <v>260525</v>
      </c>
      <c r="F255" s="38">
        <v>45895</v>
      </c>
      <c r="G255" s="39">
        <v>20</v>
      </c>
      <c r="H255" s="28">
        <f t="shared" si="3"/>
        <v>-10</v>
      </c>
      <c r="I255" s="29">
        <f t="shared" si="2"/>
        <v>0.66666666666666663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21" customHeight="1">
      <c r="A256" s="37" t="s">
        <v>209</v>
      </c>
      <c r="B256" s="40">
        <v>60</v>
      </c>
      <c r="C256" s="41">
        <v>45804</v>
      </c>
      <c r="D256" s="37">
        <v>90</v>
      </c>
      <c r="E256" s="37">
        <v>270525</v>
      </c>
      <c r="F256" s="38">
        <v>45896</v>
      </c>
      <c r="G256" s="39">
        <v>60</v>
      </c>
      <c r="H256" s="28">
        <f t="shared" si="3"/>
        <v>0</v>
      </c>
      <c r="I256" s="29">
        <f t="shared" si="2"/>
        <v>1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21" customHeight="1">
      <c r="A257" s="37" t="s">
        <v>194</v>
      </c>
      <c r="B257" s="40">
        <v>150</v>
      </c>
      <c r="C257" s="41">
        <v>45805</v>
      </c>
      <c r="D257" s="37">
        <v>180</v>
      </c>
      <c r="E257" s="37">
        <v>280525</v>
      </c>
      <c r="F257" s="38">
        <v>45989</v>
      </c>
      <c r="G257" s="39">
        <v>151</v>
      </c>
      <c r="H257" s="28">
        <f t="shared" si="3"/>
        <v>1</v>
      </c>
      <c r="I257" s="29">
        <f t="shared" ref="I257:I392" si="4">G257/B257</f>
        <v>1.0066666666666666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21" customHeight="1">
      <c r="A258" s="37" t="s">
        <v>185</v>
      </c>
      <c r="B258" s="40">
        <v>150</v>
      </c>
      <c r="C258" s="41">
        <v>45806</v>
      </c>
      <c r="D258" s="37">
        <v>180</v>
      </c>
      <c r="E258" s="37">
        <v>290525</v>
      </c>
      <c r="F258" s="38">
        <v>45990</v>
      </c>
      <c r="G258" s="39">
        <v>150</v>
      </c>
      <c r="H258" s="28">
        <f t="shared" si="3"/>
        <v>0</v>
      </c>
      <c r="I258" s="29">
        <f t="shared" si="4"/>
        <v>1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21" customHeight="1">
      <c r="A259" s="37" t="s">
        <v>208</v>
      </c>
      <c r="B259" s="40">
        <v>100</v>
      </c>
      <c r="C259" s="41">
        <v>45807</v>
      </c>
      <c r="D259" s="37">
        <v>90</v>
      </c>
      <c r="E259" s="37">
        <v>300525</v>
      </c>
      <c r="F259" s="38">
        <v>45899</v>
      </c>
      <c r="G259" s="39">
        <v>106</v>
      </c>
      <c r="H259" s="28">
        <f t="shared" si="3"/>
        <v>6</v>
      </c>
      <c r="I259" s="29">
        <f t="shared" si="4"/>
        <v>1.06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21" customHeight="1">
      <c r="A260" s="37" t="s">
        <v>214</v>
      </c>
      <c r="B260" s="40">
        <v>50</v>
      </c>
      <c r="C260" s="41">
        <v>45808</v>
      </c>
      <c r="D260" s="37">
        <v>90</v>
      </c>
      <c r="E260" s="37">
        <v>310525</v>
      </c>
      <c r="F260" s="38">
        <v>45900</v>
      </c>
      <c r="G260" s="39">
        <v>56</v>
      </c>
      <c r="H260" s="28">
        <f t="shared" si="3"/>
        <v>6</v>
      </c>
      <c r="I260" s="29">
        <f t="shared" si="4"/>
        <v>1.1200000000000001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21" customHeight="1">
      <c r="A261" s="71" t="s">
        <v>189</v>
      </c>
      <c r="B261" s="72">
        <v>150</v>
      </c>
      <c r="C261" s="73">
        <v>45812</v>
      </c>
      <c r="D261" s="71">
        <v>180</v>
      </c>
      <c r="E261" s="71">
        <v>40625</v>
      </c>
      <c r="F261" s="74">
        <v>45995</v>
      </c>
      <c r="G261" s="75">
        <v>159</v>
      </c>
      <c r="H261" s="76">
        <f t="shared" si="3"/>
        <v>9</v>
      </c>
      <c r="I261" s="77">
        <f t="shared" si="4"/>
        <v>1.06</v>
      </c>
      <c r="J261" s="78" t="s">
        <v>218</v>
      </c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21" customHeight="1">
      <c r="A262" s="37" t="s">
        <v>188</v>
      </c>
      <c r="B262" s="40">
        <v>100</v>
      </c>
      <c r="C262" s="41">
        <v>45813</v>
      </c>
      <c r="D262" s="37">
        <v>90</v>
      </c>
      <c r="E262" s="37">
        <v>50625</v>
      </c>
      <c r="F262" s="38">
        <v>45905</v>
      </c>
      <c r="G262" s="39">
        <v>95</v>
      </c>
      <c r="H262" s="28">
        <f t="shared" si="3"/>
        <v>-5</v>
      </c>
      <c r="I262" s="29">
        <f t="shared" si="4"/>
        <v>0.95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21" customHeight="1">
      <c r="A263" s="37" t="s">
        <v>205</v>
      </c>
      <c r="B263" s="40">
        <v>50</v>
      </c>
      <c r="C263" s="41">
        <v>45814</v>
      </c>
      <c r="D263" s="37">
        <v>90</v>
      </c>
      <c r="E263" s="37">
        <v>60625</v>
      </c>
      <c r="F263" s="38">
        <v>45906</v>
      </c>
      <c r="G263" s="39">
        <v>50</v>
      </c>
      <c r="H263" s="28">
        <f t="shared" si="3"/>
        <v>0</v>
      </c>
      <c r="I263" s="29">
        <f t="shared" si="4"/>
        <v>1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21" customHeight="1">
      <c r="A264" s="37" t="s">
        <v>215</v>
      </c>
      <c r="B264" s="40">
        <v>30</v>
      </c>
      <c r="C264" s="41">
        <v>45814</v>
      </c>
      <c r="D264" s="37">
        <v>90</v>
      </c>
      <c r="E264" s="37">
        <v>60625</v>
      </c>
      <c r="F264" s="38">
        <v>45906</v>
      </c>
      <c r="G264" s="39">
        <v>33</v>
      </c>
      <c r="H264" s="28">
        <f t="shared" si="3"/>
        <v>3</v>
      </c>
      <c r="I264" s="29">
        <f t="shared" si="4"/>
        <v>1.1000000000000001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21" customHeight="1">
      <c r="A265" s="37" t="s">
        <v>207</v>
      </c>
      <c r="B265" s="40">
        <v>100</v>
      </c>
      <c r="C265" s="41">
        <v>45817</v>
      </c>
      <c r="D265" s="37">
        <v>90</v>
      </c>
      <c r="E265" s="37">
        <v>90625</v>
      </c>
      <c r="F265" s="38">
        <v>45909</v>
      </c>
      <c r="G265" s="39">
        <v>101</v>
      </c>
      <c r="H265" s="28">
        <f t="shared" si="3"/>
        <v>1</v>
      </c>
      <c r="I265" s="29">
        <f t="shared" si="4"/>
        <v>1.01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21" customHeight="1">
      <c r="A266" s="37" t="s">
        <v>200</v>
      </c>
      <c r="B266" s="40">
        <v>150</v>
      </c>
      <c r="C266" s="41">
        <v>45818</v>
      </c>
      <c r="D266" s="37">
        <v>180</v>
      </c>
      <c r="E266" s="37">
        <v>100625</v>
      </c>
      <c r="F266" s="38">
        <v>46001</v>
      </c>
      <c r="G266" s="39">
        <v>151</v>
      </c>
      <c r="H266" s="28">
        <f t="shared" si="3"/>
        <v>1</v>
      </c>
      <c r="I266" s="29">
        <f t="shared" si="4"/>
        <v>1.0066666666666666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21" customHeight="1">
      <c r="A267" s="37" t="s">
        <v>187</v>
      </c>
      <c r="B267" s="40">
        <v>150</v>
      </c>
      <c r="C267" s="41">
        <v>45819</v>
      </c>
      <c r="D267" s="37">
        <v>180</v>
      </c>
      <c r="E267" s="37">
        <v>110625</v>
      </c>
      <c r="F267" s="38">
        <v>46002</v>
      </c>
      <c r="G267" s="39">
        <v>146</v>
      </c>
      <c r="H267" s="28">
        <f t="shared" si="3"/>
        <v>-4</v>
      </c>
      <c r="I267" s="29">
        <f t="shared" si="4"/>
        <v>0.97333333333333338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21" customHeight="1">
      <c r="A268" s="37" t="s">
        <v>186</v>
      </c>
      <c r="B268" s="40">
        <v>150</v>
      </c>
      <c r="C268" s="41">
        <v>45820</v>
      </c>
      <c r="D268" s="37">
        <v>180</v>
      </c>
      <c r="E268" s="37">
        <v>120625</v>
      </c>
      <c r="F268" s="38">
        <v>46003</v>
      </c>
      <c r="G268" s="39">
        <v>155</v>
      </c>
      <c r="H268" s="28">
        <f t="shared" si="3"/>
        <v>5</v>
      </c>
      <c r="I268" s="29">
        <f t="shared" si="4"/>
        <v>1.0333333333333334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21" customHeight="1">
      <c r="A269" s="37" t="s">
        <v>208</v>
      </c>
      <c r="B269" s="40">
        <v>100</v>
      </c>
      <c r="C269" s="41">
        <v>45821</v>
      </c>
      <c r="D269" s="37">
        <v>90</v>
      </c>
      <c r="E269" s="37">
        <v>130625</v>
      </c>
      <c r="F269" s="38">
        <v>45913</v>
      </c>
      <c r="G269" s="39">
        <v>107</v>
      </c>
      <c r="H269" s="28">
        <f t="shared" si="3"/>
        <v>7</v>
      </c>
      <c r="I269" s="29">
        <f t="shared" si="4"/>
        <v>1.07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21" customHeight="1">
      <c r="A270" s="37" t="s">
        <v>219</v>
      </c>
      <c r="B270" s="40">
        <v>30</v>
      </c>
      <c r="C270" s="41">
        <v>45821</v>
      </c>
      <c r="D270" s="37">
        <v>90</v>
      </c>
      <c r="E270" s="37">
        <v>130625</v>
      </c>
      <c r="F270" s="38">
        <v>45913</v>
      </c>
      <c r="G270" s="39">
        <v>37</v>
      </c>
      <c r="H270" s="28">
        <f t="shared" si="3"/>
        <v>7</v>
      </c>
      <c r="I270" s="29">
        <f t="shared" si="4"/>
        <v>1.2333333333333334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21" customHeight="1">
      <c r="A271" s="37" t="s">
        <v>220</v>
      </c>
      <c r="B271" s="40">
        <v>30</v>
      </c>
      <c r="C271" s="41">
        <v>45821</v>
      </c>
      <c r="D271" s="37">
        <v>90</v>
      </c>
      <c r="E271" s="37">
        <v>130625</v>
      </c>
      <c r="F271" s="38">
        <v>45913</v>
      </c>
      <c r="G271" s="39">
        <v>37</v>
      </c>
      <c r="H271" s="28">
        <f t="shared" si="3"/>
        <v>7</v>
      </c>
      <c r="I271" s="29">
        <f t="shared" si="4"/>
        <v>1.2333333333333334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21" customHeight="1">
      <c r="A272" s="37" t="s">
        <v>196</v>
      </c>
      <c r="B272" s="40">
        <v>100</v>
      </c>
      <c r="C272" s="41">
        <v>45824</v>
      </c>
      <c r="D272" s="37">
        <v>90</v>
      </c>
      <c r="E272" s="37">
        <v>160625</v>
      </c>
      <c r="F272" s="38">
        <v>45916</v>
      </c>
      <c r="G272" s="39">
        <v>104</v>
      </c>
      <c r="H272" s="28">
        <f t="shared" si="3"/>
        <v>4</v>
      </c>
      <c r="I272" s="29">
        <f t="shared" si="4"/>
        <v>1.04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21" customHeight="1">
      <c r="A273" s="37" t="s">
        <v>184</v>
      </c>
      <c r="B273" s="40">
        <v>100</v>
      </c>
      <c r="C273" s="41">
        <v>45825</v>
      </c>
      <c r="D273" s="37">
        <v>180</v>
      </c>
      <c r="E273" s="37">
        <v>170625</v>
      </c>
      <c r="F273" s="38">
        <v>46008</v>
      </c>
      <c r="G273" s="39">
        <v>110</v>
      </c>
      <c r="H273" s="28">
        <f t="shared" si="3"/>
        <v>10</v>
      </c>
      <c r="I273" s="29">
        <f t="shared" si="4"/>
        <v>1.1000000000000001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21" customHeight="1">
      <c r="A274" s="37" t="s">
        <v>215</v>
      </c>
      <c r="B274" s="40">
        <v>50</v>
      </c>
      <c r="C274" s="41">
        <v>45826</v>
      </c>
      <c r="D274" s="37">
        <v>90</v>
      </c>
      <c r="E274" s="37">
        <v>180625</v>
      </c>
      <c r="F274" s="44">
        <v>45918</v>
      </c>
      <c r="G274" s="39">
        <v>44</v>
      </c>
      <c r="H274" s="28">
        <f t="shared" si="3"/>
        <v>-6</v>
      </c>
      <c r="I274" s="29">
        <f t="shared" si="4"/>
        <v>0.88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21" customHeight="1">
      <c r="A275" s="37" t="s">
        <v>217</v>
      </c>
      <c r="B275" s="40">
        <v>50</v>
      </c>
      <c r="C275" s="41">
        <v>45826</v>
      </c>
      <c r="D275" s="37">
        <v>180</v>
      </c>
      <c r="E275" s="37">
        <v>180625</v>
      </c>
      <c r="F275" s="38">
        <v>46009</v>
      </c>
      <c r="G275" s="39">
        <v>55</v>
      </c>
      <c r="H275" s="28">
        <f t="shared" si="3"/>
        <v>5</v>
      </c>
      <c r="I275" s="29">
        <f t="shared" si="4"/>
        <v>1.1000000000000001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21" customHeight="1">
      <c r="A276" s="37" t="s">
        <v>194</v>
      </c>
      <c r="B276" s="40">
        <v>150</v>
      </c>
      <c r="C276" s="41">
        <v>45827</v>
      </c>
      <c r="D276" s="37">
        <v>180</v>
      </c>
      <c r="E276" s="37">
        <v>190625</v>
      </c>
      <c r="F276" s="38">
        <v>46010</v>
      </c>
      <c r="G276" s="39">
        <v>151</v>
      </c>
      <c r="H276" s="28">
        <f t="shared" si="3"/>
        <v>1</v>
      </c>
      <c r="I276" s="29">
        <f t="shared" si="4"/>
        <v>1.0066666666666666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ht="21" customHeight="1">
      <c r="A277" s="37" t="s">
        <v>209</v>
      </c>
      <c r="B277" s="40">
        <v>60</v>
      </c>
      <c r="C277" s="41">
        <v>45827</v>
      </c>
      <c r="D277" s="37">
        <v>90</v>
      </c>
      <c r="E277" s="37">
        <v>190625</v>
      </c>
      <c r="F277" s="38">
        <v>45919</v>
      </c>
      <c r="G277" s="39">
        <v>60</v>
      </c>
      <c r="H277" s="28">
        <f t="shared" si="3"/>
        <v>0</v>
      </c>
      <c r="I277" s="29">
        <f t="shared" si="4"/>
        <v>1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ht="21" customHeight="1">
      <c r="A278" s="37" t="s">
        <v>190</v>
      </c>
      <c r="B278" s="40">
        <v>150</v>
      </c>
      <c r="C278" s="41">
        <v>45828</v>
      </c>
      <c r="D278" s="37">
        <v>180</v>
      </c>
      <c r="E278" s="37">
        <v>200625</v>
      </c>
      <c r="F278" s="38">
        <v>46011</v>
      </c>
      <c r="G278" s="39">
        <v>145</v>
      </c>
      <c r="H278" s="28">
        <f t="shared" si="3"/>
        <v>-5</v>
      </c>
      <c r="I278" s="29">
        <f t="shared" si="4"/>
        <v>0.96666666666666667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ht="21" customHeight="1">
      <c r="A279" s="37" t="s">
        <v>204</v>
      </c>
      <c r="B279" s="40">
        <v>30</v>
      </c>
      <c r="C279" s="41">
        <v>45832</v>
      </c>
      <c r="D279" s="37">
        <v>90</v>
      </c>
      <c r="E279" s="37">
        <v>240625</v>
      </c>
      <c r="F279" s="38">
        <v>45924</v>
      </c>
      <c r="G279" s="39">
        <v>34</v>
      </c>
      <c r="H279" s="28">
        <f t="shared" si="3"/>
        <v>4</v>
      </c>
      <c r="I279" s="29">
        <f t="shared" si="4"/>
        <v>1.1333333333333333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ht="21" customHeight="1">
      <c r="A280" s="37" t="s">
        <v>217</v>
      </c>
      <c r="B280" s="40">
        <v>50</v>
      </c>
      <c r="C280" s="41">
        <v>45833</v>
      </c>
      <c r="D280" s="37">
        <v>180</v>
      </c>
      <c r="E280" s="37">
        <v>250625</v>
      </c>
      <c r="F280" s="38">
        <v>45996</v>
      </c>
      <c r="G280" s="39">
        <v>48</v>
      </c>
      <c r="H280" s="28">
        <f t="shared" si="3"/>
        <v>-2</v>
      </c>
      <c r="I280" s="29">
        <f t="shared" si="4"/>
        <v>0.96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ht="21" customHeight="1">
      <c r="A281" s="37" t="s">
        <v>205</v>
      </c>
      <c r="B281" s="40">
        <v>30</v>
      </c>
      <c r="C281" s="41">
        <v>45834</v>
      </c>
      <c r="D281" s="37">
        <v>90</v>
      </c>
      <c r="E281" s="37">
        <v>260625</v>
      </c>
      <c r="F281" s="38">
        <v>45926</v>
      </c>
      <c r="G281" s="39">
        <v>16</v>
      </c>
      <c r="H281" s="28">
        <f t="shared" si="3"/>
        <v>-14</v>
      </c>
      <c r="I281" s="29">
        <f t="shared" si="4"/>
        <v>0.53333333333333333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ht="21" customHeight="1">
      <c r="A282" s="37" t="s">
        <v>185</v>
      </c>
      <c r="B282" s="40">
        <v>150</v>
      </c>
      <c r="C282" s="41">
        <v>45835</v>
      </c>
      <c r="D282" s="37">
        <v>180</v>
      </c>
      <c r="E282" s="37">
        <v>270625</v>
      </c>
      <c r="F282" s="38">
        <v>46018</v>
      </c>
      <c r="G282" s="39">
        <v>145</v>
      </c>
      <c r="H282" s="28">
        <f t="shared" si="3"/>
        <v>-5</v>
      </c>
      <c r="I282" s="29">
        <f t="shared" si="4"/>
        <v>0.96666666666666667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ht="21" customHeight="1">
      <c r="A283" s="37" t="s">
        <v>202</v>
      </c>
      <c r="B283" s="40">
        <v>100</v>
      </c>
      <c r="C283" s="41">
        <v>45835</v>
      </c>
      <c r="D283" s="37">
        <v>90</v>
      </c>
      <c r="E283" s="37">
        <v>270625</v>
      </c>
      <c r="F283" s="38">
        <v>45927</v>
      </c>
      <c r="G283" s="79">
        <v>109</v>
      </c>
      <c r="H283" s="28">
        <f t="shared" si="3"/>
        <v>9</v>
      </c>
      <c r="I283" s="29">
        <f t="shared" si="4"/>
        <v>1.0900000000000001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ht="21" customHeight="1">
      <c r="A284" s="80" t="s">
        <v>205</v>
      </c>
      <c r="B284" s="81">
        <v>50</v>
      </c>
      <c r="C284" s="82">
        <v>45839</v>
      </c>
      <c r="D284" s="80">
        <v>90</v>
      </c>
      <c r="E284" s="80">
        <v>10725</v>
      </c>
      <c r="F284" s="83">
        <v>45931</v>
      </c>
      <c r="G284" s="84">
        <v>65</v>
      </c>
      <c r="H284" s="85">
        <f t="shared" si="3"/>
        <v>15</v>
      </c>
      <c r="I284" s="86">
        <f t="shared" si="4"/>
        <v>1.3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ht="21" customHeight="1">
      <c r="A285" s="37" t="s">
        <v>206</v>
      </c>
      <c r="B285" s="40">
        <v>30</v>
      </c>
      <c r="C285" s="41">
        <v>45839</v>
      </c>
      <c r="D285" s="37">
        <v>90</v>
      </c>
      <c r="E285" s="37">
        <v>10725</v>
      </c>
      <c r="F285" s="38">
        <v>45931</v>
      </c>
      <c r="G285" s="39">
        <v>15</v>
      </c>
      <c r="H285" s="28">
        <f t="shared" si="3"/>
        <v>-15</v>
      </c>
      <c r="I285" s="29">
        <f t="shared" si="4"/>
        <v>0.5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ht="21" customHeight="1">
      <c r="A286" s="37" t="s">
        <v>208</v>
      </c>
      <c r="B286" s="40">
        <v>100</v>
      </c>
      <c r="C286" s="41">
        <v>45840</v>
      </c>
      <c r="D286" s="37">
        <v>90</v>
      </c>
      <c r="E286" s="37">
        <v>20725</v>
      </c>
      <c r="F286" s="38">
        <v>45932</v>
      </c>
      <c r="G286" s="39">
        <v>101</v>
      </c>
      <c r="H286" s="28">
        <f t="shared" si="3"/>
        <v>1</v>
      </c>
      <c r="I286" s="29">
        <f t="shared" si="4"/>
        <v>1.01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ht="21" customHeight="1">
      <c r="A287" s="37" t="s">
        <v>196</v>
      </c>
      <c r="B287" s="40">
        <v>100</v>
      </c>
      <c r="C287" s="41">
        <v>45840</v>
      </c>
      <c r="D287" s="37">
        <v>90</v>
      </c>
      <c r="E287" s="37">
        <v>20725</v>
      </c>
      <c r="F287" s="38">
        <v>45932</v>
      </c>
      <c r="G287" s="39">
        <v>105</v>
      </c>
      <c r="H287" s="28">
        <f t="shared" si="3"/>
        <v>5</v>
      </c>
      <c r="I287" s="29">
        <f t="shared" si="4"/>
        <v>1.05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ht="21" customHeight="1">
      <c r="A288" s="37" t="s">
        <v>215</v>
      </c>
      <c r="B288" s="40">
        <v>50</v>
      </c>
      <c r="C288" s="41">
        <v>45841</v>
      </c>
      <c r="D288" s="37">
        <v>90</v>
      </c>
      <c r="E288" s="37">
        <v>30725</v>
      </c>
      <c r="F288" s="38">
        <v>45933</v>
      </c>
      <c r="G288" s="39">
        <v>45</v>
      </c>
      <c r="H288" s="28">
        <f t="shared" si="3"/>
        <v>-5</v>
      </c>
      <c r="I288" s="29">
        <f t="shared" si="4"/>
        <v>0.9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ht="21" customHeight="1">
      <c r="A289" s="37" t="s">
        <v>187</v>
      </c>
      <c r="B289" s="40">
        <v>150</v>
      </c>
      <c r="C289" s="41">
        <v>45841</v>
      </c>
      <c r="D289" s="37">
        <v>180</v>
      </c>
      <c r="E289" s="37">
        <v>30725</v>
      </c>
      <c r="F289" s="38">
        <v>46025</v>
      </c>
      <c r="G289" s="39">
        <v>151</v>
      </c>
      <c r="H289" s="28">
        <f t="shared" si="3"/>
        <v>1</v>
      </c>
      <c r="I289" s="29">
        <f t="shared" si="4"/>
        <v>1.0066666666666666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ht="21" customHeight="1">
      <c r="A290" s="37" t="s">
        <v>186</v>
      </c>
      <c r="B290" s="40">
        <v>150</v>
      </c>
      <c r="C290" s="41">
        <v>45842</v>
      </c>
      <c r="D290" s="37">
        <v>180</v>
      </c>
      <c r="E290" s="37">
        <v>40725</v>
      </c>
      <c r="F290" s="38">
        <v>46026</v>
      </c>
      <c r="G290" s="39">
        <v>152</v>
      </c>
      <c r="H290" s="28">
        <f t="shared" si="3"/>
        <v>2</v>
      </c>
      <c r="I290" s="29">
        <f t="shared" si="4"/>
        <v>1.0133333333333334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ht="21" customHeight="1">
      <c r="A291" s="37" t="s">
        <v>189</v>
      </c>
      <c r="B291" s="40">
        <v>150</v>
      </c>
      <c r="C291" s="41">
        <v>45847</v>
      </c>
      <c r="D291" s="37">
        <v>180</v>
      </c>
      <c r="E291" s="37">
        <v>90725</v>
      </c>
      <c r="F291" s="38">
        <v>46031</v>
      </c>
      <c r="G291" s="39">
        <v>155</v>
      </c>
      <c r="H291" s="28">
        <f t="shared" si="3"/>
        <v>5</v>
      </c>
      <c r="I291" s="29">
        <f t="shared" si="4"/>
        <v>1.0333333333333334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ht="21" customHeight="1">
      <c r="A292" s="37" t="s">
        <v>219</v>
      </c>
      <c r="B292" s="40">
        <v>50</v>
      </c>
      <c r="C292" s="41">
        <v>45847</v>
      </c>
      <c r="D292" s="37">
        <v>90</v>
      </c>
      <c r="E292" s="37">
        <v>90725</v>
      </c>
      <c r="F292" s="38">
        <v>45939</v>
      </c>
      <c r="G292" s="39">
        <v>48</v>
      </c>
      <c r="H292" s="28">
        <f t="shared" si="3"/>
        <v>-2</v>
      </c>
      <c r="I292" s="29">
        <f t="shared" si="4"/>
        <v>0.96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ht="21" customHeight="1">
      <c r="A293" s="37" t="s">
        <v>207</v>
      </c>
      <c r="B293" s="40">
        <v>50</v>
      </c>
      <c r="C293" s="41">
        <v>45847</v>
      </c>
      <c r="D293" s="37">
        <v>90</v>
      </c>
      <c r="E293" s="37">
        <v>90725</v>
      </c>
      <c r="F293" s="38">
        <v>45939</v>
      </c>
      <c r="G293" s="39">
        <v>49</v>
      </c>
      <c r="H293" s="28">
        <f t="shared" si="3"/>
        <v>-1</v>
      </c>
      <c r="I293" s="29">
        <f t="shared" si="4"/>
        <v>0.98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ht="21" customHeight="1">
      <c r="A294" s="37" t="s">
        <v>217</v>
      </c>
      <c r="B294" s="40">
        <v>50</v>
      </c>
      <c r="C294" s="41">
        <v>45848</v>
      </c>
      <c r="D294" s="37">
        <v>180</v>
      </c>
      <c r="E294" s="37">
        <v>100702</v>
      </c>
      <c r="F294" s="38">
        <v>45667</v>
      </c>
      <c r="G294" s="39">
        <v>55</v>
      </c>
      <c r="H294" s="28">
        <f t="shared" si="3"/>
        <v>5</v>
      </c>
      <c r="I294" s="29">
        <f t="shared" si="4"/>
        <v>1.1000000000000001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ht="21" customHeight="1">
      <c r="A295" s="37" t="s">
        <v>220</v>
      </c>
      <c r="B295" s="40">
        <v>50</v>
      </c>
      <c r="C295" s="41">
        <v>45848</v>
      </c>
      <c r="D295" s="37">
        <v>90</v>
      </c>
      <c r="E295" s="37">
        <v>100725</v>
      </c>
      <c r="F295" s="62">
        <v>45940</v>
      </c>
      <c r="G295" s="39">
        <v>50</v>
      </c>
      <c r="H295" s="28">
        <f t="shared" si="3"/>
        <v>0</v>
      </c>
      <c r="I295" s="29">
        <f t="shared" si="4"/>
        <v>1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ht="21" customHeight="1">
      <c r="A296" s="37" t="s">
        <v>184</v>
      </c>
      <c r="B296" s="40">
        <v>100</v>
      </c>
      <c r="C296" s="41">
        <v>45849</v>
      </c>
      <c r="D296" s="37">
        <v>180</v>
      </c>
      <c r="E296" s="37">
        <v>110725</v>
      </c>
      <c r="F296" s="38">
        <v>45668</v>
      </c>
      <c r="G296" s="39">
        <v>95</v>
      </c>
      <c r="H296" s="28">
        <f t="shared" si="3"/>
        <v>-5</v>
      </c>
      <c r="I296" s="29">
        <f t="shared" si="4"/>
        <v>0.95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ht="21" customHeight="1">
      <c r="A297" s="37" t="s">
        <v>208</v>
      </c>
      <c r="B297" s="40">
        <v>100</v>
      </c>
      <c r="C297" s="41">
        <v>45853</v>
      </c>
      <c r="D297" s="37">
        <v>90</v>
      </c>
      <c r="E297" s="37">
        <v>150725</v>
      </c>
      <c r="F297" s="38">
        <v>45945</v>
      </c>
      <c r="G297" s="39">
        <v>96</v>
      </c>
      <c r="H297" s="28">
        <f t="shared" si="3"/>
        <v>-4</v>
      </c>
      <c r="I297" s="29">
        <f t="shared" si="4"/>
        <v>0.96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ht="21" customHeight="1">
      <c r="A298" s="37" t="s">
        <v>185</v>
      </c>
      <c r="B298" s="40">
        <v>150</v>
      </c>
      <c r="C298" s="41">
        <v>45854</v>
      </c>
      <c r="D298" s="37">
        <v>180</v>
      </c>
      <c r="E298" s="37">
        <v>160725</v>
      </c>
      <c r="F298" s="38">
        <v>45674</v>
      </c>
      <c r="G298" s="39">
        <v>149</v>
      </c>
      <c r="H298" s="28">
        <f t="shared" si="3"/>
        <v>-1</v>
      </c>
      <c r="I298" s="29">
        <f t="shared" si="4"/>
        <v>0.99333333333333329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ht="21" customHeight="1">
      <c r="A299" s="37" t="s">
        <v>188</v>
      </c>
      <c r="B299" s="40">
        <v>100</v>
      </c>
      <c r="C299" s="41">
        <v>45855</v>
      </c>
      <c r="D299" s="37">
        <v>90</v>
      </c>
      <c r="E299" s="37">
        <v>170725</v>
      </c>
      <c r="F299" s="38">
        <v>6704317</v>
      </c>
      <c r="G299" s="39">
        <v>91</v>
      </c>
      <c r="H299" s="28">
        <f t="shared" si="3"/>
        <v>-9</v>
      </c>
      <c r="I299" s="29">
        <f t="shared" si="4"/>
        <v>0.91</v>
      </c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ht="21" customHeight="1">
      <c r="A300" s="37" t="s">
        <v>196</v>
      </c>
      <c r="B300" s="40">
        <v>100</v>
      </c>
      <c r="C300" s="41">
        <v>45855</v>
      </c>
      <c r="D300" s="37">
        <v>90</v>
      </c>
      <c r="E300" s="37">
        <v>170725</v>
      </c>
      <c r="F300" s="38">
        <v>45947</v>
      </c>
      <c r="G300" s="39">
        <v>105</v>
      </c>
      <c r="H300" s="28">
        <f t="shared" si="3"/>
        <v>5</v>
      </c>
      <c r="I300" s="29">
        <f t="shared" si="4"/>
        <v>1.05</v>
      </c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ht="21" customHeight="1">
      <c r="A301" s="37" t="s">
        <v>214</v>
      </c>
      <c r="B301" s="40">
        <v>50</v>
      </c>
      <c r="C301" s="41">
        <v>45856</v>
      </c>
      <c r="D301" s="37">
        <v>90</v>
      </c>
      <c r="E301" s="37">
        <v>180725</v>
      </c>
      <c r="F301" s="38">
        <v>45948</v>
      </c>
      <c r="G301" s="39">
        <v>52</v>
      </c>
      <c r="H301" s="28">
        <f t="shared" si="3"/>
        <v>2</v>
      </c>
      <c r="I301" s="29">
        <f t="shared" si="4"/>
        <v>1.04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ht="21" customHeight="1">
      <c r="A302" s="37" t="s">
        <v>206</v>
      </c>
      <c r="B302" s="40">
        <v>50</v>
      </c>
      <c r="C302" s="41">
        <v>45856</v>
      </c>
      <c r="D302" s="37">
        <v>90</v>
      </c>
      <c r="E302" s="37">
        <v>180725</v>
      </c>
      <c r="F302" s="38">
        <v>45948</v>
      </c>
      <c r="G302" s="39">
        <v>53</v>
      </c>
      <c r="H302" s="28">
        <f t="shared" si="3"/>
        <v>3</v>
      </c>
      <c r="I302" s="29">
        <f t="shared" si="4"/>
        <v>1.06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ht="21" customHeight="1">
      <c r="A303" s="37" t="s">
        <v>200</v>
      </c>
      <c r="B303" s="40">
        <v>150</v>
      </c>
      <c r="C303" s="41">
        <v>45859</v>
      </c>
      <c r="D303" s="37">
        <v>180</v>
      </c>
      <c r="E303" s="37">
        <v>210725</v>
      </c>
      <c r="F303" s="38">
        <v>46043</v>
      </c>
      <c r="G303" s="39">
        <v>150</v>
      </c>
      <c r="H303" s="28">
        <f t="shared" si="3"/>
        <v>0</v>
      </c>
      <c r="I303" s="29">
        <f t="shared" si="4"/>
        <v>1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ht="21" customHeight="1">
      <c r="A304" s="37" t="s">
        <v>202</v>
      </c>
      <c r="B304" s="40">
        <v>100</v>
      </c>
      <c r="C304" s="41">
        <v>45859</v>
      </c>
      <c r="D304" s="37">
        <v>90</v>
      </c>
      <c r="E304" s="37">
        <v>210725</v>
      </c>
      <c r="F304" s="38">
        <v>45951</v>
      </c>
      <c r="G304" s="39">
        <v>95</v>
      </c>
      <c r="H304" s="28">
        <f t="shared" si="3"/>
        <v>-5</v>
      </c>
      <c r="I304" s="29">
        <f t="shared" si="4"/>
        <v>0.95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ht="21" customHeight="1">
      <c r="A305" s="37" t="s">
        <v>187</v>
      </c>
      <c r="B305" s="40">
        <v>150</v>
      </c>
      <c r="C305" s="41">
        <v>45860</v>
      </c>
      <c r="D305" s="37">
        <v>180</v>
      </c>
      <c r="E305" s="37">
        <v>220725</v>
      </c>
      <c r="F305" s="38">
        <v>46044</v>
      </c>
      <c r="G305" s="39">
        <v>145</v>
      </c>
      <c r="H305" s="28">
        <f t="shared" si="3"/>
        <v>-5</v>
      </c>
      <c r="I305" s="29">
        <f t="shared" si="4"/>
        <v>0.96666666666666667</v>
      </c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ht="21" customHeight="1">
      <c r="A306" s="37" t="s">
        <v>208</v>
      </c>
      <c r="B306" s="40">
        <v>100</v>
      </c>
      <c r="C306" s="41">
        <v>45861</v>
      </c>
      <c r="D306" s="37">
        <v>90</v>
      </c>
      <c r="E306" s="37">
        <v>230725</v>
      </c>
      <c r="F306" s="38">
        <v>45953</v>
      </c>
      <c r="G306" s="39">
        <v>99</v>
      </c>
      <c r="H306" s="28">
        <f t="shared" si="3"/>
        <v>-1</v>
      </c>
      <c r="I306" s="29">
        <f t="shared" si="4"/>
        <v>0.99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ht="21" customHeight="1">
      <c r="A307" s="37" t="s">
        <v>190</v>
      </c>
      <c r="B307" s="40">
        <v>150</v>
      </c>
      <c r="C307" s="41">
        <v>45861</v>
      </c>
      <c r="D307" s="37">
        <v>180</v>
      </c>
      <c r="E307" s="37">
        <v>230725</v>
      </c>
      <c r="F307" s="38">
        <v>46045</v>
      </c>
      <c r="G307" s="39">
        <v>150</v>
      </c>
      <c r="H307" s="28">
        <f t="shared" si="3"/>
        <v>0</v>
      </c>
      <c r="I307" s="29">
        <f t="shared" si="4"/>
        <v>1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ht="21" customHeight="1">
      <c r="A308" s="37" t="s">
        <v>207</v>
      </c>
      <c r="B308" s="40">
        <v>50</v>
      </c>
      <c r="C308" s="41">
        <v>45862</v>
      </c>
      <c r="D308" s="37">
        <v>90</v>
      </c>
      <c r="E308" s="37">
        <v>240725</v>
      </c>
      <c r="F308" s="38">
        <v>45954</v>
      </c>
      <c r="G308" s="39">
        <v>52</v>
      </c>
      <c r="H308" s="28">
        <f t="shared" si="3"/>
        <v>2</v>
      </c>
      <c r="I308" s="29">
        <f t="shared" si="4"/>
        <v>1.04</v>
      </c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ht="21" customHeight="1">
      <c r="A309" s="37" t="s">
        <v>196</v>
      </c>
      <c r="B309" s="40">
        <v>100</v>
      </c>
      <c r="C309" s="41">
        <v>45866</v>
      </c>
      <c r="D309" s="37">
        <v>90</v>
      </c>
      <c r="E309" s="37">
        <v>280725</v>
      </c>
      <c r="F309" s="38">
        <v>45958</v>
      </c>
      <c r="G309" s="39">
        <v>106</v>
      </c>
      <c r="H309" s="28">
        <f t="shared" si="3"/>
        <v>6</v>
      </c>
      <c r="I309" s="29">
        <f t="shared" si="4"/>
        <v>1.06</v>
      </c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ht="21" customHeight="1">
      <c r="A310" s="37" t="s">
        <v>194</v>
      </c>
      <c r="B310" s="40">
        <v>150</v>
      </c>
      <c r="C310" s="41">
        <v>45867</v>
      </c>
      <c r="D310" s="37">
        <v>180</v>
      </c>
      <c r="E310" s="37">
        <v>290725</v>
      </c>
      <c r="F310" s="38">
        <v>46051</v>
      </c>
      <c r="G310" s="39">
        <v>154</v>
      </c>
      <c r="H310" s="28">
        <f t="shared" si="3"/>
        <v>4</v>
      </c>
      <c r="I310" s="29">
        <f t="shared" si="4"/>
        <v>1.0266666666666666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ht="21" customHeight="1">
      <c r="A311" s="37" t="s">
        <v>219</v>
      </c>
      <c r="B311" s="40">
        <v>50</v>
      </c>
      <c r="C311" s="41">
        <v>45867</v>
      </c>
      <c r="D311" s="37">
        <v>90</v>
      </c>
      <c r="E311" s="37">
        <v>290725</v>
      </c>
      <c r="F311" s="38">
        <v>45959</v>
      </c>
      <c r="G311" s="39">
        <v>55</v>
      </c>
      <c r="H311" s="28">
        <f t="shared" si="3"/>
        <v>5</v>
      </c>
      <c r="I311" s="29">
        <f t="shared" si="4"/>
        <v>1.1000000000000001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ht="21" customHeight="1">
      <c r="A312" s="37" t="s">
        <v>186</v>
      </c>
      <c r="B312" s="40">
        <v>150</v>
      </c>
      <c r="C312" s="41">
        <v>45868</v>
      </c>
      <c r="D312" s="37">
        <v>180</v>
      </c>
      <c r="E312" s="37">
        <v>300725</v>
      </c>
      <c r="F312" s="44">
        <v>46052</v>
      </c>
      <c r="G312" s="39">
        <v>153</v>
      </c>
      <c r="H312" s="28">
        <f t="shared" si="3"/>
        <v>3</v>
      </c>
      <c r="I312" s="29">
        <f t="shared" si="4"/>
        <v>1.02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ht="21" customHeight="1">
      <c r="A313" s="37" t="s">
        <v>208</v>
      </c>
      <c r="B313" s="40">
        <v>100</v>
      </c>
      <c r="C313" s="41">
        <v>45868</v>
      </c>
      <c r="D313" s="37">
        <v>90</v>
      </c>
      <c r="E313" s="37">
        <v>300725</v>
      </c>
      <c r="F313" s="44">
        <v>45960</v>
      </c>
      <c r="G313" s="39">
        <v>105</v>
      </c>
      <c r="H313" s="28">
        <f t="shared" si="3"/>
        <v>5</v>
      </c>
      <c r="I313" s="29">
        <f t="shared" si="4"/>
        <v>1.05</v>
      </c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ht="21" customHeight="1">
      <c r="A314" s="87"/>
      <c r="B314" s="88"/>
      <c r="C314" s="89"/>
      <c r="D314" s="87"/>
      <c r="E314" s="87"/>
      <c r="F314" s="90"/>
      <c r="G314" s="91"/>
      <c r="H314" s="92">
        <f t="shared" si="3"/>
        <v>0</v>
      </c>
      <c r="I314" s="93" t="e">
        <f t="shared" si="4"/>
        <v>#DIV/0!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ht="21" customHeight="1">
      <c r="A315" s="37" t="s">
        <v>215</v>
      </c>
      <c r="B315" s="40">
        <v>40</v>
      </c>
      <c r="C315" s="41">
        <v>45873</v>
      </c>
      <c r="D315" s="37">
        <v>90</v>
      </c>
      <c r="E315" s="37">
        <v>40825</v>
      </c>
      <c r="F315" s="38">
        <v>45965</v>
      </c>
      <c r="G315" s="39">
        <v>35</v>
      </c>
      <c r="H315" s="28">
        <f t="shared" si="3"/>
        <v>-5</v>
      </c>
      <c r="I315" s="29">
        <f t="shared" si="4"/>
        <v>0.875</v>
      </c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ht="21" customHeight="1">
      <c r="A316" s="37" t="s">
        <v>184</v>
      </c>
      <c r="B316" s="40">
        <v>100</v>
      </c>
      <c r="C316" s="41">
        <v>45874</v>
      </c>
      <c r="D316" s="37">
        <v>180</v>
      </c>
      <c r="E316" s="37">
        <v>50825</v>
      </c>
      <c r="F316" s="38">
        <v>45693</v>
      </c>
      <c r="G316" s="39">
        <v>98</v>
      </c>
      <c r="H316" s="28">
        <f t="shared" si="3"/>
        <v>-2</v>
      </c>
      <c r="I316" s="29">
        <f t="shared" si="4"/>
        <v>0.98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ht="21" customHeight="1">
      <c r="A317" s="37" t="s">
        <v>214</v>
      </c>
      <c r="B317" s="40">
        <v>50</v>
      </c>
      <c r="C317" s="41">
        <v>45875</v>
      </c>
      <c r="D317" s="37">
        <v>90</v>
      </c>
      <c r="E317" s="37">
        <v>60825</v>
      </c>
      <c r="F317" s="38">
        <v>45967</v>
      </c>
      <c r="G317" s="39">
        <v>54</v>
      </c>
      <c r="H317" s="28">
        <f t="shared" si="3"/>
        <v>4</v>
      </c>
      <c r="I317" s="29">
        <f t="shared" si="4"/>
        <v>1.08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ht="21" customHeight="1">
      <c r="A318" s="37" t="s">
        <v>207</v>
      </c>
      <c r="B318" s="40">
        <v>80</v>
      </c>
      <c r="C318" s="41">
        <v>45877</v>
      </c>
      <c r="D318" s="37">
        <v>90</v>
      </c>
      <c r="E318" s="37">
        <v>80825</v>
      </c>
      <c r="F318" s="38">
        <v>45969</v>
      </c>
      <c r="G318" s="39">
        <v>77</v>
      </c>
      <c r="H318" s="28">
        <f t="shared" si="3"/>
        <v>-3</v>
      </c>
      <c r="I318" s="29">
        <f t="shared" si="4"/>
        <v>0.96250000000000002</v>
      </c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ht="21" customHeight="1">
      <c r="A319" s="37" t="s">
        <v>191</v>
      </c>
      <c r="B319" s="40"/>
      <c r="C319" s="41">
        <v>45877</v>
      </c>
      <c r="D319" s="37">
        <v>90</v>
      </c>
      <c r="E319" s="37">
        <v>80825</v>
      </c>
      <c r="F319" s="38"/>
      <c r="G319" s="39">
        <v>53.25</v>
      </c>
      <c r="H319" s="28">
        <f t="shared" si="3"/>
        <v>53.25</v>
      </c>
      <c r="I319" s="29" t="e">
        <f t="shared" si="4"/>
        <v>#DIV/0!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ht="21" customHeight="1">
      <c r="A320" s="37" t="s">
        <v>186</v>
      </c>
      <c r="B320" s="40">
        <v>150</v>
      </c>
      <c r="C320" s="41">
        <v>45881</v>
      </c>
      <c r="D320" s="37">
        <v>180</v>
      </c>
      <c r="E320" s="37">
        <v>120825</v>
      </c>
      <c r="F320" s="38">
        <v>46065</v>
      </c>
      <c r="G320" s="39">
        <v>157</v>
      </c>
      <c r="H320" s="28">
        <f t="shared" si="3"/>
        <v>7</v>
      </c>
      <c r="I320" s="29">
        <f t="shared" si="4"/>
        <v>1.0466666666666666</v>
      </c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ht="21" customHeight="1">
      <c r="A321" s="37" t="s">
        <v>185</v>
      </c>
      <c r="B321" s="40">
        <v>150</v>
      </c>
      <c r="C321" s="41">
        <v>45882</v>
      </c>
      <c r="D321" s="37">
        <v>180</v>
      </c>
      <c r="E321" s="37">
        <v>130825</v>
      </c>
      <c r="F321" s="38">
        <v>46066</v>
      </c>
      <c r="G321" s="39">
        <v>142</v>
      </c>
      <c r="H321" s="28">
        <f t="shared" si="3"/>
        <v>-8</v>
      </c>
      <c r="I321" s="29">
        <f t="shared" si="4"/>
        <v>0.94666666666666666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ht="21" customHeight="1">
      <c r="A322" s="37" t="s">
        <v>219</v>
      </c>
      <c r="B322" s="40">
        <v>50</v>
      </c>
      <c r="C322" s="41">
        <v>45883</v>
      </c>
      <c r="D322" s="37">
        <v>90</v>
      </c>
      <c r="E322" s="37">
        <v>140825</v>
      </c>
      <c r="F322" s="38">
        <v>45975</v>
      </c>
      <c r="G322" s="39">
        <v>57</v>
      </c>
      <c r="H322" s="28">
        <f t="shared" si="3"/>
        <v>7</v>
      </c>
      <c r="I322" s="29">
        <f t="shared" si="4"/>
        <v>1.1399999999999999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ht="21" customHeight="1">
      <c r="A323" s="37" t="s">
        <v>202</v>
      </c>
      <c r="B323" s="40">
        <v>100</v>
      </c>
      <c r="C323" s="41">
        <v>45884</v>
      </c>
      <c r="D323" s="37">
        <v>90</v>
      </c>
      <c r="E323" s="37">
        <v>150825</v>
      </c>
      <c r="F323" s="38">
        <v>45976</v>
      </c>
      <c r="G323" s="39">
        <v>127</v>
      </c>
      <c r="H323" s="28">
        <f t="shared" si="3"/>
        <v>27</v>
      </c>
      <c r="I323" s="29">
        <f t="shared" si="4"/>
        <v>1.27</v>
      </c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21" customHeight="1">
      <c r="A324" s="37" t="s">
        <v>187</v>
      </c>
      <c r="B324" s="40">
        <v>150</v>
      </c>
      <c r="C324" s="41">
        <v>45888</v>
      </c>
      <c r="D324" s="37">
        <v>180</v>
      </c>
      <c r="E324" s="37">
        <v>190825</v>
      </c>
      <c r="F324" s="38">
        <v>46072</v>
      </c>
      <c r="G324" s="39">
        <v>151</v>
      </c>
      <c r="H324" s="28">
        <f t="shared" si="3"/>
        <v>1</v>
      </c>
      <c r="I324" s="29">
        <f t="shared" si="4"/>
        <v>1.0066666666666666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21" customHeight="1">
      <c r="A325" s="37" t="s">
        <v>208</v>
      </c>
      <c r="B325" s="40">
        <v>100</v>
      </c>
      <c r="C325" s="41">
        <v>45889</v>
      </c>
      <c r="D325" s="37">
        <v>90</v>
      </c>
      <c r="E325" s="37">
        <v>200825</v>
      </c>
      <c r="F325" s="38">
        <v>45981</v>
      </c>
      <c r="G325" s="39">
        <v>94</v>
      </c>
      <c r="H325" s="28">
        <f t="shared" si="3"/>
        <v>-6</v>
      </c>
      <c r="I325" s="29">
        <f t="shared" si="4"/>
        <v>0.94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ht="21" customHeight="1">
      <c r="A326" s="37" t="s">
        <v>188</v>
      </c>
      <c r="B326" s="40">
        <v>90</v>
      </c>
      <c r="C326" s="41">
        <v>45890</v>
      </c>
      <c r="D326" s="37">
        <v>90</v>
      </c>
      <c r="E326" s="37">
        <v>210825</v>
      </c>
      <c r="F326" s="37" t="s">
        <v>221</v>
      </c>
      <c r="G326" s="39">
        <v>86</v>
      </c>
      <c r="H326" s="28">
        <f t="shared" si="3"/>
        <v>-4</v>
      </c>
      <c r="I326" s="29">
        <f t="shared" si="4"/>
        <v>0.9555555555555556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ht="21" customHeight="1">
      <c r="A327" s="37" t="s">
        <v>205</v>
      </c>
      <c r="B327" s="40">
        <v>90</v>
      </c>
      <c r="C327" s="41">
        <v>45890</v>
      </c>
      <c r="D327" s="37">
        <v>90</v>
      </c>
      <c r="E327" s="37">
        <v>210825</v>
      </c>
      <c r="F327" s="37" t="s">
        <v>221</v>
      </c>
      <c r="G327" s="39">
        <v>84</v>
      </c>
      <c r="H327" s="28">
        <f t="shared" si="3"/>
        <v>-6</v>
      </c>
      <c r="I327" s="29">
        <f t="shared" si="4"/>
        <v>0.93333333333333335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ht="21" customHeight="1">
      <c r="A328" s="37" t="s">
        <v>196</v>
      </c>
      <c r="B328" s="40">
        <v>100</v>
      </c>
      <c r="C328" s="41">
        <v>45891</v>
      </c>
      <c r="D328" s="37">
        <v>90</v>
      </c>
      <c r="E328" s="37">
        <v>220825</v>
      </c>
      <c r="F328" s="38">
        <v>45983</v>
      </c>
      <c r="G328" s="39">
        <v>120</v>
      </c>
      <c r="H328" s="28">
        <f t="shared" si="3"/>
        <v>20</v>
      </c>
      <c r="I328" s="29">
        <f t="shared" si="4"/>
        <v>1.2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ht="21" customHeight="1">
      <c r="A329" s="37" t="s">
        <v>184</v>
      </c>
      <c r="B329" s="40">
        <v>100</v>
      </c>
      <c r="C329" s="41">
        <v>45894</v>
      </c>
      <c r="D329" s="37">
        <v>180</v>
      </c>
      <c r="E329" s="37">
        <v>250825</v>
      </c>
      <c r="F329" s="38">
        <v>46078</v>
      </c>
      <c r="G329" s="39">
        <v>99</v>
      </c>
      <c r="H329" s="28">
        <f t="shared" si="3"/>
        <v>-1</v>
      </c>
      <c r="I329" s="29">
        <f t="shared" si="4"/>
        <v>0.99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ht="21" customHeight="1">
      <c r="A330" s="37" t="s">
        <v>194</v>
      </c>
      <c r="B330" s="40">
        <v>150</v>
      </c>
      <c r="C330" s="41">
        <v>45895</v>
      </c>
      <c r="D330" s="37">
        <v>180</v>
      </c>
      <c r="E330" s="37">
        <v>260825</v>
      </c>
      <c r="F330" s="37" t="s">
        <v>222</v>
      </c>
      <c r="G330" s="39">
        <v>148</v>
      </c>
      <c r="H330" s="28">
        <f t="shared" si="3"/>
        <v>-2</v>
      </c>
      <c r="I330" s="29">
        <f t="shared" si="4"/>
        <v>0.98666666666666669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ht="21" customHeight="1">
      <c r="A331" s="37" t="s">
        <v>185</v>
      </c>
      <c r="B331" s="40">
        <v>150</v>
      </c>
      <c r="C331" s="42">
        <v>45896</v>
      </c>
      <c r="D331" s="37">
        <v>180</v>
      </c>
      <c r="E331" s="37">
        <v>270825</v>
      </c>
      <c r="F331" s="38">
        <v>46080</v>
      </c>
      <c r="G331" s="39">
        <v>156</v>
      </c>
      <c r="H331" s="28">
        <f t="shared" si="3"/>
        <v>6</v>
      </c>
      <c r="I331" s="29">
        <f t="shared" si="4"/>
        <v>1.04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21" customHeight="1">
      <c r="A332" s="37" t="s">
        <v>189</v>
      </c>
      <c r="B332" s="40">
        <v>150</v>
      </c>
      <c r="C332" s="41">
        <v>45897</v>
      </c>
      <c r="D332" s="37">
        <v>180</v>
      </c>
      <c r="E332" s="37">
        <v>280825</v>
      </c>
      <c r="F332" s="38">
        <v>46081</v>
      </c>
      <c r="G332" s="39">
        <v>150</v>
      </c>
      <c r="H332" s="28">
        <f t="shared" si="3"/>
        <v>0</v>
      </c>
      <c r="I332" s="29">
        <f t="shared" si="4"/>
        <v>1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ht="21" customHeight="1">
      <c r="A333" s="37" t="s">
        <v>206</v>
      </c>
      <c r="B333" s="40">
        <v>50</v>
      </c>
      <c r="C333" s="41">
        <v>45898</v>
      </c>
      <c r="D333" s="37">
        <v>90</v>
      </c>
      <c r="E333" s="37">
        <v>290825</v>
      </c>
      <c r="F333" s="38">
        <v>45990</v>
      </c>
      <c r="G333" s="39">
        <v>51</v>
      </c>
      <c r="H333" s="28">
        <f t="shared" si="3"/>
        <v>1</v>
      </c>
      <c r="I333" s="29">
        <f t="shared" si="4"/>
        <v>1.02</v>
      </c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ht="21" customHeight="1">
      <c r="A334" s="37" t="s">
        <v>214</v>
      </c>
      <c r="B334" s="40">
        <v>50</v>
      </c>
      <c r="C334" s="41">
        <v>45899</v>
      </c>
      <c r="D334" s="37">
        <v>90</v>
      </c>
      <c r="E334" s="37">
        <v>300825</v>
      </c>
      <c r="F334" s="38">
        <v>45991</v>
      </c>
      <c r="G334" s="39">
        <v>60</v>
      </c>
      <c r="H334" s="28">
        <f t="shared" si="3"/>
        <v>10</v>
      </c>
      <c r="I334" s="29">
        <f t="shared" si="4"/>
        <v>1.2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ht="21" customHeight="1">
      <c r="A335" s="37" t="s">
        <v>209</v>
      </c>
      <c r="B335" s="40">
        <v>60</v>
      </c>
      <c r="C335" s="41">
        <v>45899</v>
      </c>
      <c r="D335" s="37">
        <v>90</v>
      </c>
      <c r="E335" s="37">
        <v>300825</v>
      </c>
      <c r="F335" s="38">
        <v>45991</v>
      </c>
      <c r="G335" s="39">
        <v>60</v>
      </c>
      <c r="H335" s="28">
        <f t="shared" si="3"/>
        <v>0</v>
      </c>
      <c r="I335" s="29">
        <f t="shared" si="4"/>
        <v>1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ht="21" customHeight="1">
      <c r="A336" s="94"/>
      <c r="B336" s="95"/>
      <c r="C336" s="96" t="s">
        <v>223</v>
      </c>
      <c r="D336" s="94"/>
      <c r="E336" s="94"/>
      <c r="F336" s="97"/>
      <c r="G336" s="98"/>
      <c r="H336" s="99">
        <f t="shared" si="3"/>
        <v>0</v>
      </c>
      <c r="I336" s="100" t="e">
        <f t="shared" si="4"/>
        <v>#DIV/0!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ht="21" customHeight="1">
      <c r="A337" s="37" t="s">
        <v>215</v>
      </c>
      <c r="B337" s="40">
        <v>40</v>
      </c>
      <c r="C337" s="41">
        <v>45901</v>
      </c>
      <c r="D337" s="37">
        <v>90</v>
      </c>
      <c r="E337" s="37">
        <v>10925</v>
      </c>
      <c r="F337" s="38">
        <v>45992</v>
      </c>
      <c r="G337" s="39">
        <v>30</v>
      </c>
      <c r="H337" s="28">
        <f t="shared" si="3"/>
        <v>-10</v>
      </c>
      <c r="I337" s="29">
        <f t="shared" si="4"/>
        <v>0.75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ht="21" customHeight="1">
      <c r="A338" s="37" t="s">
        <v>208</v>
      </c>
      <c r="B338" s="40">
        <v>100</v>
      </c>
      <c r="C338" s="41">
        <v>45901</v>
      </c>
      <c r="D338" s="37">
        <v>90</v>
      </c>
      <c r="E338" s="37">
        <v>10925</v>
      </c>
      <c r="F338" s="38">
        <v>45992</v>
      </c>
      <c r="G338" s="39">
        <v>110</v>
      </c>
      <c r="H338" s="28">
        <f t="shared" si="3"/>
        <v>10</v>
      </c>
      <c r="I338" s="29">
        <f t="shared" si="4"/>
        <v>1.1000000000000001</v>
      </c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ht="21" customHeight="1">
      <c r="A339" s="37" t="s">
        <v>190</v>
      </c>
      <c r="B339" s="40">
        <v>150</v>
      </c>
      <c r="C339" s="41">
        <v>45902</v>
      </c>
      <c r="D339" s="37">
        <v>180</v>
      </c>
      <c r="E339" s="37">
        <v>10925</v>
      </c>
      <c r="F339" s="38">
        <v>46082</v>
      </c>
      <c r="G339" s="39">
        <v>161</v>
      </c>
      <c r="H339" s="28">
        <f t="shared" si="3"/>
        <v>11</v>
      </c>
      <c r="I339" s="29">
        <f t="shared" si="4"/>
        <v>1.0733333333333333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ht="21" customHeight="1">
      <c r="A340" s="37" t="s">
        <v>220</v>
      </c>
      <c r="B340" s="40">
        <v>50</v>
      </c>
      <c r="C340" s="41">
        <v>45902</v>
      </c>
      <c r="D340" s="37">
        <v>90</v>
      </c>
      <c r="E340" s="37">
        <v>20925</v>
      </c>
      <c r="F340" s="38">
        <v>45993</v>
      </c>
      <c r="G340" s="39">
        <v>57</v>
      </c>
      <c r="H340" s="28">
        <f t="shared" si="3"/>
        <v>7</v>
      </c>
      <c r="I340" s="29">
        <f t="shared" si="4"/>
        <v>1.1399999999999999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ht="21" customHeight="1">
      <c r="A341" s="37" t="s">
        <v>187</v>
      </c>
      <c r="B341" s="40">
        <v>150</v>
      </c>
      <c r="C341" s="41">
        <v>45903</v>
      </c>
      <c r="D341" s="37">
        <v>180</v>
      </c>
      <c r="E341" s="37">
        <v>30925</v>
      </c>
      <c r="F341" s="38">
        <v>46084</v>
      </c>
      <c r="G341" s="39">
        <v>149</v>
      </c>
      <c r="H341" s="28">
        <f t="shared" si="3"/>
        <v>-1</v>
      </c>
      <c r="I341" s="29">
        <f t="shared" si="4"/>
        <v>0.99333333333333329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ht="21" customHeight="1">
      <c r="A342" s="37" t="s">
        <v>207</v>
      </c>
      <c r="B342" s="40">
        <v>100</v>
      </c>
      <c r="C342" s="41">
        <v>45903</v>
      </c>
      <c r="D342" s="37">
        <v>90</v>
      </c>
      <c r="E342" s="37">
        <v>30925</v>
      </c>
      <c r="F342" s="38">
        <v>45994</v>
      </c>
      <c r="G342" s="39">
        <v>101</v>
      </c>
      <c r="H342" s="28">
        <f t="shared" si="3"/>
        <v>1</v>
      </c>
      <c r="I342" s="29">
        <f t="shared" si="4"/>
        <v>1.01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ht="21" customHeight="1">
      <c r="A343" s="37" t="s">
        <v>188</v>
      </c>
      <c r="B343" s="40">
        <v>100</v>
      </c>
      <c r="C343" s="41">
        <v>45904</v>
      </c>
      <c r="D343" s="37">
        <v>90</v>
      </c>
      <c r="E343" s="37">
        <v>40925</v>
      </c>
      <c r="F343" s="38">
        <v>45995</v>
      </c>
      <c r="G343" s="39">
        <v>91</v>
      </c>
      <c r="H343" s="28">
        <f t="shared" si="3"/>
        <v>-9</v>
      </c>
      <c r="I343" s="29">
        <f t="shared" si="4"/>
        <v>0.91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ht="21" customHeight="1">
      <c r="A344" s="37" t="s">
        <v>196</v>
      </c>
      <c r="B344" s="40">
        <v>100</v>
      </c>
      <c r="C344" s="41">
        <v>45905</v>
      </c>
      <c r="D344" s="37">
        <v>90</v>
      </c>
      <c r="E344" s="37">
        <v>50925</v>
      </c>
      <c r="F344" s="38">
        <v>45996</v>
      </c>
      <c r="G344" s="39">
        <v>106</v>
      </c>
      <c r="H344" s="28">
        <f t="shared" si="3"/>
        <v>6</v>
      </c>
      <c r="I344" s="29">
        <f t="shared" si="4"/>
        <v>1.06</v>
      </c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ht="21" customHeight="1">
      <c r="A345" s="37" t="s">
        <v>219</v>
      </c>
      <c r="B345" s="40">
        <v>50</v>
      </c>
      <c r="C345" s="41">
        <v>45905</v>
      </c>
      <c r="D345" s="37">
        <v>90</v>
      </c>
      <c r="E345" s="37">
        <v>50925</v>
      </c>
      <c r="F345" s="38">
        <v>45996</v>
      </c>
      <c r="G345" s="39">
        <v>56</v>
      </c>
      <c r="H345" s="28">
        <f t="shared" si="3"/>
        <v>6</v>
      </c>
      <c r="I345" s="29">
        <f t="shared" si="4"/>
        <v>1.1200000000000001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ht="21" customHeight="1">
      <c r="A346" s="37" t="s">
        <v>184</v>
      </c>
      <c r="B346" s="40">
        <v>100</v>
      </c>
      <c r="C346" s="41">
        <v>45908</v>
      </c>
      <c r="D346" s="37">
        <v>180</v>
      </c>
      <c r="E346" s="37">
        <v>90825</v>
      </c>
      <c r="F346" s="38">
        <v>46089</v>
      </c>
      <c r="G346" s="39">
        <v>100</v>
      </c>
      <c r="H346" s="28">
        <f t="shared" si="3"/>
        <v>0</v>
      </c>
      <c r="I346" s="29">
        <f t="shared" si="4"/>
        <v>1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ht="21" customHeight="1">
      <c r="A347" s="37" t="s">
        <v>202</v>
      </c>
      <c r="B347" s="40">
        <v>100</v>
      </c>
      <c r="C347" s="41">
        <v>45908</v>
      </c>
      <c r="D347" s="37">
        <v>90</v>
      </c>
      <c r="E347" s="37">
        <v>80925</v>
      </c>
      <c r="F347" s="38">
        <v>45999</v>
      </c>
      <c r="G347" s="39">
        <v>110</v>
      </c>
      <c r="H347" s="28">
        <f t="shared" si="3"/>
        <v>10</v>
      </c>
      <c r="I347" s="29">
        <f t="shared" si="4"/>
        <v>1.1000000000000001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spans="1:29" ht="21" customHeight="1">
      <c r="A348" s="37" t="s">
        <v>200</v>
      </c>
      <c r="B348" s="40">
        <v>150</v>
      </c>
      <c r="C348" s="41">
        <v>45909</v>
      </c>
      <c r="D348" s="37">
        <v>180</v>
      </c>
      <c r="E348" s="37">
        <v>90925</v>
      </c>
      <c r="F348" s="44">
        <v>46090</v>
      </c>
      <c r="G348" s="39">
        <v>156</v>
      </c>
      <c r="H348" s="28">
        <f t="shared" si="3"/>
        <v>6</v>
      </c>
      <c r="I348" s="29">
        <f t="shared" si="4"/>
        <v>1.04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spans="1:29" ht="21" customHeight="1">
      <c r="A349" s="37" t="s">
        <v>208</v>
      </c>
      <c r="B349" s="40">
        <v>100</v>
      </c>
      <c r="C349" s="41">
        <v>45910</v>
      </c>
      <c r="D349" s="37">
        <v>90</v>
      </c>
      <c r="E349" s="37">
        <v>100925</v>
      </c>
      <c r="F349" s="37" t="s">
        <v>224</v>
      </c>
      <c r="G349" s="39">
        <v>110</v>
      </c>
      <c r="H349" s="28">
        <f t="shared" si="3"/>
        <v>10</v>
      </c>
      <c r="I349" s="29">
        <f t="shared" si="4"/>
        <v>1.1000000000000001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spans="1:29" ht="21" customHeight="1">
      <c r="A350" s="37" t="s">
        <v>186</v>
      </c>
      <c r="B350" s="40">
        <v>150</v>
      </c>
      <c r="C350" s="41">
        <v>45910</v>
      </c>
      <c r="D350" s="37">
        <v>180</v>
      </c>
      <c r="E350" s="37">
        <v>100925</v>
      </c>
      <c r="F350" s="38">
        <v>46091</v>
      </c>
      <c r="G350" s="39">
        <v>147</v>
      </c>
      <c r="H350" s="28">
        <f t="shared" si="3"/>
        <v>-3</v>
      </c>
      <c r="I350" s="29">
        <f t="shared" si="4"/>
        <v>0.98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spans="1:29" ht="21" customHeight="1">
      <c r="A351" s="37" t="s">
        <v>194</v>
      </c>
      <c r="B351" s="40">
        <v>150</v>
      </c>
      <c r="C351" s="41">
        <v>45911</v>
      </c>
      <c r="D351" s="37">
        <v>180</v>
      </c>
      <c r="E351" s="37">
        <v>110925</v>
      </c>
      <c r="F351" s="38">
        <v>46092</v>
      </c>
      <c r="G351" s="39">
        <v>155</v>
      </c>
      <c r="H351" s="28">
        <f t="shared" si="3"/>
        <v>5</v>
      </c>
      <c r="I351" s="29">
        <f t="shared" si="4"/>
        <v>1.0333333333333334</v>
      </c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spans="1:29" ht="21" customHeight="1">
      <c r="A352" s="37" t="s">
        <v>196</v>
      </c>
      <c r="B352" s="40">
        <v>100</v>
      </c>
      <c r="C352" s="41">
        <v>45912</v>
      </c>
      <c r="D352" s="37">
        <v>90</v>
      </c>
      <c r="E352" s="37">
        <v>120925</v>
      </c>
      <c r="F352" s="38">
        <v>46003</v>
      </c>
      <c r="G352" s="39">
        <v>105</v>
      </c>
      <c r="H352" s="28">
        <f t="shared" si="3"/>
        <v>5</v>
      </c>
      <c r="I352" s="29">
        <f t="shared" si="4"/>
        <v>1.05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spans="1:29" ht="21" customHeight="1">
      <c r="A353" s="37" t="s">
        <v>215</v>
      </c>
      <c r="B353" s="40">
        <v>40</v>
      </c>
      <c r="C353" s="41">
        <v>45912</v>
      </c>
      <c r="D353" s="37">
        <v>90</v>
      </c>
      <c r="E353" s="37">
        <v>120925</v>
      </c>
      <c r="F353" s="38">
        <v>46003</v>
      </c>
      <c r="G353" s="39">
        <v>37</v>
      </c>
      <c r="H353" s="28">
        <f t="shared" si="3"/>
        <v>-3</v>
      </c>
      <c r="I353" s="29">
        <f t="shared" si="4"/>
        <v>0.92500000000000004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spans="1:29" ht="21" customHeight="1">
      <c r="A354" s="37" t="s">
        <v>217</v>
      </c>
      <c r="B354" s="40">
        <v>50</v>
      </c>
      <c r="C354" s="41">
        <v>45915</v>
      </c>
      <c r="D354" s="37">
        <v>180</v>
      </c>
      <c r="E354" s="37">
        <v>150925</v>
      </c>
      <c r="F354" s="38">
        <v>46096</v>
      </c>
      <c r="G354" s="39">
        <v>49</v>
      </c>
      <c r="H354" s="28">
        <f t="shared" si="3"/>
        <v>-1</v>
      </c>
      <c r="I354" s="29">
        <f t="shared" si="4"/>
        <v>0.98</v>
      </c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spans="1:29" ht="21" customHeight="1">
      <c r="A355" s="37" t="s">
        <v>187</v>
      </c>
      <c r="B355" s="40">
        <v>150</v>
      </c>
      <c r="C355" s="41">
        <v>45916</v>
      </c>
      <c r="D355" s="37">
        <v>180</v>
      </c>
      <c r="E355" s="37">
        <v>160925</v>
      </c>
      <c r="F355" s="38">
        <v>46097</v>
      </c>
      <c r="G355" s="39">
        <v>145</v>
      </c>
      <c r="H355" s="28">
        <f t="shared" si="3"/>
        <v>-5</v>
      </c>
      <c r="I355" s="29">
        <f t="shared" si="4"/>
        <v>0.96666666666666667</v>
      </c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spans="1:29" ht="21" customHeight="1">
      <c r="A356" s="37" t="s">
        <v>208</v>
      </c>
      <c r="B356" s="40">
        <v>100</v>
      </c>
      <c r="C356" s="41">
        <v>45916</v>
      </c>
      <c r="D356" s="37">
        <v>90</v>
      </c>
      <c r="E356" s="37">
        <v>160925</v>
      </c>
      <c r="F356" s="38">
        <v>46007</v>
      </c>
      <c r="G356" s="39">
        <v>108</v>
      </c>
      <c r="H356" s="28">
        <f t="shared" si="3"/>
        <v>8</v>
      </c>
      <c r="I356" s="29">
        <f t="shared" si="4"/>
        <v>1.08</v>
      </c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spans="1:29" ht="21" customHeight="1">
      <c r="A357" s="37" t="s">
        <v>185</v>
      </c>
      <c r="B357" s="40">
        <v>150</v>
      </c>
      <c r="C357" s="41">
        <v>45917</v>
      </c>
      <c r="D357" s="37">
        <v>180</v>
      </c>
      <c r="E357" s="37">
        <v>170925</v>
      </c>
      <c r="F357" s="38">
        <v>46098</v>
      </c>
      <c r="G357" s="39">
        <v>135</v>
      </c>
      <c r="H357" s="28">
        <f t="shared" si="3"/>
        <v>-15</v>
      </c>
      <c r="I357" s="29">
        <f t="shared" si="4"/>
        <v>0.9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spans="1:29" ht="21" customHeight="1">
      <c r="A358" s="37" t="s">
        <v>188</v>
      </c>
      <c r="B358" s="40">
        <v>100</v>
      </c>
      <c r="C358" s="41">
        <v>45917</v>
      </c>
      <c r="D358" s="37">
        <v>90</v>
      </c>
      <c r="E358" s="37">
        <v>170925</v>
      </c>
      <c r="F358" s="38">
        <v>46008</v>
      </c>
      <c r="G358" s="39">
        <v>95</v>
      </c>
      <c r="H358" s="28">
        <f t="shared" si="3"/>
        <v>-5</v>
      </c>
      <c r="I358" s="29">
        <f t="shared" si="4"/>
        <v>0.95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 ht="21" customHeight="1">
      <c r="A359" s="37" t="s">
        <v>189</v>
      </c>
      <c r="B359" s="40">
        <v>150</v>
      </c>
      <c r="C359" s="41">
        <v>45918</v>
      </c>
      <c r="D359" s="37">
        <v>180</v>
      </c>
      <c r="E359" s="37">
        <v>180925</v>
      </c>
      <c r="F359" s="38">
        <v>45733</v>
      </c>
      <c r="G359" s="39">
        <v>150</v>
      </c>
      <c r="H359" s="28">
        <f t="shared" si="3"/>
        <v>0</v>
      </c>
      <c r="I359" s="29">
        <f t="shared" si="4"/>
        <v>1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 ht="21" customHeight="1">
      <c r="A360" s="37"/>
      <c r="B360" s="40"/>
      <c r="C360" s="41"/>
      <c r="D360" s="37"/>
      <c r="E360" s="37"/>
      <c r="F360" s="38"/>
      <c r="G360" s="39"/>
      <c r="H360" s="28">
        <f t="shared" si="3"/>
        <v>0</v>
      </c>
      <c r="I360" s="29" t="e">
        <f t="shared" si="4"/>
        <v>#DIV/0!</v>
      </c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 ht="21" customHeight="1">
      <c r="A361" s="37"/>
      <c r="B361" s="40"/>
      <c r="C361" s="41"/>
      <c r="D361" s="37"/>
      <c r="E361" s="37"/>
      <c r="F361" s="38"/>
      <c r="G361" s="39"/>
      <c r="H361" s="28">
        <f t="shared" si="3"/>
        <v>0</v>
      </c>
      <c r="I361" s="29" t="e">
        <f t="shared" si="4"/>
        <v>#DIV/0!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 ht="21" customHeight="1">
      <c r="A362" s="37"/>
      <c r="B362" s="40"/>
      <c r="C362" s="41"/>
      <c r="D362" s="37"/>
      <c r="E362" s="37"/>
      <c r="F362" s="38"/>
      <c r="G362" s="39"/>
      <c r="H362" s="28">
        <f t="shared" si="3"/>
        <v>0</v>
      </c>
      <c r="I362" s="29" t="e">
        <f t="shared" si="4"/>
        <v>#DIV/0!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 ht="21" customHeight="1">
      <c r="A363" s="37"/>
      <c r="B363" s="40"/>
      <c r="C363" s="41"/>
      <c r="D363" s="37"/>
      <c r="E363" s="37"/>
      <c r="F363" s="38"/>
      <c r="G363" s="39"/>
      <c r="H363" s="28">
        <f t="shared" si="3"/>
        <v>0</v>
      </c>
      <c r="I363" s="29" t="e">
        <f t="shared" si="4"/>
        <v>#DIV/0!</v>
      </c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 ht="21" customHeight="1">
      <c r="A364" s="37"/>
      <c r="B364" s="40"/>
      <c r="C364" s="41"/>
      <c r="D364" s="37"/>
      <c r="E364" s="37"/>
      <c r="F364" s="38"/>
      <c r="G364" s="39"/>
      <c r="H364" s="28">
        <f t="shared" si="3"/>
        <v>0</v>
      </c>
      <c r="I364" s="29" t="e">
        <f t="shared" si="4"/>
        <v>#DIV/0!</v>
      </c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 ht="21" customHeight="1">
      <c r="A365" s="37"/>
      <c r="B365" s="40"/>
      <c r="C365" s="41"/>
      <c r="D365" s="37"/>
      <c r="E365" s="37"/>
      <c r="F365" s="38"/>
      <c r="G365" s="39"/>
      <c r="H365" s="28">
        <f t="shared" si="3"/>
        <v>0</v>
      </c>
      <c r="I365" s="29" t="e">
        <f t="shared" si="4"/>
        <v>#DIV/0!</v>
      </c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 ht="21" customHeight="1">
      <c r="A366" s="37"/>
      <c r="B366" s="40"/>
      <c r="C366" s="41"/>
      <c r="D366" s="37"/>
      <c r="E366" s="37"/>
      <c r="F366" s="38"/>
      <c r="G366" s="39"/>
      <c r="H366" s="28">
        <f t="shared" si="3"/>
        <v>0</v>
      </c>
      <c r="I366" s="29" t="e">
        <f t="shared" si="4"/>
        <v>#DIV/0!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 ht="21" customHeight="1">
      <c r="A367" s="37"/>
      <c r="B367" s="40"/>
      <c r="C367" s="41"/>
      <c r="D367" s="37"/>
      <c r="E367" s="37"/>
      <c r="F367" s="38"/>
      <c r="G367" s="39"/>
      <c r="H367" s="28">
        <f t="shared" si="3"/>
        <v>0</v>
      </c>
      <c r="I367" s="29" t="e">
        <f t="shared" si="4"/>
        <v>#DIV/0!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 ht="21" customHeight="1">
      <c r="A368" s="37"/>
      <c r="B368" s="40"/>
      <c r="C368" s="41"/>
      <c r="D368" s="37"/>
      <c r="E368" s="37"/>
      <c r="F368" s="38"/>
      <c r="G368" s="39"/>
      <c r="H368" s="28">
        <f t="shared" si="3"/>
        <v>0</v>
      </c>
      <c r="I368" s="29" t="e">
        <f t="shared" si="4"/>
        <v>#DIV/0!</v>
      </c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 ht="21" customHeight="1">
      <c r="A369" s="37"/>
      <c r="B369" s="40"/>
      <c r="C369" s="41"/>
      <c r="D369" s="37"/>
      <c r="E369" s="37"/>
      <c r="F369" s="38"/>
      <c r="G369" s="39"/>
      <c r="H369" s="28">
        <f t="shared" si="3"/>
        <v>0</v>
      </c>
      <c r="I369" s="29" t="e">
        <f t="shared" si="4"/>
        <v>#DIV/0!</v>
      </c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 ht="21" customHeight="1">
      <c r="A370" s="37"/>
      <c r="B370" s="40"/>
      <c r="C370" s="41"/>
      <c r="D370" s="37"/>
      <c r="E370" s="37"/>
      <c r="F370" s="38"/>
      <c r="G370" s="39"/>
      <c r="H370" s="28">
        <f t="shared" si="3"/>
        <v>0</v>
      </c>
      <c r="I370" s="29" t="e">
        <f t="shared" si="4"/>
        <v>#DIV/0!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 ht="21" customHeight="1">
      <c r="A371" s="37"/>
      <c r="B371" s="40"/>
      <c r="C371" s="41"/>
      <c r="D371" s="37"/>
      <c r="E371" s="37"/>
      <c r="F371" s="38"/>
      <c r="G371" s="39"/>
      <c r="H371" s="28">
        <f t="shared" si="3"/>
        <v>0</v>
      </c>
      <c r="I371" s="29" t="e">
        <f t="shared" si="4"/>
        <v>#DIV/0!</v>
      </c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 ht="21" customHeight="1">
      <c r="A372" s="37"/>
      <c r="B372" s="40"/>
      <c r="C372" s="41"/>
      <c r="D372" s="37"/>
      <c r="E372" s="37"/>
      <c r="F372" s="38"/>
      <c r="G372" s="39"/>
      <c r="H372" s="28">
        <f t="shared" si="3"/>
        <v>0</v>
      </c>
      <c r="I372" s="29" t="e">
        <f t="shared" si="4"/>
        <v>#DIV/0!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 ht="21" customHeight="1">
      <c r="A373" s="37"/>
      <c r="B373" s="40"/>
      <c r="C373" s="41"/>
      <c r="D373" s="37"/>
      <c r="E373" s="37"/>
      <c r="F373" s="38"/>
      <c r="G373" s="39"/>
      <c r="H373" s="28">
        <f t="shared" si="3"/>
        <v>0</v>
      </c>
      <c r="I373" s="29" t="e">
        <f t="shared" si="4"/>
        <v>#DIV/0!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 ht="21" customHeight="1">
      <c r="A374" s="37"/>
      <c r="B374" s="40"/>
      <c r="C374" s="41"/>
      <c r="D374" s="37"/>
      <c r="E374" s="37"/>
      <c r="F374" s="38"/>
      <c r="G374" s="39"/>
      <c r="H374" s="28">
        <f t="shared" si="3"/>
        <v>0</v>
      </c>
      <c r="I374" s="29" t="e">
        <f t="shared" si="4"/>
        <v>#DIV/0!</v>
      </c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 ht="21" customHeight="1">
      <c r="A375" s="37"/>
      <c r="B375" s="40"/>
      <c r="C375" s="41"/>
      <c r="D375" s="37"/>
      <c r="E375" s="37"/>
      <c r="F375" s="38"/>
      <c r="G375" s="39"/>
      <c r="H375" s="28">
        <f t="shared" si="3"/>
        <v>0</v>
      </c>
      <c r="I375" s="29" t="e">
        <f t="shared" si="4"/>
        <v>#DIV/0!</v>
      </c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 ht="21" customHeight="1">
      <c r="A376" s="37"/>
      <c r="B376" s="40"/>
      <c r="C376" s="41"/>
      <c r="D376" s="37"/>
      <c r="E376" s="37"/>
      <c r="F376" s="38"/>
      <c r="G376" s="39"/>
      <c r="H376" s="28">
        <f t="shared" si="3"/>
        <v>0</v>
      </c>
      <c r="I376" s="29" t="e">
        <f t="shared" si="4"/>
        <v>#DIV/0!</v>
      </c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 ht="21" customHeight="1">
      <c r="A377" s="37"/>
      <c r="B377" s="40"/>
      <c r="C377" s="41"/>
      <c r="D377" s="37"/>
      <c r="E377" s="37"/>
      <c r="F377" s="38"/>
      <c r="G377" s="39"/>
      <c r="H377" s="28">
        <f t="shared" si="3"/>
        <v>0</v>
      </c>
      <c r="I377" s="29" t="e">
        <f t="shared" si="4"/>
        <v>#DIV/0!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 ht="21" customHeight="1">
      <c r="A378" s="37"/>
      <c r="B378" s="40"/>
      <c r="C378" s="41"/>
      <c r="D378" s="37"/>
      <c r="E378" s="37"/>
      <c r="F378" s="38"/>
      <c r="G378" s="39"/>
      <c r="H378" s="28">
        <f t="shared" si="3"/>
        <v>0</v>
      </c>
      <c r="I378" s="29" t="e">
        <f t="shared" si="4"/>
        <v>#DIV/0!</v>
      </c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 ht="21" customHeight="1">
      <c r="A379" s="37"/>
      <c r="B379" s="40"/>
      <c r="C379" s="41"/>
      <c r="D379" s="37"/>
      <c r="E379" s="37"/>
      <c r="F379" s="38"/>
      <c r="G379" s="39"/>
      <c r="H379" s="28">
        <f t="shared" si="3"/>
        <v>0</v>
      </c>
      <c r="I379" s="29" t="e">
        <f t="shared" si="4"/>
        <v>#DIV/0!</v>
      </c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 ht="21" customHeight="1">
      <c r="A380" s="37"/>
      <c r="B380" s="40"/>
      <c r="C380" s="41"/>
      <c r="D380" s="37"/>
      <c r="E380" s="37"/>
      <c r="F380" s="38"/>
      <c r="G380" s="39"/>
      <c r="H380" s="28">
        <f t="shared" si="3"/>
        <v>0</v>
      </c>
      <c r="I380" s="29" t="e">
        <f t="shared" si="4"/>
        <v>#DIV/0!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 ht="21" customHeight="1">
      <c r="A381" s="37"/>
      <c r="B381" s="40"/>
      <c r="C381" s="41"/>
      <c r="D381" s="37"/>
      <c r="E381" s="37"/>
      <c r="F381" s="38"/>
      <c r="G381" s="39"/>
      <c r="H381" s="28">
        <f t="shared" si="3"/>
        <v>0</v>
      </c>
      <c r="I381" s="29" t="e">
        <f t="shared" si="4"/>
        <v>#DIV/0!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 ht="21" customHeight="1">
      <c r="A382" s="37"/>
      <c r="B382" s="40"/>
      <c r="C382" s="41"/>
      <c r="D382" s="37"/>
      <c r="E382" s="37"/>
      <c r="F382" s="38"/>
      <c r="G382" s="39"/>
      <c r="H382" s="28">
        <f t="shared" si="3"/>
        <v>0</v>
      </c>
      <c r="I382" s="29" t="e">
        <f t="shared" si="4"/>
        <v>#DIV/0!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21" customHeight="1">
      <c r="A383" s="37"/>
      <c r="B383" s="40"/>
      <c r="C383" s="41"/>
      <c r="D383" s="37"/>
      <c r="E383" s="37"/>
      <c r="F383" s="38"/>
      <c r="G383" s="39"/>
      <c r="H383" s="28">
        <f t="shared" si="3"/>
        <v>0</v>
      </c>
      <c r="I383" s="29" t="e">
        <f t="shared" si="4"/>
        <v>#DIV/0!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ht="21" customHeight="1">
      <c r="A384" s="37"/>
      <c r="B384" s="40"/>
      <c r="C384" s="41"/>
      <c r="D384" s="37"/>
      <c r="E384" s="37"/>
      <c r="F384" s="38"/>
      <c r="G384" s="39"/>
      <c r="H384" s="28">
        <f t="shared" si="3"/>
        <v>0</v>
      </c>
      <c r="I384" s="29" t="e">
        <f t="shared" si="4"/>
        <v>#DIV/0!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spans="1:29" ht="21" customHeight="1">
      <c r="A385" s="37"/>
      <c r="B385" s="40"/>
      <c r="C385" s="41"/>
      <c r="D385" s="37"/>
      <c r="E385" s="37"/>
      <c r="F385" s="38"/>
      <c r="G385" s="39"/>
      <c r="H385" s="28">
        <f t="shared" si="3"/>
        <v>0</v>
      </c>
      <c r="I385" s="29" t="e">
        <f t="shared" si="4"/>
        <v>#DIV/0!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spans="1:29" ht="21" customHeight="1">
      <c r="A386" s="37"/>
      <c r="B386" s="40"/>
      <c r="C386" s="41"/>
      <c r="D386" s="37"/>
      <c r="E386" s="37"/>
      <c r="F386" s="38"/>
      <c r="G386" s="39"/>
      <c r="H386" s="28">
        <f t="shared" si="3"/>
        <v>0</v>
      </c>
      <c r="I386" s="29" t="e">
        <f t="shared" si="4"/>
        <v>#DIV/0!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spans="1:29" ht="21" customHeight="1">
      <c r="A387" s="37"/>
      <c r="B387" s="40"/>
      <c r="C387" s="41"/>
      <c r="D387" s="37"/>
      <c r="E387" s="37"/>
      <c r="F387" s="38"/>
      <c r="G387" s="39"/>
      <c r="H387" s="28">
        <f t="shared" ref="H387:H392" si="5">G387-B387</f>
        <v>0</v>
      </c>
      <c r="I387" s="29" t="e">
        <f t="shared" si="4"/>
        <v>#DIV/0!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spans="1:29" ht="21" customHeight="1">
      <c r="A388" s="37"/>
      <c r="B388" s="40"/>
      <c r="C388" s="41"/>
      <c r="D388" s="37"/>
      <c r="E388" s="37"/>
      <c r="F388" s="38"/>
      <c r="G388" s="39"/>
      <c r="H388" s="28">
        <f t="shared" si="5"/>
        <v>0</v>
      </c>
      <c r="I388" s="29" t="e">
        <f t="shared" si="4"/>
        <v>#DIV/0!</v>
      </c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spans="1:29" ht="21" customHeight="1">
      <c r="A389" s="37"/>
      <c r="B389" s="40"/>
      <c r="C389" s="41"/>
      <c r="D389" s="37"/>
      <c r="E389" s="37"/>
      <c r="F389" s="38"/>
      <c r="G389" s="39"/>
      <c r="H389" s="28">
        <f t="shared" si="5"/>
        <v>0</v>
      </c>
      <c r="I389" s="29" t="e">
        <f t="shared" si="4"/>
        <v>#DIV/0!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spans="1:29" ht="21" customHeight="1">
      <c r="A390" s="37"/>
      <c r="B390" s="40"/>
      <c r="C390" s="41"/>
      <c r="D390" s="37"/>
      <c r="E390" s="37"/>
      <c r="F390" s="38"/>
      <c r="G390" s="39"/>
      <c r="H390" s="28">
        <f t="shared" si="5"/>
        <v>0</v>
      </c>
      <c r="I390" s="29" t="e">
        <f t="shared" si="4"/>
        <v>#DIV/0!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spans="1:29" ht="21" customHeight="1">
      <c r="A391" s="37"/>
      <c r="B391" s="40"/>
      <c r="C391" s="41"/>
      <c r="D391" s="37"/>
      <c r="E391" s="37"/>
      <c r="F391" s="38"/>
      <c r="G391" s="39"/>
      <c r="H391" s="28">
        <f t="shared" si="5"/>
        <v>0</v>
      </c>
      <c r="I391" s="29" t="e">
        <f t="shared" si="4"/>
        <v>#DIV/0!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 ht="21" customHeight="1">
      <c r="A392" s="37"/>
      <c r="B392" s="40"/>
      <c r="C392" s="41"/>
      <c r="D392" s="37"/>
      <c r="E392" s="37"/>
      <c r="F392" s="38"/>
      <c r="G392" s="39"/>
      <c r="H392" s="28">
        <f t="shared" si="5"/>
        <v>0</v>
      </c>
      <c r="I392" s="29" t="e">
        <f t="shared" si="4"/>
        <v>#DIV/0!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spans="1:29" ht="21" customHeight="1">
      <c r="A393" s="17"/>
      <c r="B393" s="17"/>
      <c r="C393" s="17"/>
      <c r="D393" s="17"/>
      <c r="E393" s="17"/>
      <c r="F393" s="17"/>
      <c r="G393" s="101"/>
      <c r="H393" s="102"/>
      <c r="I393" s="102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spans="1:29" ht="21" customHeight="1">
      <c r="A394" s="17"/>
      <c r="B394" s="17"/>
      <c r="C394" s="17"/>
      <c r="D394" s="17"/>
      <c r="E394" s="17"/>
      <c r="F394" s="17"/>
      <c r="G394" s="101"/>
      <c r="H394" s="102"/>
      <c r="I394" s="102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spans="1:29" ht="21" customHeight="1">
      <c r="A395" s="17"/>
      <c r="B395" s="17"/>
      <c r="C395" s="17"/>
      <c r="D395" s="17"/>
      <c r="E395" s="17"/>
      <c r="F395" s="17"/>
      <c r="G395" s="101"/>
      <c r="H395" s="102"/>
      <c r="I395" s="102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spans="1:29" ht="21" customHeight="1">
      <c r="A396" s="17"/>
      <c r="B396" s="17"/>
      <c r="C396" s="17"/>
      <c r="D396" s="17"/>
      <c r="E396" s="17"/>
      <c r="F396" s="17"/>
      <c r="G396" s="101"/>
      <c r="H396" s="102"/>
      <c r="I396" s="102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spans="1:29" ht="21" customHeight="1">
      <c r="A397" s="17"/>
      <c r="B397" s="17"/>
      <c r="C397" s="17"/>
      <c r="D397" s="17"/>
      <c r="E397" s="17"/>
      <c r="F397" s="17"/>
      <c r="G397" s="101"/>
      <c r="H397" s="102"/>
      <c r="I397" s="102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spans="1:29" ht="21" customHeight="1">
      <c r="A398" s="17"/>
      <c r="B398" s="17"/>
      <c r="C398" s="17"/>
      <c r="D398" s="17"/>
      <c r="E398" s="17"/>
      <c r="F398" s="17"/>
      <c r="G398" s="101"/>
      <c r="H398" s="102"/>
      <c r="I398" s="102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spans="1:29" ht="21" customHeight="1">
      <c r="A399" s="17"/>
      <c r="B399" s="17"/>
      <c r="C399" s="17"/>
      <c r="D399" s="17"/>
      <c r="E399" s="17"/>
      <c r="F399" s="17"/>
      <c r="G399" s="101"/>
      <c r="H399" s="102"/>
      <c r="I399" s="102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spans="1:29" ht="21" customHeight="1">
      <c r="A400" s="17"/>
      <c r="B400" s="17"/>
      <c r="C400" s="17"/>
      <c r="D400" s="17"/>
      <c r="E400" s="17"/>
      <c r="F400" s="17"/>
      <c r="G400" s="101"/>
      <c r="H400" s="102"/>
      <c r="I400" s="102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spans="1:29" ht="21" customHeight="1">
      <c r="A401" s="17"/>
      <c r="B401" s="17"/>
      <c r="C401" s="17"/>
      <c r="D401" s="17"/>
      <c r="E401" s="17"/>
      <c r="F401" s="17"/>
      <c r="G401" s="101"/>
      <c r="H401" s="102"/>
      <c r="I401" s="102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spans="1:29" ht="21" customHeight="1">
      <c r="A402" s="17"/>
      <c r="B402" s="17"/>
      <c r="C402" s="17"/>
      <c r="D402" s="17"/>
      <c r="E402" s="17"/>
      <c r="F402" s="17"/>
      <c r="G402" s="101"/>
      <c r="H402" s="102"/>
      <c r="I402" s="102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spans="1:29" ht="21" customHeight="1">
      <c r="A403" s="17"/>
      <c r="B403" s="17"/>
      <c r="C403" s="17"/>
      <c r="D403" s="17"/>
      <c r="E403" s="17"/>
      <c r="F403" s="17"/>
      <c r="G403" s="101"/>
      <c r="H403" s="102"/>
      <c r="I403" s="102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spans="1:29" ht="21" customHeight="1">
      <c r="A404" s="17"/>
      <c r="B404" s="17"/>
      <c r="C404" s="17"/>
      <c r="D404" s="17"/>
      <c r="E404" s="17"/>
      <c r="F404" s="17"/>
      <c r="G404" s="101"/>
      <c r="H404" s="102"/>
      <c r="I404" s="102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spans="1:29" ht="21" customHeight="1">
      <c r="A405" s="17"/>
      <c r="B405" s="17"/>
      <c r="C405" s="17"/>
      <c r="D405" s="17"/>
      <c r="E405" s="17"/>
      <c r="F405" s="17"/>
      <c r="G405" s="101"/>
      <c r="H405" s="102"/>
      <c r="I405" s="102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spans="1:29" ht="21" customHeight="1">
      <c r="A406" s="17"/>
      <c r="B406" s="17"/>
      <c r="C406" s="17"/>
      <c r="D406" s="17"/>
      <c r="E406" s="17"/>
      <c r="F406" s="17"/>
      <c r="G406" s="101"/>
      <c r="H406" s="102"/>
      <c r="I406" s="102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spans="1:29" ht="21" customHeight="1">
      <c r="A407" s="17"/>
      <c r="B407" s="17"/>
      <c r="C407" s="17"/>
      <c r="D407" s="17"/>
      <c r="E407" s="17"/>
      <c r="F407" s="17"/>
      <c r="G407" s="101"/>
      <c r="H407" s="102"/>
      <c r="I407" s="102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spans="1:29" ht="21" customHeight="1">
      <c r="A408" s="17"/>
      <c r="B408" s="17"/>
      <c r="C408" s="17"/>
      <c r="D408" s="17"/>
      <c r="E408" s="17"/>
      <c r="F408" s="17"/>
      <c r="G408" s="101"/>
      <c r="H408" s="102"/>
      <c r="I408" s="102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spans="1:29" ht="21" customHeight="1">
      <c r="A409" s="17"/>
      <c r="B409" s="17"/>
      <c r="C409" s="17"/>
      <c r="D409" s="17"/>
      <c r="E409" s="17"/>
      <c r="F409" s="17"/>
      <c r="G409" s="101"/>
      <c r="H409" s="102"/>
      <c r="I409" s="102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spans="1:29" ht="21" customHeight="1">
      <c r="A410" s="17"/>
      <c r="B410" s="17"/>
      <c r="C410" s="17"/>
      <c r="D410" s="17"/>
      <c r="E410" s="17"/>
      <c r="F410" s="17"/>
      <c r="G410" s="101"/>
      <c r="H410" s="102"/>
      <c r="I410" s="102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spans="1:29" ht="21" customHeight="1">
      <c r="A411" s="17"/>
      <c r="B411" s="17"/>
      <c r="C411" s="17"/>
      <c r="D411" s="17"/>
      <c r="E411" s="17"/>
      <c r="F411" s="17"/>
      <c r="G411" s="101"/>
      <c r="H411" s="102"/>
      <c r="I411" s="102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spans="1:29" ht="21" customHeight="1">
      <c r="A412" s="17"/>
      <c r="B412" s="17"/>
      <c r="C412" s="17"/>
      <c r="D412" s="17"/>
      <c r="E412" s="17"/>
      <c r="F412" s="17"/>
      <c r="G412" s="101"/>
      <c r="H412" s="102"/>
      <c r="I412" s="102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spans="1:29" ht="21" customHeight="1">
      <c r="A413" s="17"/>
      <c r="B413" s="17"/>
      <c r="C413" s="17"/>
      <c r="D413" s="17"/>
      <c r="E413" s="17"/>
      <c r="F413" s="17"/>
      <c r="G413" s="101"/>
      <c r="H413" s="102"/>
      <c r="I413" s="102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spans="1:29" ht="21" customHeight="1">
      <c r="A414" s="17"/>
      <c r="B414" s="17"/>
      <c r="C414" s="17"/>
      <c r="D414" s="17"/>
      <c r="E414" s="17"/>
      <c r="F414" s="17"/>
      <c r="G414" s="101"/>
      <c r="H414" s="102"/>
      <c r="I414" s="102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spans="1:29" ht="21" customHeight="1">
      <c r="A415" s="17"/>
      <c r="B415" s="17"/>
      <c r="C415" s="17"/>
      <c r="D415" s="17"/>
      <c r="E415" s="17"/>
      <c r="F415" s="17"/>
      <c r="G415" s="101"/>
      <c r="H415" s="102"/>
      <c r="I415" s="102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spans="1:29" ht="21" customHeight="1">
      <c r="A416" s="17"/>
      <c r="B416" s="17"/>
      <c r="C416" s="17"/>
      <c r="D416" s="17"/>
      <c r="E416" s="17"/>
      <c r="F416" s="17"/>
      <c r="G416" s="101"/>
      <c r="H416" s="102"/>
      <c r="I416" s="102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spans="1:29" ht="21" customHeight="1">
      <c r="A417" s="17"/>
      <c r="B417" s="17"/>
      <c r="C417" s="17"/>
      <c r="D417" s="17"/>
      <c r="E417" s="17"/>
      <c r="F417" s="17"/>
      <c r="G417" s="101"/>
      <c r="H417" s="102"/>
      <c r="I417" s="102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spans="1:29" ht="21" customHeight="1">
      <c r="A418" s="17"/>
      <c r="B418" s="17"/>
      <c r="C418" s="17"/>
      <c r="D418" s="17"/>
      <c r="E418" s="17"/>
      <c r="F418" s="17"/>
      <c r="G418" s="101"/>
      <c r="H418" s="102"/>
      <c r="I418" s="102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spans="1:29" ht="21" customHeight="1">
      <c r="A419" s="17"/>
      <c r="B419" s="17"/>
      <c r="C419" s="17"/>
      <c r="D419" s="17"/>
      <c r="E419" s="17"/>
      <c r="F419" s="17"/>
      <c r="G419" s="101"/>
      <c r="H419" s="102"/>
      <c r="I419" s="102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spans="1:29" ht="21" customHeight="1">
      <c r="A420" s="17"/>
      <c r="B420" s="17"/>
      <c r="C420" s="17"/>
      <c r="D420" s="17"/>
      <c r="E420" s="17"/>
      <c r="F420" s="17"/>
      <c r="G420" s="101"/>
      <c r="H420" s="102"/>
      <c r="I420" s="102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spans="1:29" ht="21" customHeight="1">
      <c r="A421" s="17"/>
      <c r="B421" s="17"/>
      <c r="C421" s="17"/>
      <c r="D421" s="17"/>
      <c r="E421" s="17"/>
      <c r="F421" s="17"/>
      <c r="G421" s="101"/>
      <c r="H421" s="102"/>
      <c r="I421" s="102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spans="1:29" ht="21" customHeight="1">
      <c r="A422" s="17"/>
      <c r="B422" s="17"/>
      <c r="C422" s="17"/>
      <c r="D422" s="17"/>
      <c r="E422" s="17"/>
      <c r="F422" s="17"/>
      <c r="G422" s="101"/>
      <c r="H422" s="102"/>
      <c r="I422" s="102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spans="1:29" ht="21" customHeight="1">
      <c r="A423" s="17"/>
      <c r="B423" s="17"/>
      <c r="C423" s="17"/>
      <c r="D423" s="17"/>
      <c r="E423" s="17"/>
      <c r="F423" s="17"/>
      <c r="G423" s="101"/>
      <c r="H423" s="102"/>
      <c r="I423" s="102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spans="1:29" ht="21" customHeight="1">
      <c r="A424" s="17"/>
      <c r="B424" s="17"/>
      <c r="C424" s="17"/>
      <c r="D424" s="17"/>
      <c r="E424" s="17"/>
      <c r="F424" s="17"/>
      <c r="G424" s="101"/>
      <c r="H424" s="102"/>
      <c r="I424" s="102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spans="1:29" ht="21" customHeight="1">
      <c r="A425" s="17"/>
      <c r="B425" s="17"/>
      <c r="C425" s="17"/>
      <c r="D425" s="17"/>
      <c r="E425" s="17"/>
      <c r="F425" s="17"/>
      <c r="G425" s="101"/>
      <c r="H425" s="102"/>
      <c r="I425" s="102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spans="1:29" ht="21" customHeight="1">
      <c r="A426" s="17"/>
      <c r="B426" s="17"/>
      <c r="C426" s="17"/>
      <c r="D426" s="17"/>
      <c r="E426" s="17"/>
      <c r="F426" s="17"/>
      <c r="G426" s="101"/>
      <c r="H426" s="102"/>
      <c r="I426" s="102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spans="1:29" ht="21" customHeight="1">
      <c r="A427" s="17"/>
      <c r="B427" s="17"/>
      <c r="C427" s="17"/>
      <c r="D427" s="17"/>
      <c r="E427" s="17"/>
      <c r="F427" s="17"/>
      <c r="G427" s="101"/>
      <c r="H427" s="102"/>
      <c r="I427" s="102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spans="1:29" ht="21" customHeight="1">
      <c r="A428" s="17"/>
      <c r="B428" s="17"/>
      <c r="C428" s="17"/>
      <c r="D428" s="17"/>
      <c r="E428" s="17"/>
      <c r="F428" s="17"/>
      <c r="G428" s="101"/>
      <c r="H428" s="102"/>
      <c r="I428" s="102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spans="1:29" ht="21" customHeight="1">
      <c r="A429" s="17"/>
      <c r="B429" s="17"/>
      <c r="C429" s="17"/>
      <c r="D429" s="17"/>
      <c r="E429" s="17"/>
      <c r="F429" s="17"/>
      <c r="G429" s="101"/>
      <c r="H429" s="102"/>
      <c r="I429" s="102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spans="1:29" ht="21" customHeight="1">
      <c r="A430" s="17"/>
      <c r="B430" s="17"/>
      <c r="C430" s="17"/>
      <c r="D430" s="17"/>
      <c r="E430" s="17"/>
      <c r="F430" s="17"/>
      <c r="G430" s="101"/>
      <c r="H430" s="102"/>
      <c r="I430" s="102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spans="1:29" ht="21" customHeight="1">
      <c r="A431" s="17"/>
      <c r="B431" s="17"/>
      <c r="C431" s="17"/>
      <c r="D431" s="17"/>
      <c r="E431" s="17"/>
      <c r="F431" s="17"/>
      <c r="G431" s="101"/>
      <c r="H431" s="102"/>
      <c r="I431" s="102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spans="1:29" ht="21" customHeight="1">
      <c r="A432" s="17"/>
      <c r="B432" s="17"/>
      <c r="C432" s="17"/>
      <c r="D432" s="17"/>
      <c r="E432" s="17"/>
      <c r="F432" s="17"/>
      <c r="G432" s="101"/>
      <c r="H432" s="102"/>
      <c r="I432" s="102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spans="1:29" ht="21" customHeight="1">
      <c r="A433" s="17"/>
      <c r="B433" s="17"/>
      <c r="C433" s="17"/>
      <c r="D433" s="17"/>
      <c r="E433" s="17"/>
      <c r="F433" s="17"/>
      <c r="G433" s="101"/>
      <c r="H433" s="102"/>
      <c r="I433" s="102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spans="1:29" ht="21" customHeight="1">
      <c r="A434" s="17"/>
      <c r="B434" s="17"/>
      <c r="C434" s="17"/>
      <c r="D434" s="17"/>
      <c r="E434" s="17"/>
      <c r="F434" s="17"/>
      <c r="G434" s="101"/>
      <c r="H434" s="102"/>
      <c r="I434" s="102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21" customHeight="1">
      <c r="A435" s="17"/>
      <c r="B435" s="17"/>
      <c r="C435" s="17"/>
      <c r="D435" s="17"/>
      <c r="E435" s="17"/>
      <c r="F435" s="17"/>
      <c r="G435" s="101"/>
      <c r="H435" s="102"/>
      <c r="I435" s="102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 ht="21" customHeight="1">
      <c r="A436" s="17"/>
      <c r="B436" s="17"/>
      <c r="C436" s="17"/>
      <c r="D436" s="17"/>
      <c r="E436" s="17"/>
      <c r="F436" s="17"/>
      <c r="G436" s="101"/>
      <c r="H436" s="102"/>
      <c r="I436" s="102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spans="1:29" ht="21" customHeight="1">
      <c r="A437" s="17"/>
      <c r="B437" s="17"/>
      <c r="C437" s="17"/>
      <c r="D437" s="17"/>
      <c r="E437" s="17"/>
      <c r="F437" s="17"/>
      <c r="G437" s="101"/>
      <c r="H437" s="102"/>
      <c r="I437" s="102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spans="1:29" ht="21" customHeight="1">
      <c r="A438" s="17"/>
      <c r="B438" s="17"/>
      <c r="C438" s="17"/>
      <c r="D438" s="17"/>
      <c r="E438" s="17"/>
      <c r="F438" s="17"/>
      <c r="G438" s="101"/>
      <c r="H438" s="102"/>
      <c r="I438" s="102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spans="1:29" ht="21" customHeight="1">
      <c r="A439" s="17"/>
      <c r="B439" s="17"/>
      <c r="C439" s="17"/>
      <c r="D439" s="17"/>
      <c r="E439" s="17"/>
      <c r="F439" s="17"/>
      <c r="G439" s="101"/>
      <c r="H439" s="102"/>
      <c r="I439" s="102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spans="1:29" ht="21" customHeight="1">
      <c r="A440" s="17"/>
      <c r="B440" s="17"/>
      <c r="C440" s="17"/>
      <c r="D440" s="17"/>
      <c r="E440" s="17"/>
      <c r="F440" s="17"/>
      <c r="G440" s="101"/>
      <c r="H440" s="102"/>
      <c r="I440" s="102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spans="1:29" ht="21" customHeight="1">
      <c r="A441" s="17"/>
      <c r="B441" s="17"/>
      <c r="C441" s="17"/>
      <c r="D441" s="17"/>
      <c r="E441" s="17"/>
      <c r="F441" s="17"/>
      <c r="G441" s="101"/>
      <c r="H441" s="102"/>
      <c r="I441" s="102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spans="1:29" ht="21" customHeight="1">
      <c r="A442" s="17"/>
      <c r="B442" s="17"/>
      <c r="C442" s="17"/>
      <c r="D442" s="17"/>
      <c r="E442" s="17"/>
      <c r="F442" s="17"/>
      <c r="G442" s="101"/>
      <c r="H442" s="102"/>
      <c r="I442" s="102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spans="1:29" ht="21" customHeight="1">
      <c r="A443" s="17"/>
      <c r="B443" s="17"/>
      <c r="C443" s="17"/>
      <c r="D443" s="17"/>
      <c r="E443" s="17"/>
      <c r="F443" s="17"/>
      <c r="G443" s="101"/>
      <c r="H443" s="102"/>
      <c r="I443" s="102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spans="1:29" ht="21" customHeight="1">
      <c r="A444" s="17"/>
      <c r="B444" s="17"/>
      <c r="C444" s="17"/>
      <c r="D444" s="17"/>
      <c r="E444" s="17"/>
      <c r="F444" s="17"/>
      <c r="G444" s="101"/>
      <c r="H444" s="102"/>
      <c r="I444" s="102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spans="1:29" ht="21" customHeight="1">
      <c r="A445" s="17"/>
      <c r="B445" s="17"/>
      <c r="C445" s="17"/>
      <c r="D445" s="17"/>
      <c r="E445" s="17"/>
      <c r="F445" s="17"/>
      <c r="G445" s="101"/>
      <c r="H445" s="102"/>
      <c r="I445" s="102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spans="1:29" ht="21" customHeight="1">
      <c r="A446" s="17"/>
      <c r="B446" s="17"/>
      <c r="C446" s="17"/>
      <c r="D446" s="17"/>
      <c r="E446" s="17"/>
      <c r="F446" s="17"/>
      <c r="G446" s="101"/>
      <c r="H446" s="102"/>
      <c r="I446" s="102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spans="1:29" ht="21" customHeight="1">
      <c r="A447" s="17"/>
      <c r="B447" s="17"/>
      <c r="C447" s="17"/>
      <c r="D447" s="17"/>
      <c r="E447" s="17"/>
      <c r="F447" s="17"/>
      <c r="G447" s="101"/>
      <c r="H447" s="102"/>
      <c r="I447" s="102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spans="1:29" ht="21" customHeight="1">
      <c r="A448" s="17"/>
      <c r="B448" s="17"/>
      <c r="C448" s="17"/>
      <c r="D448" s="17"/>
      <c r="E448" s="17"/>
      <c r="F448" s="17"/>
      <c r="G448" s="101"/>
      <c r="H448" s="102"/>
      <c r="I448" s="102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spans="1:29" ht="21" customHeight="1">
      <c r="A449" s="17"/>
      <c r="B449" s="17"/>
      <c r="C449" s="17"/>
      <c r="D449" s="17"/>
      <c r="E449" s="17"/>
      <c r="F449" s="17"/>
      <c r="G449" s="101"/>
      <c r="H449" s="102"/>
      <c r="I449" s="102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 ht="21" customHeight="1">
      <c r="A450" s="17"/>
      <c r="B450" s="17"/>
      <c r="C450" s="17"/>
      <c r="D450" s="17"/>
      <c r="E450" s="17"/>
      <c r="F450" s="17"/>
      <c r="G450" s="101"/>
      <c r="H450" s="102"/>
      <c r="I450" s="102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spans="1:29" ht="21" customHeight="1">
      <c r="A451" s="17"/>
      <c r="B451" s="17"/>
      <c r="C451" s="17"/>
      <c r="D451" s="17"/>
      <c r="E451" s="17"/>
      <c r="F451" s="17"/>
      <c r="G451" s="101"/>
      <c r="H451" s="102"/>
      <c r="I451" s="102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spans="1:29" ht="21" customHeight="1">
      <c r="A452" s="17"/>
      <c r="B452" s="17"/>
      <c r="C452" s="17"/>
      <c r="D452" s="17"/>
      <c r="E452" s="17"/>
      <c r="F452" s="17"/>
      <c r="G452" s="101"/>
      <c r="H452" s="102"/>
      <c r="I452" s="102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spans="1:29" ht="21" customHeight="1">
      <c r="A453" s="17"/>
      <c r="B453" s="17"/>
      <c r="C453" s="17"/>
      <c r="D453" s="17"/>
      <c r="E453" s="17"/>
      <c r="F453" s="17"/>
      <c r="G453" s="101"/>
      <c r="H453" s="102"/>
      <c r="I453" s="102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spans="1:29" ht="21" customHeight="1">
      <c r="A454" s="17"/>
      <c r="B454" s="17"/>
      <c r="C454" s="17"/>
      <c r="D454" s="17"/>
      <c r="E454" s="17"/>
      <c r="F454" s="17"/>
      <c r="G454" s="101"/>
      <c r="H454" s="102"/>
      <c r="I454" s="102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ht="21" customHeight="1">
      <c r="A455" s="17"/>
      <c r="B455" s="17"/>
      <c r="C455" s="17"/>
      <c r="D455" s="17"/>
      <c r="E455" s="17"/>
      <c r="F455" s="17"/>
      <c r="G455" s="101"/>
      <c r="H455" s="102"/>
      <c r="I455" s="102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spans="1:29" ht="21" customHeight="1">
      <c r="A456" s="17"/>
      <c r="B456" s="17"/>
      <c r="C456" s="17"/>
      <c r="D456" s="17"/>
      <c r="E456" s="17"/>
      <c r="F456" s="17"/>
      <c r="G456" s="101"/>
      <c r="H456" s="102"/>
      <c r="I456" s="102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spans="1:29" ht="21" customHeight="1">
      <c r="A457" s="17"/>
      <c r="B457" s="17"/>
      <c r="C457" s="17"/>
      <c r="D457" s="17"/>
      <c r="E457" s="17"/>
      <c r="F457" s="17"/>
      <c r="G457" s="101"/>
      <c r="H457" s="102"/>
      <c r="I457" s="102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spans="1:29" ht="21" customHeight="1">
      <c r="A458" s="17"/>
      <c r="B458" s="17"/>
      <c r="C458" s="17"/>
      <c r="D458" s="17"/>
      <c r="E458" s="17"/>
      <c r="F458" s="17"/>
      <c r="G458" s="101"/>
      <c r="H458" s="102"/>
      <c r="I458" s="102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spans="1:29" ht="21" customHeight="1">
      <c r="A459" s="17"/>
      <c r="B459" s="17"/>
      <c r="C459" s="17"/>
      <c r="D459" s="17"/>
      <c r="E459" s="17"/>
      <c r="F459" s="17"/>
      <c r="G459" s="101"/>
      <c r="H459" s="102"/>
      <c r="I459" s="102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spans="1:29" ht="21" customHeight="1">
      <c r="A460" s="17"/>
      <c r="B460" s="17"/>
      <c r="C460" s="17"/>
      <c r="D460" s="17"/>
      <c r="E460" s="17"/>
      <c r="F460" s="17"/>
      <c r="G460" s="101"/>
      <c r="H460" s="102"/>
      <c r="I460" s="102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spans="1:29" ht="21" customHeight="1">
      <c r="A461" s="17"/>
      <c r="B461" s="17"/>
      <c r="C461" s="17"/>
      <c r="D461" s="17"/>
      <c r="E461" s="17"/>
      <c r="F461" s="17"/>
      <c r="G461" s="101"/>
      <c r="H461" s="102"/>
      <c r="I461" s="102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spans="1:29" ht="21" customHeight="1">
      <c r="A462" s="17"/>
      <c r="B462" s="17"/>
      <c r="C462" s="17"/>
      <c r="D462" s="17"/>
      <c r="E462" s="17"/>
      <c r="F462" s="17"/>
      <c r="G462" s="101"/>
      <c r="H462" s="102"/>
      <c r="I462" s="102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spans="1:29" ht="21" customHeight="1">
      <c r="A463" s="17"/>
      <c r="B463" s="17"/>
      <c r="C463" s="17"/>
      <c r="D463" s="17"/>
      <c r="E463" s="17"/>
      <c r="F463" s="17"/>
      <c r="G463" s="101"/>
      <c r="H463" s="102"/>
      <c r="I463" s="102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spans="1:29" ht="21" customHeight="1">
      <c r="A464" s="17"/>
      <c r="B464" s="17"/>
      <c r="C464" s="17"/>
      <c r="D464" s="17"/>
      <c r="E464" s="17"/>
      <c r="F464" s="17"/>
      <c r="G464" s="101"/>
      <c r="H464" s="102"/>
      <c r="I464" s="102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spans="1:29" ht="21" customHeight="1">
      <c r="A465" s="17"/>
      <c r="B465" s="17"/>
      <c r="C465" s="17"/>
      <c r="D465" s="17"/>
      <c r="E465" s="17"/>
      <c r="F465" s="17"/>
      <c r="G465" s="101"/>
      <c r="H465" s="102"/>
      <c r="I465" s="102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spans="1:29" ht="21" customHeight="1">
      <c r="A466" s="17"/>
      <c r="B466" s="17"/>
      <c r="C466" s="17"/>
      <c r="D466" s="17"/>
      <c r="E466" s="17"/>
      <c r="F466" s="17"/>
      <c r="G466" s="101"/>
      <c r="H466" s="102"/>
      <c r="I466" s="102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spans="1:29" ht="21" customHeight="1">
      <c r="A467" s="17"/>
      <c r="B467" s="17"/>
      <c r="C467" s="17"/>
      <c r="D467" s="17"/>
      <c r="E467" s="17"/>
      <c r="F467" s="17"/>
      <c r="G467" s="101"/>
      <c r="H467" s="102"/>
      <c r="I467" s="102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spans="1:29" ht="21" customHeight="1">
      <c r="A468" s="17"/>
      <c r="B468" s="17"/>
      <c r="C468" s="17"/>
      <c r="D468" s="17"/>
      <c r="E468" s="17"/>
      <c r="F468" s="17"/>
      <c r="G468" s="101"/>
      <c r="H468" s="102"/>
      <c r="I468" s="102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spans="1:29" ht="21" customHeight="1">
      <c r="A469" s="17"/>
      <c r="B469" s="17"/>
      <c r="C469" s="17"/>
      <c r="D469" s="17"/>
      <c r="E469" s="17"/>
      <c r="F469" s="17"/>
      <c r="G469" s="101"/>
      <c r="H469" s="102"/>
      <c r="I469" s="102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spans="1:29" ht="21" customHeight="1">
      <c r="A470" s="17"/>
      <c r="B470" s="17"/>
      <c r="C470" s="17"/>
      <c r="D470" s="17"/>
      <c r="E470" s="17"/>
      <c r="F470" s="17"/>
      <c r="G470" s="101"/>
      <c r="H470" s="102"/>
      <c r="I470" s="102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spans="1:29" ht="21" customHeight="1">
      <c r="A471" s="17"/>
      <c r="B471" s="17"/>
      <c r="C471" s="17"/>
      <c r="D471" s="17"/>
      <c r="E471" s="17"/>
      <c r="F471" s="17"/>
      <c r="G471" s="101"/>
      <c r="H471" s="102"/>
      <c r="I471" s="102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spans="1:29" ht="21" customHeight="1">
      <c r="A472" s="17"/>
      <c r="B472" s="17"/>
      <c r="C472" s="17"/>
      <c r="D472" s="17"/>
      <c r="E472" s="17"/>
      <c r="F472" s="17"/>
      <c r="G472" s="101"/>
      <c r="H472" s="102"/>
      <c r="I472" s="102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spans="1:29" ht="21" customHeight="1">
      <c r="A473" s="17"/>
      <c r="B473" s="17"/>
      <c r="C473" s="17"/>
      <c r="D473" s="17"/>
      <c r="E473" s="17"/>
      <c r="F473" s="17"/>
      <c r="G473" s="101"/>
      <c r="H473" s="102"/>
      <c r="I473" s="102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spans="1:29" ht="21" customHeight="1">
      <c r="A474" s="17"/>
      <c r="B474" s="17"/>
      <c r="C474" s="17"/>
      <c r="D474" s="17"/>
      <c r="E474" s="17"/>
      <c r="F474" s="17"/>
      <c r="G474" s="101"/>
      <c r="H474" s="102"/>
      <c r="I474" s="102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spans="1:29" ht="21" customHeight="1">
      <c r="A475" s="17"/>
      <c r="B475" s="17"/>
      <c r="C475" s="17"/>
      <c r="D475" s="17"/>
      <c r="E475" s="17"/>
      <c r="F475" s="17"/>
      <c r="G475" s="101"/>
      <c r="H475" s="102"/>
      <c r="I475" s="102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spans="1:29" ht="21" customHeight="1">
      <c r="A476" s="17"/>
      <c r="B476" s="17"/>
      <c r="C476" s="17"/>
      <c r="D476" s="17"/>
      <c r="E476" s="17"/>
      <c r="F476" s="17"/>
      <c r="G476" s="101"/>
      <c r="H476" s="102"/>
      <c r="I476" s="102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spans="1:29" ht="21" customHeight="1">
      <c r="A477" s="17"/>
      <c r="B477" s="17"/>
      <c r="C477" s="17"/>
      <c r="D477" s="17"/>
      <c r="E477" s="17"/>
      <c r="F477" s="17"/>
      <c r="G477" s="101"/>
      <c r="H477" s="102"/>
      <c r="I477" s="102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spans="1:29" ht="21" customHeight="1">
      <c r="A478" s="17"/>
      <c r="B478" s="17"/>
      <c r="C478" s="17"/>
      <c r="D478" s="17"/>
      <c r="E478" s="17"/>
      <c r="F478" s="17"/>
      <c r="G478" s="101"/>
      <c r="H478" s="102"/>
      <c r="I478" s="102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spans="1:29" ht="21" customHeight="1">
      <c r="A479" s="17"/>
      <c r="B479" s="17"/>
      <c r="C479" s="17"/>
      <c r="D479" s="17"/>
      <c r="E479" s="17"/>
      <c r="F479" s="17"/>
      <c r="G479" s="101"/>
      <c r="H479" s="102"/>
      <c r="I479" s="102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spans="1:29" ht="21" customHeight="1">
      <c r="A480" s="17"/>
      <c r="B480" s="17"/>
      <c r="C480" s="17"/>
      <c r="D480" s="17"/>
      <c r="E480" s="17"/>
      <c r="F480" s="17"/>
      <c r="G480" s="101"/>
      <c r="H480" s="102"/>
      <c r="I480" s="102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spans="1:29" ht="21" customHeight="1">
      <c r="A481" s="17"/>
      <c r="B481" s="17"/>
      <c r="C481" s="17"/>
      <c r="D481" s="17"/>
      <c r="E481" s="17"/>
      <c r="F481" s="17"/>
      <c r="G481" s="101"/>
      <c r="H481" s="102"/>
      <c r="I481" s="102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spans="1:29" ht="21" customHeight="1">
      <c r="A482" s="17"/>
      <c r="B482" s="17"/>
      <c r="C482" s="17"/>
      <c r="D482" s="17"/>
      <c r="E482" s="17"/>
      <c r="F482" s="17"/>
      <c r="G482" s="101"/>
      <c r="H482" s="102"/>
      <c r="I482" s="102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spans="1:29" ht="21" customHeight="1">
      <c r="A483" s="17"/>
      <c r="B483" s="17"/>
      <c r="C483" s="17"/>
      <c r="D483" s="17"/>
      <c r="E483" s="17"/>
      <c r="F483" s="17"/>
      <c r="G483" s="101"/>
      <c r="H483" s="102"/>
      <c r="I483" s="102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spans="1:29" ht="21" customHeight="1">
      <c r="A484" s="17"/>
      <c r="B484" s="17"/>
      <c r="C484" s="17"/>
      <c r="D484" s="17"/>
      <c r="E484" s="17"/>
      <c r="F484" s="17"/>
      <c r="G484" s="101"/>
      <c r="H484" s="102"/>
      <c r="I484" s="102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spans="1:29" ht="21" customHeight="1">
      <c r="A485" s="17"/>
      <c r="B485" s="17"/>
      <c r="C485" s="17"/>
      <c r="D485" s="17"/>
      <c r="E485" s="17"/>
      <c r="F485" s="17"/>
      <c r="G485" s="101"/>
      <c r="H485" s="102"/>
      <c r="I485" s="102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spans="1:29" ht="21" customHeight="1">
      <c r="A486" s="17"/>
      <c r="B486" s="17"/>
      <c r="C486" s="17"/>
      <c r="D486" s="17"/>
      <c r="E486" s="17"/>
      <c r="F486" s="17"/>
      <c r="G486" s="101"/>
      <c r="H486" s="102"/>
      <c r="I486" s="102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spans="1:29" ht="21" customHeight="1">
      <c r="A487" s="17"/>
      <c r="B487" s="17"/>
      <c r="C487" s="17"/>
      <c r="D487" s="17"/>
      <c r="E487" s="17"/>
      <c r="F487" s="17"/>
      <c r="G487" s="101"/>
      <c r="H487" s="102"/>
      <c r="I487" s="102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spans="1:29" ht="21" customHeight="1">
      <c r="A488" s="17"/>
      <c r="B488" s="17"/>
      <c r="C488" s="17"/>
      <c r="D488" s="17"/>
      <c r="E488" s="17"/>
      <c r="F488" s="17"/>
      <c r="G488" s="101"/>
      <c r="H488" s="102"/>
      <c r="I488" s="102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spans="1:29" ht="21" customHeight="1">
      <c r="A489" s="17"/>
      <c r="B489" s="17"/>
      <c r="C489" s="17"/>
      <c r="D489" s="17"/>
      <c r="E489" s="17"/>
      <c r="F489" s="17"/>
      <c r="G489" s="101"/>
      <c r="H489" s="102"/>
      <c r="I489" s="102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spans="1:29" ht="21" customHeight="1">
      <c r="A490" s="17"/>
      <c r="B490" s="17"/>
      <c r="C490" s="17"/>
      <c r="D490" s="17"/>
      <c r="E490" s="17"/>
      <c r="F490" s="17"/>
      <c r="G490" s="101"/>
      <c r="H490" s="102"/>
      <c r="I490" s="102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spans="1:29" ht="21" customHeight="1">
      <c r="A491" s="17"/>
      <c r="B491" s="17"/>
      <c r="C491" s="17"/>
      <c r="D491" s="17"/>
      <c r="E491" s="17"/>
      <c r="F491" s="17"/>
      <c r="G491" s="101"/>
      <c r="H491" s="102"/>
      <c r="I491" s="102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spans="1:29" ht="21" customHeight="1">
      <c r="A492" s="17"/>
      <c r="B492" s="17"/>
      <c r="C492" s="17"/>
      <c r="D492" s="17"/>
      <c r="E492" s="17"/>
      <c r="F492" s="17"/>
      <c r="G492" s="101"/>
      <c r="H492" s="102"/>
      <c r="I492" s="102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spans="1:29" ht="21" customHeight="1">
      <c r="A493" s="17"/>
      <c r="B493" s="17"/>
      <c r="C493" s="17"/>
      <c r="D493" s="17"/>
      <c r="E493" s="17"/>
      <c r="F493" s="17"/>
      <c r="G493" s="101"/>
      <c r="H493" s="102"/>
      <c r="I493" s="102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spans="1:29" ht="21" customHeight="1">
      <c r="A494" s="17"/>
      <c r="B494" s="17"/>
      <c r="C494" s="17"/>
      <c r="D494" s="17"/>
      <c r="E494" s="17"/>
      <c r="F494" s="17"/>
      <c r="G494" s="101"/>
      <c r="H494" s="102"/>
      <c r="I494" s="102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spans="1:29" ht="21" customHeight="1">
      <c r="A495" s="17"/>
      <c r="B495" s="17"/>
      <c r="C495" s="17"/>
      <c r="D495" s="17"/>
      <c r="E495" s="17"/>
      <c r="F495" s="17"/>
      <c r="G495" s="101"/>
      <c r="H495" s="102"/>
      <c r="I495" s="102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21" customHeight="1">
      <c r="A496" s="17"/>
      <c r="B496" s="17"/>
      <c r="C496" s="17"/>
      <c r="D496" s="17"/>
      <c r="E496" s="17"/>
      <c r="F496" s="17"/>
      <c r="G496" s="101"/>
      <c r="H496" s="102"/>
      <c r="I496" s="102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 ht="21" customHeight="1">
      <c r="A497" s="17"/>
      <c r="B497" s="17"/>
      <c r="C497" s="17"/>
      <c r="D497" s="17"/>
      <c r="E497" s="17"/>
      <c r="F497" s="17"/>
      <c r="G497" s="101"/>
      <c r="H497" s="102"/>
      <c r="I497" s="102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spans="1:29" ht="21" customHeight="1">
      <c r="A498" s="17"/>
      <c r="B498" s="17"/>
      <c r="C498" s="17"/>
      <c r="D498" s="17"/>
      <c r="E498" s="17"/>
      <c r="F498" s="17"/>
      <c r="G498" s="101"/>
      <c r="H498" s="102"/>
      <c r="I498" s="102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spans="1:29" ht="21" customHeight="1">
      <c r="A499" s="17"/>
      <c r="B499" s="17"/>
      <c r="C499" s="17"/>
      <c r="D499" s="17"/>
      <c r="E499" s="17"/>
      <c r="F499" s="17"/>
      <c r="G499" s="101"/>
      <c r="H499" s="102"/>
      <c r="I499" s="102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spans="1:29" ht="21" customHeight="1">
      <c r="A500" s="17"/>
      <c r="B500" s="17"/>
      <c r="C500" s="17"/>
      <c r="D500" s="17"/>
      <c r="E500" s="17"/>
      <c r="F500" s="17"/>
      <c r="G500" s="101"/>
      <c r="H500" s="102"/>
      <c r="I500" s="102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spans="1:29" ht="21" customHeight="1">
      <c r="A501" s="17"/>
      <c r="B501" s="17"/>
      <c r="C501" s="17"/>
      <c r="D501" s="17"/>
      <c r="E501" s="17"/>
      <c r="F501" s="17"/>
      <c r="G501" s="101"/>
      <c r="H501" s="102"/>
      <c r="I501" s="102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spans="1:29" ht="21" customHeight="1">
      <c r="A502" s="17"/>
      <c r="B502" s="17"/>
      <c r="C502" s="17"/>
      <c r="D502" s="17"/>
      <c r="E502" s="17"/>
      <c r="F502" s="17"/>
      <c r="G502" s="101"/>
      <c r="H502" s="102"/>
      <c r="I502" s="102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spans="1:29" ht="21" customHeight="1">
      <c r="A503" s="17"/>
      <c r="B503" s="17"/>
      <c r="C503" s="17"/>
      <c r="D503" s="17"/>
      <c r="E503" s="17"/>
      <c r="F503" s="17"/>
      <c r="G503" s="101"/>
      <c r="H503" s="102"/>
      <c r="I503" s="102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spans="1:29" ht="21" customHeight="1">
      <c r="A504" s="17"/>
      <c r="B504" s="17"/>
      <c r="C504" s="17"/>
      <c r="D504" s="17"/>
      <c r="E504" s="17"/>
      <c r="F504" s="17"/>
      <c r="G504" s="101"/>
      <c r="H504" s="102"/>
      <c r="I504" s="102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spans="1:29" ht="21" customHeight="1">
      <c r="A505" s="17"/>
      <c r="B505" s="17"/>
      <c r="C505" s="17"/>
      <c r="D505" s="17"/>
      <c r="E505" s="17"/>
      <c r="F505" s="17"/>
      <c r="G505" s="101"/>
      <c r="H505" s="102"/>
      <c r="I505" s="102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spans="1:29" ht="21" customHeight="1">
      <c r="A506" s="17"/>
      <c r="B506" s="17"/>
      <c r="C506" s="17"/>
      <c r="D506" s="17"/>
      <c r="E506" s="17"/>
      <c r="F506" s="17"/>
      <c r="G506" s="101"/>
      <c r="H506" s="102"/>
      <c r="I506" s="102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spans="1:29" ht="21" customHeight="1">
      <c r="A507" s="17"/>
      <c r="B507" s="17"/>
      <c r="C507" s="17"/>
      <c r="D507" s="17"/>
      <c r="E507" s="17"/>
      <c r="F507" s="17"/>
      <c r="G507" s="101"/>
      <c r="H507" s="102"/>
      <c r="I507" s="102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spans="1:29" ht="21" customHeight="1">
      <c r="A508" s="17"/>
      <c r="B508" s="17"/>
      <c r="C508" s="17"/>
      <c r="D508" s="17"/>
      <c r="E508" s="17"/>
      <c r="F508" s="17"/>
      <c r="G508" s="101"/>
      <c r="H508" s="102"/>
      <c r="I508" s="102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spans="1:29" ht="21" customHeight="1">
      <c r="A509" s="17"/>
      <c r="B509" s="17"/>
      <c r="C509" s="17"/>
      <c r="D509" s="17"/>
      <c r="E509" s="17"/>
      <c r="F509" s="17"/>
      <c r="G509" s="101"/>
      <c r="H509" s="102"/>
      <c r="I509" s="102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spans="1:29" ht="21" customHeight="1">
      <c r="A510" s="17"/>
      <c r="B510" s="17"/>
      <c r="C510" s="17"/>
      <c r="D510" s="17"/>
      <c r="E510" s="17"/>
      <c r="F510" s="17"/>
      <c r="G510" s="101"/>
      <c r="H510" s="102"/>
      <c r="I510" s="102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 ht="21" customHeight="1">
      <c r="A511" s="17"/>
      <c r="B511" s="17"/>
      <c r="C511" s="17"/>
      <c r="D511" s="17"/>
      <c r="E511" s="17"/>
      <c r="F511" s="17"/>
      <c r="G511" s="101"/>
      <c r="H511" s="102"/>
      <c r="I511" s="102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spans="1:29" ht="21" customHeight="1">
      <c r="A512" s="17"/>
      <c r="B512" s="17"/>
      <c r="C512" s="17"/>
      <c r="D512" s="17"/>
      <c r="E512" s="17"/>
      <c r="F512" s="17"/>
      <c r="G512" s="101"/>
      <c r="H512" s="102"/>
      <c r="I512" s="102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spans="1:29" ht="21" customHeight="1">
      <c r="A513" s="17"/>
      <c r="B513" s="17"/>
      <c r="C513" s="17"/>
      <c r="D513" s="17"/>
      <c r="E513" s="17"/>
      <c r="F513" s="17"/>
      <c r="G513" s="101"/>
      <c r="H513" s="102"/>
      <c r="I513" s="102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spans="1:29" ht="21" customHeight="1">
      <c r="A514" s="17"/>
      <c r="B514" s="17"/>
      <c r="C514" s="17"/>
      <c r="D514" s="17"/>
      <c r="E514" s="17"/>
      <c r="F514" s="17"/>
      <c r="G514" s="101"/>
      <c r="H514" s="102"/>
      <c r="I514" s="102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spans="1:29" ht="21" customHeight="1">
      <c r="A515" s="17"/>
      <c r="B515" s="17"/>
      <c r="C515" s="17"/>
      <c r="D515" s="17"/>
      <c r="E515" s="17"/>
      <c r="F515" s="17"/>
      <c r="G515" s="101"/>
      <c r="H515" s="102"/>
      <c r="I515" s="102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spans="1:29" ht="21" customHeight="1">
      <c r="A516" s="17"/>
      <c r="B516" s="17"/>
      <c r="C516" s="17"/>
      <c r="D516" s="17"/>
      <c r="E516" s="17"/>
      <c r="F516" s="17"/>
      <c r="G516" s="101"/>
      <c r="H516" s="102"/>
      <c r="I516" s="102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spans="1:29" ht="21" customHeight="1">
      <c r="A517" s="17"/>
      <c r="B517" s="17"/>
      <c r="C517" s="17"/>
      <c r="D517" s="17"/>
      <c r="E517" s="17"/>
      <c r="F517" s="17"/>
      <c r="G517" s="101"/>
      <c r="H517" s="102"/>
      <c r="I517" s="102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spans="1:29" ht="21" customHeight="1">
      <c r="A518" s="17"/>
      <c r="B518" s="17"/>
      <c r="C518" s="17"/>
      <c r="D518" s="17"/>
      <c r="E518" s="17"/>
      <c r="F518" s="17"/>
      <c r="G518" s="101"/>
      <c r="H518" s="102"/>
      <c r="I518" s="102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spans="1:29" ht="21" customHeight="1">
      <c r="A519" s="17"/>
      <c r="B519" s="17"/>
      <c r="C519" s="17"/>
      <c r="D519" s="17"/>
      <c r="E519" s="17"/>
      <c r="F519" s="17"/>
      <c r="G519" s="101"/>
      <c r="H519" s="102"/>
      <c r="I519" s="102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spans="1:29" ht="21" customHeight="1">
      <c r="A520" s="17"/>
      <c r="B520" s="17"/>
      <c r="C520" s="17"/>
      <c r="D520" s="17"/>
      <c r="E520" s="17"/>
      <c r="F520" s="17"/>
      <c r="G520" s="101"/>
      <c r="H520" s="102"/>
      <c r="I520" s="102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spans="1:29" ht="21" customHeight="1">
      <c r="A521" s="17"/>
      <c r="B521" s="17"/>
      <c r="C521" s="17"/>
      <c r="D521" s="17"/>
      <c r="E521" s="17"/>
      <c r="F521" s="17"/>
      <c r="G521" s="101"/>
      <c r="H521" s="102"/>
      <c r="I521" s="102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spans="1:29" ht="21" customHeight="1">
      <c r="A522" s="17"/>
      <c r="B522" s="17"/>
      <c r="C522" s="17"/>
      <c r="D522" s="17"/>
      <c r="E522" s="17"/>
      <c r="F522" s="17"/>
      <c r="G522" s="101"/>
      <c r="H522" s="102"/>
      <c r="I522" s="102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spans="1:29" ht="21" customHeight="1">
      <c r="A523" s="17"/>
      <c r="B523" s="17"/>
      <c r="C523" s="17"/>
      <c r="D523" s="17"/>
      <c r="E523" s="17"/>
      <c r="F523" s="17"/>
      <c r="G523" s="101"/>
      <c r="H523" s="102"/>
      <c r="I523" s="102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spans="1:29" ht="21" customHeight="1">
      <c r="A524" s="17"/>
      <c r="B524" s="17"/>
      <c r="C524" s="17"/>
      <c r="D524" s="17"/>
      <c r="E524" s="17"/>
      <c r="F524" s="17"/>
      <c r="G524" s="101"/>
      <c r="H524" s="102"/>
      <c r="I524" s="102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spans="1:29" ht="21" customHeight="1">
      <c r="A525" s="17"/>
      <c r="B525" s="17"/>
      <c r="C525" s="17"/>
      <c r="D525" s="17"/>
      <c r="E525" s="17"/>
      <c r="F525" s="17"/>
      <c r="G525" s="101"/>
      <c r="H525" s="102"/>
      <c r="I525" s="102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spans="1:29" ht="21" customHeight="1">
      <c r="A526" s="17"/>
      <c r="B526" s="17"/>
      <c r="C526" s="17"/>
      <c r="D526" s="17"/>
      <c r="E526" s="17"/>
      <c r="F526" s="17"/>
      <c r="G526" s="101"/>
      <c r="H526" s="102"/>
      <c r="I526" s="102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spans="1:29" ht="21" customHeight="1">
      <c r="A527" s="17"/>
      <c r="B527" s="17"/>
      <c r="C527" s="17"/>
      <c r="D527" s="17"/>
      <c r="E527" s="17"/>
      <c r="F527" s="17"/>
      <c r="G527" s="101"/>
      <c r="H527" s="102"/>
      <c r="I527" s="102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spans="1:29" ht="21" customHeight="1">
      <c r="A528" s="17"/>
      <c r="B528" s="17"/>
      <c r="C528" s="17"/>
      <c r="D528" s="17"/>
      <c r="E528" s="17"/>
      <c r="F528" s="17"/>
      <c r="G528" s="101"/>
      <c r="H528" s="102"/>
      <c r="I528" s="102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spans="1:29" ht="21" customHeight="1">
      <c r="A529" s="17"/>
      <c r="B529" s="17"/>
      <c r="C529" s="17"/>
      <c r="D529" s="17"/>
      <c r="E529" s="17"/>
      <c r="F529" s="17"/>
      <c r="G529" s="101"/>
      <c r="H529" s="102"/>
      <c r="I529" s="102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spans="1:29" ht="21" customHeight="1">
      <c r="A530" s="17"/>
      <c r="B530" s="17"/>
      <c r="C530" s="17"/>
      <c r="D530" s="17"/>
      <c r="E530" s="17"/>
      <c r="F530" s="17"/>
      <c r="G530" s="101"/>
      <c r="H530" s="102"/>
      <c r="I530" s="102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spans="1:29" ht="21" customHeight="1">
      <c r="A531" s="17"/>
      <c r="B531" s="17"/>
      <c r="C531" s="17"/>
      <c r="D531" s="17"/>
      <c r="E531" s="17"/>
      <c r="F531" s="17"/>
      <c r="G531" s="101"/>
      <c r="H531" s="102"/>
      <c r="I531" s="102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spans="1:29" ht="21" customHeight="1">
      <c r="A532" s="17"/>
      <c r="B532" s="17"/>
      <c r="C532" s="17"/>
      <c r="D532" s="17"/>
      <c r="E532" s="17"/>
      <c r="F532" s="17"/>
      <c r="G532" s="101"/>
      <c r="H532" s="102"/>
      <c r="I532" s="102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spans="1:29" ht="21" customHeight="1">
      <c r="A533" s="17"/>
      <c r="B533" s="17"/>
      <c r="C533" s="17"/>
      <c r="D533" s="17"/>
      <c r="E533" s="17"/>
      <c r="F533" s="17"/>
      <c r="G533" s="101"/>
      <c r="H533" s="102"/>
      <c r="I533" s="102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spans="1:29" ht="21" customHeight="1">
      <c r="A534" s="17"/>
      <c r="B534" s="17"/>
      <c r="C534" s="17"/>
      <c r="D534" s="17"/>
      <c r="E534" s="17"/>
      <c r="F534" s="17"/>
      <c r="G534" s="101"/>
      <c r="H534" s="102"/>
      <c r="I534" s="102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spans="1:29" ht="21" customHeight="1">
      <c r="A535" s="17"/>
      <c r="B535" s="17"/>
      <c r="C535" s="17"/>
      <c r="D535" s="17"/>
      <c r="E535" s="17"/>
      <c r="F535" s="17"/>
      <c r="G535" s="101"/>
      <c r="H535" s="102"/>
      <c r="I535" s="102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spans="1:29" ht="21" customHeight="1">
      <c r="A536" s="17"/>
      <c r="B536" s="17"/>
      <c r="C536" s="17"/>
      <c r="D536" s="17"/>
      <c r="E536" s="17"/>
      <c r="F536" s="17"/>
      <c r="G536" s="101"/>
      <c r="H536" s="102"/>
      <c r="I536" s="102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spans="1:29" ht="21" customHeight="1">
      <c r="A537" s="17"/>
      <c r="B537" s="17"/>
      <c r="C537" s="17"/>
      <c r="D537" s="17"/>
      <c r="E537" s="17"/>
      <c r="F537" s="17"/>
      <c r="G537" s="101"/>
      <c r="H537" s="102"/>
      <c r="I537" s="102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spans="1:29" ht="21" customHeight="1">
      <c r="A538" s="17"/>
      <c r="B538" s="17"/>
      <c r="C538" s="17"/>
      <c r="D538" s="17"/>
      <c r="E538" s="17"/>
      <c r="F538" s="17"/>
      <c r="G538" s="101"/>
      <c r="H538" s="102"/>
      <c r="I538" s="102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spans="1:29" ht="21" customHeight="1">
      <c r="A539" s="17"/>
      <c r="B539" s="17"/>
      <c r="C539" s="17"/>
      <c r="D539" s="17"/>
      <c r="E539" s="17"/>
      <c r="F539" s="17"/>
      <c r="G539" s="101"/>
      <c r="H539" s="102"/>
      <c r="I539" s="102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spans="1:29" ht="21" customHeight="1">
      <c r="A540" s="17"/>
      <c r="B540" s="17"/>
      <c r="C540" s="17"/>
      <c r="D540" s="17"/>
      <c r="E540" s="17"/>
      <c r="F540" s="17"/>
      <c r="G540" s="101"/>
      <c r="H540" s="102"/>
      <c r="I540" s="102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spans="1:29" ht="21" customHeight="1">
      <c r="A541" s="17"/>
      <c r="B541" s="17"/>
      <c r="C541" s="17"/>
      <c r="D541" s="17"/>
      <c r="E541" s="17"/>
      <c r="F541" s="17"/>
      <c r="G541" s="101"/>
      <c r="H541" s="102"/>
      <c r="I541" s="102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spans="1:29" ht="21" customHeight="1">
      <c r="A542" s="17"/>
      <c r="B542" s="17"/>
      <c r="C542" s="17"/>
      <c r="D542" s="17"/>
      <c r="E542" s="17"/>
      <c r="F542" s="17"/>
      <c r="G542" s="101"/>
      <c r="H542" s="102"/>
      <c r="I542" s="102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spans="1:29" ht="21" customHeight="1">
      <c r="A543" s="17"/>
      <c r="B543" s="17"/>
      <c r="C543" s="17"/>
      <c r="D543" s="17"/>
      <c r="E543" s="17"/>
      <c r="F543" s="17"/>
      <c r="G543" s="101"/>
      <c r="H543" s="102"/>
      <c r="I543" s="102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spans="1:29" ht="21" customHeight="1">
      <c r="A544" s="17"/>
      <c r="B544" s="17"/>
      <c r="C544" s="17"/>
      <c r="D544" s="17"/>
      <c r="E544" s="17"/>
      <c r="F544" s="17"/>
      <c r="G544" s="101"/>
      <c r="H544" s="102"/>
      <c r="I544" s="102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spans="1:29" ht="21" customHeight="1">
      <c r="A545" s="17"/>
      <c r="B545" s="17"/>
      <c r="C545" s="17"/>
      <c r="D545" s="17"/>
      <c r="E545" s="17"/>
      <c r="F545" s="17"/>
      <c r="G545" s="101"/>
      <c r="H545" s="102"/>
      <c r="I545" s="102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spans="1:29" ht="21" customHeight="1">
      <c r="A546" s="17"/>
      <c r="B546" s="17"/>
      <c r="C546" s="17"/>
      <c r="D546" s="17"/>
      <c r="E546" s="17"/>
      <c r="F546" s="17"/>
      <c r="G546" s="101"/>
      <c r="H546" s="102"/>
      <c r="I546" s="102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spans="1:29" ht="21" customHeight="1">
      <c r="A547" s="17"/>
      <c r="B547" s="17"/>
      <c r="C547" s="17"/>
      <c r="D547" s="17"/>
      <c r="E547" s="17"/>
      <c r="F547" s="17"/>
      <c r="G547" s="101"/>
      <c r="H547" s="102"/>
      <c r="I547" s="102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spans="1:29" ht="21" customHeight="1">
      <c r="A548" s="17"/>
      <c r="B548" s="17"/>
      <c r="C548" s="17"/>
      <c r="D548" s="17"/>
      <c r="E548" s="17"/>
      <c r="F548" s="17"/>
      <c r="G548" s="101"/>
      <c r="H548" s="102"/>
      <c r="I548" s="102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spans="1:29" ht="21" customHeight="1">
      <c r="A549" s="17"/>
      <c r="B549" s="17"/>
      <c r="C549" s="17"/>
      <c r="D549" s="17"/>
      <c r="E549" s="17"/>
      <c r="F549" s="17"/>
      <c r="G549" s="101"/>
      <c r="H549" s="102"/>
      <c r="I549" s="102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spans="1:29" ht="21" customHeight="1">
      <c r="A550" s="17"/>
      <c r="B550" s="17"/>
      <c r="C550" s="17"/>
      <c r="D550" s="17"/>
      <c r="E550" s="17"/>
      <c r="F550" s="17"/>
      <c r="G550" s="101"/>
      <c r="H550" s="102"/>
      <c r="I550" s="102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spans="1:29" ht="21" customHeight="1">
      <c r="A551" s="17"/>
      <c r="B551" s="17"/>
      <c r="C551" s="17"/>
      <c r="D551" s="17"/>
      <c r="E551" s="17"/>
      <c r="F551" s="17"/>
      <c r="G551" s="101"/>
      <c r="H551" s="102"/>
      <c r="I551" s="102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spans="1:29" ht="21" customHeight="1">
      <c r="A552" s="17"/>
      <c r="B552" s="17"/>
      <c r="C552" s="17"/>
      <c r="D552" s="17"/>
      <c r="E552" s="17"/>
      <c r="F552" s="17"/>
      <c r="G552" s="101"/>
      <c r="H552" s="102"/>
      <c r="I552" s="102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spans="1:29" ht="21" customHeight="1">
      <c r="A553" s="17"/>
      <c r="B553" s="17"/>
      <c r="C553" s="17"/>
      <c r="D553" s="17"/>
      <c r="E553" s="17"/>
      <c r="F553" s="17"/>
      <c r="G553" s="101"/>
      <c r="H553" s="102"/>
      <c r="I553" s="102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spans="1:29" ht="21" customHeight="1">
      <c r="A554" s="17"/>
      <c r="B554" s="17"/>
      <c r="C554" s="17"/>
      <c r="D554" s="17"/>
      <c r="E554" s="17"/>
      <c r="F554" s="17"/>
      <c r="G554" s="101"/>
      <c r="H554" s="102"/>
      <c r="I554" s="102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spans="1:29" ht="21" customHeight="1">
      <c r="A555" s="17"/>
      <c r="B555" s="17"/>
      <c r="C555" s="17"/>
      <c r="D555" s="17"/>
      <c r="E555" s="17"/>
      <c r="F555" s="17"/>
      <c r="G555" s="101"/>
      <c r="H555" s="102"/>
      <c r="I555" s="102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spans="1:29" ht="21" customHeight="1">
      <c r="A556" s="17"/>
      <c r="B556" s="17"/>
      <c r="C556" s="17"/>
      <c r="D556" s="17"/>
      <c r="E556" s="17"/>
      <c r="F556" s="17"/>
      <c r="G556" s="101"/>
      <c r="H556" s="102"/>
      <c r="I556" s="102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spans="1:29" ht="21" customHeight="1">
      <c r="A557" s="17"/>
      <c r="B557" s="17"/>
      <c r="C557" s="17"/>
      <c r="D557" s="17"/>
      <c r="E557" s="17"/>
      <c r="F557" s="17"/>
      <c r="G557" s="101"/>
      <c r="H557" s="102"/>
      <c r="I557" s="102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21" customHeight="1">
      <c r="A558" s="17"/>
      <c r="B558" s="17"/>
      <c r="C558" s="17"/>
      <c r="D558" s="17"/>
      <c r="E558" s="17"/>
      <c r="F558" s="17"/>
      <c r="G558" s="101"/>
      <c r="H558" s="102"/>
      <c r="I558" s="102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 ht="21" customHeight="1">
      <c r="A559" s="17"/>
      <c r="B559" s="17"/>
      <c r="C559" s="17"/>
      <c r="D559" s="17"/>
      <c r="E559" s="17"/>
      <c r="F559" s="17"/>
      <c r="G559" s="101"/>
      <c r="H559" s="102"/>
      <c r="I559" s="102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spans="1:29" ht="21" customHeight="1">
      <c r="A560" s="17"/>
      <c r="B560" s="17"/>
      <c r="C560" s="17"/>
      <c r="D560" s="17"/>
      <c r="E560" s="17"/>
      <c r="F560" s="17"/>
      <c r="G560" s="101"/>
      <c r="H560" s="102"/>
      <c r="I560" s="102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spans="1:29" ht="21" customHeight="1">
      <c r="A561" s="17"/>
      <c r="B561" s="17"/>
      <c r="C561" s="17"/>
      <c r="D561" s="17"/>
      <c r="E561" s="17"/>
      <c r="F561" s="17"/>
      <c r="G561" s="101"/>
      <c r="H561" s="102"/>
      <c r="I561" s="102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spans="1:29" ht="21" customHeight="1">
      <c r="A562" s="17"/>
      <c r="B562" s="17"/>
      <c r="C562" s="17"/>
      <c r="D562" s="17"/>
      <c r="E562" s="17"/>
      <c r="F562" s="17"/>
      <c r="G562" s="101"/>
      <c r="H562" s="102"/>
      <c r="I562" s="102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spans="1:29" ht="21" customHeight="1">
      <c r="A563" s="17"/>
      <c r="B563" s="17"/>
      <c r="C563" s="17"/>
      <c r="D563" s="17"/>
      <c r="E563" s="17"/>
      <c r="F563" s="17"/>
      <c r="G563" s="101"/>
      <c r="H563" s="102"/>
      <c r="I563" s="102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spans="1:29" ht="21" customHeight="1">
      <c r="A564" s="17"/>
      <c r="B564" s="17"/>
      <c r="C564" s="17"/>
      <c r="D564" s="17"/>
      <c r="E564" s="17"/>
      <c r="F564" s="17"/>
      <c r="G564" s="101"/>
      <c r="H564" s="102"/>
      <c r="I564" s="102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spans="1:29" ht="21" customHeight="1">
      <c r="A565" s="17"/>
      <c r="B565" s="17"/>
      <c r="C565" s="17"/>
      <c r="D565" s="17"/>
      <c r="E565" s="17"/>
      <c r="F565" s="17"/>
      <c r="G565" s="101"/>
      <c r="H565" s="102"/>
      <c r="I565" s="102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spans="1:29" ht="21" customHeight="1">
      <c r="A566" s="17"/>
      <c r="B566" s="17"/>
      <c r="C566" s="17"/>
      <c r="D566" s="17"/>
      <c r="E566" s="17"/>
      <c r="F566" s="17"/>
      <c r="G566" s="101"/>
      <c r="H566" s="102"/>
      <c r="I566" s="102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spans="1:29" ht="21" customHeight="1">
      <c r="A567" s="17"/>
      <c r="B567" s="17"/>
      <c r="C567" s="17"/>
      <c r="D567" s="17"/>
      <c r="E567" s="17"/>
      <c r="F567" s="17"/>
      <c r="G567" s="101"/>
      <c r="H567" s="102"/>
      <c r="I567" s="102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spans="1:29" ht="21" customHeight="1">
      <c r="A568" s="17"/>
      <c r="B568" s="17"/>
      <c r="C568" s="17"/>
      <c r="D568" s="17"/>
      <c r="E568" s="17"/>
      <c r="F568" s="17"/>
      <c r="G568" s="101"/>
      <c r="H568" s="102"/>
      <c r="I568" s="102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spans="1:29" ht="21" customHeight="1">
      <c r="A569" s="17"/>
      <c r="B569" s="17"/>
      <c r="C569" s="17"/>
      <c r="D569" s="17"/>
      <c r="E569" s="17"/>
      <c r="F569" s="17"/>
      <c r="G569" s="101"/>
      <c r="H569" s="102"/>
      <c r="I569" s="102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ht="21" customHeight="1">
      <c r="A570" s="17"/>
      <c r="B570" s="17"/>
      <c r="C570" s="17"/>
      <c r="D570" s="17"/>
      <c r="E570" s="17"/>
      <c r="F570" s="17"/>
      <c r="G570" s="101"/>
      <c r="H570" s="102"/>
      <c r="I570" s="102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spans="1:29" ht="21" customHeight="1">
      <c r="A571" s="17"/>
      <c r="B571" s="17"/>
      <c r="C571" s="17"/>
      <c r="D571" s="17"/>
      <c r="E571" s="17"/>
      <c r="F571" s="17"/>
      <c r="G571" s="101"/>
      <c r="H571" s="102"/>
      <c r="I571" s="102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spans="1:29" ht="21" customHeight="1">
      <c r="A572" s="17"/>
      <c r="B572" s="17"/>
      <c r="C572" s="17"/>
      <c r="D572" s="17"/>
      <c r="E572" s="17"/>
      <c r="F572" s="17"/>
      <c r="G572" s="101"/>
      <c r="H572" s="102"/>
      <c r="I572" s="102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spans="1:29" ht="21" customHeight="1">
      <c r="A573" s="17"/>
      <c r="B573" s="17"/>
      <c r="C573" s="17"/>
      <c r="D573" s="17"/>
      <c r="E573" s="17"/>
      <c r="F573" s="17"/>
      <c r="G573" s="101"/>
      <c r="H573" s="102"/>
      <c r="I573" s="102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 ht="21" customHeight="1">
      <c r="A574" s="17"/>
      <c r="B574" s="17"/>
      <c r="C574" s="17"/>
      <c r="D574" s="17"/>
      <c r="E574" s="17"/>
      <c r="F574" s="17"/>
      <c r="G574" s="101"/>
      <c r="H574" s="102"/>
      <c r="I574" s="102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spans="1:29" ht="21" customHeight="1">
      <c r="A575" s="17"/>
      <c r="B575" s="17"/>
      <c r="C575" s="17"/>
      <c r="D575" s="17"/>
      <c r="E575" s="17"/>
      <c r="F575" s="17"/>
      <c r="G575" s="101"/>
      <c r="H575" s="102"/>
      <c r="I575" s="102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spans="1:29" ht="21" customHeight="1">
      <c r="A576" s="17"/>
      <c r="B576" s="17"/>
      <c r="C576" s="17"/>
      <c r="D576" s="17"/>
      <c r="E576" s="17"/>
      <c r="F576" s="17"/>
      <c r="G576" s="101"/>
      <c r="H576" s="102"/>
      <c r="I576" s="102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spans="1:29" ht="21" customHeight="1">
      <c r="A577" s="17"/>
      <c r="B577" s="17"/>
      <c r="C577" s="17"/>
      <c r="D577" s="17"/>
      <c r="E577" s="17"/>
      <c r="F577" s="17"/>
      <c r="G577" s="101"/>
      <c r="H577" s="102"/>
      <c r="I577" s="102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spans="1:29" ht="21" customHeight="1">
      <c r="A578" s="17"/>
      <c r="B578" s="17"/>
      <c r="C578" s="17"/>
      <c r="D578" s="17"/>
      <c r="E578" s="17"/>
      <c r="F578" s="17"/>
      <c r="G578" s="101"/>
      <c r="H578" s="102"/>
      <c r="I578" s="102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spans="1:29" ht="21" customHeight="1">
      <c r="A579" s="17"/>
      <c r="B579" s="17"/>
      <c r="C579" s="17"/>
      <c r="D579" s="17"/>
      <c r="E579" s="17"/>
      <c r="F579" s="17"/>
      <c r="G579" s="101"/>
      <c r="H579" s="102"/>
      <c r="I579" s="102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spans="1:29" ht="21" customHeight="1">
      <c r="A580" s="17"/>
      <c r="B580" s="17"/>
      <c r="C580" s="17"/>
      <c r="D580" s="17"/>
      <c r="E580" s="17"/>
      <c r="F580" s="17"/>
      <c r="G580" s="101"/>
      <c r="H580" s="102"/>
      <c r="I580" s="102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spans="1:29" ht="21" customHeight="1">
      <c r="A581" s="17"/>
      <c r="B581" s="17"/>
      <c r="C581" s="17"/>
      <c r="D581" s="17"/>
      <c r="E581" s="17"/>
      <c r="F581" s="17"/>
      <c r="G581" s="101"/>
      <c r="H581" s="102"/>
      <c r="I581" s="102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spans="1:29" ht="21" customHeight="1">
      <c r="A582" s="17"/>
      <c r="B582" s="17"/>
      <c r="C582" s="17"/>
      <c r="D582" s="17"/>
      <c r="E582" s="17"/>
      <c r="F582" s="17"/>
      <c r="G582" s="101"/>
      <c r="H582" s="102"/>
      <c r="I582" s="102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spans="1:29" ht="21" customHeight="1">
      <c r="A583" s="17"/>
      <c r="B583" s="17"/>
      <c r="C583" s="17"/>
      <c r="D583" s="17"/>
      <c r="E583" s="17"/>
      <c r="F583" s="17"/>
      <c r="G583" s="101"/>
      <c r="H583" s="102"/>
      <c r="I583" s="102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spans="1:29" ht="21" customHeight="1">
      <c r="A584" s="17"/>
      <c r="B584" s="17"/>
      <c r="C584" s="17"/>
      <c r="D584" s="17"/>
      <c r="E584" s="17"/>
      <c r="F584" s="17"/>
      <c r="G584" s="101"/>
      <c r="H584" s="102"/>
      <c r="I584" s="102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spans="1:29" ht="21" customHeight="1">
      <c r="A585" s="17"/>
      <c r="B585" s="17"/>
      <c r="C585" s="17"/>
      <c r="D585" s="17"/>
      <c r="E585" s="17"/>
      <c r="F585" s="17"/>
      <c r="G585" s="101"/>
      <c r="H585" s="102"/>
      <c r="I585" s="102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spans="1:29" ht="21" customHeight="1">
      <c r="A586" s="17"/>
      <c r="B586" s="17"/>
      <c r="C586" s="17"/>
      <c r="D586" s="17"/>
      <c r="E586" s="17"/>
      <c r="F586" s="17"/>
      <c r="G586" s="101"/>
      <c r="H586" s="102"/>
      <c r="I586" s="102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spans="1:29" ht="21" customHeight="1">
      <c r="A587" s="17"/>
      <c r="B587" s="17"/>
      <c r="C587" s="17"/>
      <c r="D587" s="17"/>
      <c r="E587" s="17"/>
      <c r="F587" s="17"/>
      <c r="G587" s="101"/>
      <c r="H587" s="102"/>
      <c r="I587" s="102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spans="1:29" ht="21" customHeight="1">
      <c r="A588" s="17"/>
      <c r="B588" s="17"/>
      <c r="C588" s="17"/>
      <c r="D588" s="17"/>
      <c r="E588" s="17"/>
      <c r="F588" s="17"/>
      <c r="G588" s="101"/>
      <c r="H588" s="102"/>
      <c r="I588" s="102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spans="1:29" ht="21" customHeight="1">
      <c r="A589" s="17"/>
      <c r="B589" s="17"/>
      <c r="C589" s="17"/>
      <c r="D589" s="17"/>
      <c r="E589" s="17"/>
      <c r="F589" s="17"/>
      <c r="G589" s="101"/>
      <c r="H589" s="102"/>
      <c r="I589" s="102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spans="1:29" ht="21" customHeight="1">
      <c r="A590" s="17"/>
      <c r="B590" s="17"/>
      <c r="C590" s="17"/>
      <c r="D590" s="17"/>
      <c r="E590" s="17"/>
      <c r="F590" s="17"/>
      <c r="G590" s="101"/>
      <c r="H590" s="102"/>
      <c r="I590" s="102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spans="1:29" ht="21" customHeight="1">
      <c r="A591" s="17"/>
      <c r="B591" s="17"/>
      <c r="C591" s="17"/>
      <c r="D591" s="17"/>
      <c r="E591" s="17"/>
      <c r="F591" s="17"/>
      <c r="G591" s="101"/>
      <c r="H591" s="102"/>
      <c r="I591" s="102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spans="1:29" ht="21" customHeight="1">
      <c r="A592" s="17"/>
      <c r="B592" s="17"/>
      <c r="C592" s="17"/>
      <c r="D592" s="17"/>
      <c r="E592" s="17"/>
      <c r="F592" s="17"/>
      <c r="G592" s="101"/>
      <c r="H592" s="102"/>
      <c r="I592" s="102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spans="1:29" ht="21" customHeight="1">
      <c r="A593" s="17"/>
      <c r="B593" s="17"/>
      <c r="C593" s="17"/>
      <c r="D593" s="17"/>
      <c r="E593" s="17"/>
      <c r="F593" s="17"/>
      <c r="G593" s="101"/>
      <c r="H593" s="102"/>
      <c r="I593" s="102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spans="1:29" ht="21" customHeight="1">
      <c r="A594" s="17"/>
      <c r="B594" s="17"/>
      <c r="C594" s="17"/>
      <c r="D594" s="17"/>
      <c r="E594" s="17"/>
      <c r="F594" s="17"/>
      <c r="G594" s="101"/>
      <c r="H594" s="102"/>
      <c r="I594" s="102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spans="1:29" ht="21" customHeight="1">
      <c r="A595" s="17"/>
      <c r="B595" s="17"/>
      <c r="C595" s="17"/>
      <c r="D595" s="17"/>
      <c r="E595" s="17"/>
      <c r="F595" s="17"/>
      <c r="G595" s="101"/>
      <c r="H595" s="102"/>
      <c r="I595" s="102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spans="1:29" ht="21" customHeight="1">
      <c r="A596" s="17"/>
      <c r="B596" s="17"/>
      <c r="C596" s="17"/>
      <c r="D596" s="17"/>
      <c r="E596" s="17"/>
      <c r="F596" s="17"/>
      <c r="G596" s="101"/>
      <c r="H596" s="102"/>
      <c r="I596" s="102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spans="1:29" ht="21" customHeight="1">
      <c r="A597" s="17"/>
      <c r="B597" s="17"/>
      <c r="C597" s="17"/>
      <c r="D597" s="17"/>
      <c r="E597" s="17"/>
      <c r="F597" s="17"/>
      <c r="G597" s="101"/>
      <c r="H597" s="102"/>
      <c r="I597" s="102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spans="1:29" ht="21" customHeight="1">
      <c r="A598" s="17"/>
      <c r="B598" s="17"/>
      <c r="C598" s="17"/>
      <c r="D598" s="17"/>
      <c r="E598" s="17"/>
      <c r="F598" s="17"/>
      <c r="G598" s="101"/>
      <c r="H598" s="102"/>
      <c r="I598" s="102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spans="1:29" ht="21" customHeight="1">
      <c r="A599" s="17"/>
      <c r="B599" s="17"/>
      <c r="C599" s="17"/>
      <c r="D599" s="17"/>
      <c r="E599" s="17"/>
      <c r="F599" s="17"/>
      <c r="G599" s="101"/>
      <c r="H599" s="102"/>
      <c r="I599" s="102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spans="1:29" ht="21" customHeight="1">
      <c r="A600" s="17"/>
      <c r="B600" s="17"/>
      <c r="C600" s="17"/>
      <c r="D600" s="17"/>
      <c r="E600" s="17"/>
      <c r="F600" s="17"/>
      <c r="G600" s="101"/>
      <c r="H600" s="102"/>
      <c r="I600" s="102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spans="1:29" ht="21" customHeight="1">
      <c r="A601" s="17"/>
      <c r="B601" s="17"/>
      <c r="C601" s="17"/>
      <c r="D601" s="17"/>
      <c r="E601" s="17"/>
      <c r="F601" s="17"/>
      <c r="G601" s="101"/>
      <c r="H601" s="102"/>
      <c r="I601" s="102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spans="1:29" ht="21" customHeight="1">
      <c r="A602" s="17"/>
      <c r="B602" s="17"/>
      <c r="C602" s="17"/>
      <c r="D602" s="17"/>
      <c r="E602" s="17"/>
      <c r="F602" s="17"/>
      <c r="G602" s="101"/>
      <c r="H602" s="102"/>
      <c r="I602" s="102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spans="1:29" ht="21" customHeight="1">
      <c r="A603" s="17"/>
      <c r="B603" s="17"/>
      <c r="C603" s="17"/>
      <c r="D603" s="17"/>
      <c r="E603" s="17"/>
      <c r="F603" s="17"/>
      <c r="G603" s="101"/>
      <c r="H603" s="102"/>
      <c r="I603" s="102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spans="1:29" ht="21" customHeight="1">
      <c r="A604" s="17"/>
      <c r="B604" s="17"/>
      <c r="C604" s="17"/>
      <c r="D604" s="17"/>
      <c r="E604" s="17"/>
      <c r="F604" s="17"/>
      <c r="G604" s="101"/>
      <c r="H604" s="102"/>
      <c r="I604" s="102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spans="1:29" ht="21" customHeight="1">
      <c r="A605" s="17"/>
      <c r="B605" s="17"/>
      <c r="C605" s="17"/>
      <c r="D605" s="17"/>
      <c r="E605" s="17"/>
      <c r="F605" s="17"/>
      <c r="G605" s="101"/>
      <c r="H605" s="102"/>
      <c r="I605" s="102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spans="1:29" ht="21" customHeight="1">
      <c r="A606" s="17"/>
      <c r="B606" s="17"/>
      <c r="C606" s="17"/>
      <c r="D606" s="17"/>
      <c r="E606" s="17"/>
      <c r="F606" s="17"/>
      <c r="G606" s="101"/>
      <c r="H606" s="102"/>
      <c r="I606" s="102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spans="1:29" ht="21" customHeight="1">
      <c r="A607" s="17"/>
      <c r="B607" s="17"/>
      <c r="C607" s="17"/>
      <c r="D607" s="17"/>
      <c r="E607" s="17"/>
      <c r="F607" s="17"/>
      <c r="G607" s="101"/>
      <c r="H607" s="102"/>
      <c r="I607" s="102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spans="1:29" ht="21" customHeight="1">
      <c r="A608" s="17"/>
      <c r="B608" s="17"/>
      <c r="C608" s="17"/>
      <c r="D608" s="17"/>
      <c r="E608" s="17"/>
      <c r="F608" s="17"/>
      <c r="G608" s="101"/>
      <c r="H608" s="102"/>
      <c r="I608" s="102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spans="1:29" ht="21" customHeight="1">
      <c r="A609" s="17"/>
      <c r="B609" s="17"/>
      <c r="C609" s="17"/>
      <c r="D609" s="17"/>
      <c r="E609" s="17"/>
      <c r="F609" s="17"/>
      <c r="G609" s="101"/>
      <c r="H609" s="102"/>
      <c r="I609" s="102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spans="1:29" ht="21" customHeight="1">
      <c r="A610" s="17"/>
      <c r="B610" s="17"/>
      <c r="C610" s="17"/>
      <c r="D610" s="17"/>
      <c r="E610" s="17"/>
      <c r="F610" s="17"/>
      <c r="G610" s="101"/>
      <c r="H610" s="102"/>
      <c r="I610" s="102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spans="1:29" ht="21" customHeight="1">
      <c r="A611" s="17"/>
      <c r="B611" s="17"/>
      <c r="C611" s="17"/>
      <c r="D611" s="17"/>
      <c r="E611" s="17"/>
      <c r="F611" s="17"/>
      <c r="G611" s="101"/>
      <c r="H611" s="102"/>
      <c r="I611" s="102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spans="1:29" ht="21" customHeight="1">
      <c r="A612" s="17"/>
      <c r="B612" s="17"/>
      <c r="C612" s="17"/>
      <c r="D612" s="17"/>
      <c r="E612" s="17"/>
      <c r="F612" s="17"/>
      <c r="G612" s="101"/>
      <c r="H612" s="102"/>
      <c r="I612" s="102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spans="1:29" ht="21" customHeight="1">
      <c r="A613" s="17"/>
      <c r="B613" s="17"/>
      <c r="C613" s="17"/>
      <c r="D613" s="17"/>
      <c r="E613" s="17"/>
      <c r="F613" s="17"/>
      <c r="G613" s="101"/>
      <c r="H613" s="102"/>
      <c r="I613" s="102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spans="1:29" ht="21" customHeight="1">
      <c r="A614" s="17"/>
      <c r="B614" s="17"/>
      <c r="C614" s="17"/>
      <c r="D614" s="17"/>
      <c r="E614" s="17"/>
      <c r="F614" s="17"/>
      <c r="G614" s="101"/>
      <c r="H614" s="102"/>
      <c r="I614" s="102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spans="1:29" ht="21" customHeight="1">
      <c r="A615" s="17"/>
      <c r="B615" s="17"/>
      <c r="C615" s="17"/>
      <c r="D615" s="17"/>
      <c r="E615" s="17"/>
      <c r="F615" s="17"/>
      <c r="G615" s="101"/>
      <c r="H615" s="102"/>
      <c r="I615" s="102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spans="1:29" ht="21" customHeight="1">
      <c r="A616" s="17"/>
      <c r="B616" s="17"/>
      <c r="C616" s="17"/>
      <c r="D616" s="17"/>
      <c r="E616" s="17"/>
      <c r="F616" s="17"/>
      <c r="G616" s="101"/>
      <c r="H616" s="102"/>
      <c r="I616" s="102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spans="1:29" ht="21" customHeight="1">
      <c r="A617" s="17"/>
      <c r="B617" s="17"/>
      <c r="C617" s="17"/>
      <c r="D617" s="17"/>
      <c r="E617" s="17"/>
      <c r="F617" s="17"/>
      <c r="G617" s="101"/>
      <c r="H617" s="102"/>
      <c r="I617" s="102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21" customHeight="1">
      <c r="A618" s="17"/>
      <c r="B618" s="17"/>
      <c r="C618" s="17"/>
      <c r="D618" s="17"/>
      <c r="E618" s="17"/>
      <c r="F618" s="17"/>
      <c r="G618" s="101"/>
      <c r="H618" s="102"/>
      <c r="I618" s="102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 ht="21" customHeight="1">
      <c r="A619" s="17"/>
      <c r="B619" s="17"/>
      <c r="C619" s="17"/>
      <c r="D619" s="17"/>
      <c r="E619" s="17"/>
      <c r="F619" s="17"/>
      <c r="G619" s="101"/>
      <c r="H619" s="102"/>
      <c r="I619" s="102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spans="1:29" ht="21" customHeight="1">
      <c r="A620" s="17"/>
      <c r="B620" s="17"/>
      <c r="C620" s="17"/>
      <c r="D620" s="17"/>
      <c r="E620" s="17"/>
      <c r="F620" s="17"/>
      <c r="G620" s="101"/>
      <c r="H620" s="102"/>
      <c r="I620" s="102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spans="1:29" ht="21" customHeight="1">
      <c r="A621" s="17"/>
      <c r="B621" s="17"/>
      <c r="C621" s="17"/>
      <c r="D621" s="17"/>
      <c r="E621" s="17"/>
      <c r="F621" s="17"/>
      <c r="G621" s="101"/>
      <c r="H621" s="102"/>
      <c r="I621" s="102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spans="1:29" ht="21" customHeight="1">
      <c r="A622" s="17"/>
      <c r="B622" s="17"/>
      <c r="C622" s="17"/>
      <c r="D622" s="17"/>
      <c r="E622" s="17"/>
      <c r="F622" s="17"/>
      <c r="G622" s="101"/>
      <c r="H622" s="102"/>
      <c r="I622" s="102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spans="1:29" ht="21" customHeight="1">
      <c r="A623" s="17"/>
      <c r="B623" s="17"/>
      <c r="C623" s="17"/>
      <c r="D623" s="17"/>
      <c r="E623" s="17"/>
      <c r="F623" s="17"/>
      <c r="G623" s="101"/>
      <c r="H623" s="102"/>
      <c r="I623" s="102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spans="1:29" ht="21" customHeight="1">
      <c r="A624" s="17"/>
      <c r="B624" s="17"/>
      <c r="C624" s="17"/>
      <c r="D624" s="17"/>
      <c r="E624" s="17"/>
      <c r="F624" s="17"/>
      <c r="G624" s="101"/>
      <c r="H624" s="102"/>
      <c r="I624" s="102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spans="1:29" ht="21" customHeight="1">
      <c r="A625" s="17"/>
      <c r="B625" s="17"/>
      <c r="C625" s="17"/>
      <c r="D625" s="17"/>
      <c r="E625" s="17"/>
      <c r="F625" s="17"/>
      <c r="G625" s="101"/>
      <c r="H625" s="102"/>
      <c r="I625" s="102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spans="1:29" ht="21" customHeight="1">
      <c r="A626" s="17"/>
      <c r="B626" s="17"/>
      <c r="C626" s="17"/>
      <c r="D626" s="17"/>
      <c r="E626" s="17"/>
      <c r="F626" s="17"/>
      <c r="G626" s="101"/>
      <c r="H626" s="102"/>
      <c r="I626" s="102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spans="1:29" ht="21" customHeight="1">
      <c r="A627" s="17"/>
      <c r="B627" s="17"/>
      <c r="C627" s="17"/>
      <c r="D627" s="17"/>
      <c r="E627" s="17"/>
      <c r="F627" s="17"/>
      <c r="G627" s="101"/>
      <c r="H627" s="102"/>
      <c r="I627" s="102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spans="1:29" ht="21" customHeight="1">
      <c r="A628" s="17"/>
      <c r="B628" s="17"/>
      <c r="C628" s="17"/>
      <c r="D628" s="17"/>
      <c r="E628" s="17"/>
      <c r="F628" s="17"/>
      <c r="G628" s="101"/>
      <c r="H628" s="102"/>
      <c r="I628" s="102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spans="1:29" ht="21" customHeight="1">
      <c r="A629" s="17"/>
      <c r="B629" s="17"/>
      <c r="C629" s="17"/>
      <c r="D629" s="17"/>
      <c r="E629" s="17"/>
      <c r="F629" s="17"/>
      <c r="G629" s="101"/>
      <c r="H629" s="102"/>
      <c r="I629" s="102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spans="1:29" ht="21" customHeight="1">
      <c r="A630" s="17"/>
      <c r="B630" s="17"/>
      <c r="C630" s="17"/>
      <c r="D630" s="17"/>
      <c r="E630" s="17"/>
      <c r="F630" s="17"/>
      <c r="G630" s="101"/>
      <c r="H630" s="102"/>
      <c r="I630" s="102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spans="1:29" ht="21" customHeight="1">
      <c r="A631" s="17"/>
      <c r="B631" s="17"/>
      <c r="C631" s="17"/>
      <c r="D631" s="17"/>
      <c r="E631" s="17"/>
      <c r="F631" s="17"/>
      <c r="G631" s="101"/>
      <c r="H631" s="102"/>
      <c r="I631" s="102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spans="1:29" ht="21" customHeight="1">
      <c r="A632" s="17"/>
      <c r="B632" s="17"/>
      <c r="C632" s="17"/>
      <c r="D632" s="17"/>
      <c r="E632" s="17"/>
      <c r="F632" s="17"/>
      <c r="G632" s="101"/>
      <c r="H632" s="102"/>
      <c r="I632" s="102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spans="1:29" ht="21" customHeight="1">
      <c r="A633" s="17"/>
      <c r="B633" s="17"/>
      <c r="C633" s="17"/>
      <c r="D633" s="17"/>
      <c r="E633" s="17"/>
      <c r="F633" s="17"/>
      <c r="G633" s="101"/>
      <c r="H633" s="102"/>
      <c r="I633" s="102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spans="1:29" ht="21" customHeight="1">
      <c r="A634" s="17"/>
      <c r="B634" s="17"/>
      <c r="C634" s="17"/>
      <c r="D634" s="17"/>
      <c r="E634" s="17"/>
      <c r="F634" s="17"/>
      <c r="G634" s="101"/>
      <c r="H634" s="102"/>
      <c r="I634" s="102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spans="1:29" ht="21" customHeight="1">
      <c r="A635" s="17"/>
      <c r="B635" s="17"/>
      <c r="C635" s="17"/>
      <c r="D635" s="17"/>
      <c r="E635" s="17"/>
      <c r="F635" s="17"/>
      <c r="G635" s="101"/>
      <c r="H635" s="102"/>
      <c r="I635" s="102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 ht="21" customHeight="1">
      <c r="A636" s="17"/>
      <c r="B636" s="17"/>
      <c r="C636" s="17"/>
      <c r="D636" s="17"/>
      <c r="E636" s="17"/>
      <c r="F636" s="17"/>
      <c r="G636" s="101"/>
      <c r="H636" s="102"/>
      <c r="I636" s="102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spans="1:29" ht="21" customHeight="1">
      <c r="A637" s="17"/>
      <c r="B637" s="17"/>
      <c r="C637" s="17"/>
      <c r="D637" s="17"/>
      <c r="E637" s="17"/>
      <c r="F637" s="17"/>
      <c r="G637" s="101"/>
      <c r="H637" s="102"/>
      <c r="I637" s="102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spans="1:29" ht="21" customHeight="1">
      <c r="A638" s="17"/>
      <c r="B638" s="17"/>
      <c r="C638" s="17"/>
      <c r="D638" s="17"/>
      <c r="E638" s="17"/>
      <c r="F638" s="17"/>
      <c r="G638" s="101"/>
      <c r="H638" s="102"/>
      <c r="I638" s="102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spans="1:29" ht="21" customHeight="1">
      <c r="A639" s="17"/>
      <c r="B639" s="17"/>
      <c r="C639" s="17"/>
      <c r="D639" s="17"/>
      <c r="E639" s="17"/>
      <c r="F639" s="17"/>
      <c r="G639" s="101"/>
      <c r="H639" s="102"/>
      <c r="I639" s="102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spans="1:29" ht="21" customHeight="1">
      <c r="A640" s="17"/>
      <c r="B640" s="17"/>
      <c r="C640" s="17"/>
      <c r="D640" s="17"/>
      <c r="E640" s="17"/>
      <c r="F640" s="17"/>
      <c r="G640" s="101"/>
      <c r="H640" s="102"/>
      <c r="I640" s="102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spans="1:29" ht="21" customHeight="1">
      <c r="A641" s="17"/>
      <c r="B641" s="17"/>
      <c r="C641" s="17"/>
      <c r="D641" s="17"/>
      <c r="E641" s="17"/>
      <c r="F641" s="17"/>
      <c r="G641" s="101"/>
      <c r="H641" s="102"/>
      <c r="I641" s="102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spans="1:29" ht="21" customHeight="1">
      <c r="A642" s="17"/>
      <c r="B642" s="17"/>
      <c r="C642" s="17"/>
      <c r="D642" s="17"/>
      <c r="E642" s="17"/>
      <c r="F642" s="17"/>
      <c r="G642" s="101"/>
      <c r="H642" s="102"/>
      <c r="I642" s="102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spans="1:29" ht="21" customHeight="1">
      <c r="A643" s="17"/>
      <c r="B643" s="17"/>
      <c r="C643" s="17"/>
      <c r="D643" s="17"/>
      <c r="E643" s="17"/>
      <c r="F643" s="17"/>
      <c r="G643" s="101"/>
      <c r="H643" s="102"/>
      <c r="I643" s="102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spans="1:29" ht="21" customHeight="1">
      <c r="A644" s="17"/>
      <c r="B644" s="17"/>
      <c r="C644" s="17"/>
      <c r="D644" s="17"/>
      <c r="E644" s="17"/>
      <c r="F644" s="17"/>
      <c r="G644" s="101"/>
      <c r="H644" s="102"/>
      <c r="I644" s="102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spans="1:29" ht="21" customHeight="1">
      <c r="A645" s="17"/>
      <c r="B645" s="17"/>
      <c r="C645" s="17"/>
      <c r="D645" s="17"/>
      <c r="E645" s="17"/>
      <c r="F645" s="17"/>
      <c r="G645" s="101"/>
      <c r="H645" s="102"/>
      <c r="I645" s="102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spans="1:29" ht="21" customHeight="1">
      <c r="A646" s="17"/>
      <c r="B646" s="17"/>
      <c r="C646" s="17"/>
      <c r="D646" s="17"/>
      <c r="E646" s="17"/>
      <c r="F646" s="17"/>
      <c r="G646" s="101"/>
      <c r="H646" s="102"/>
      <c r="I646" s="102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spans="1:29" ht="21" customHeight="1">
      <c r="A647" s="17"/>
      <c r="B647" s="17"/>
      <c r="C647" s="17"/>
      <c r="D647" s="17"/>
      <c r="E647" s="17"/>
      <c r="F647" s="17"/>
      <c r="G647" s="101"/>
      <c r="H647" s="102"/>
      <c r="I647" s="102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spans="1:29" ht="21" customHeight="1">
      <c r="A648" s="17"/>
      <c r="B648" s="17"/>
      <c r="C648" s="17"/>
      <c r="D648" s="17"/>
      <c r="E648" s="17"/>
      <c r="F648" s="17"/>
      <c r="G648" s="101"/>
      <c r="H648" s="102"/>
      <c r="I648" s="102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spans="1:29" ht="21" customHeight="1">
      <c r="A649" s="17"/>
      <c r="B649" s="17"/>
      <c r="C649" s="17"/>
      <c r="D649" s="17"/>
      <c r="E649" s="17"/>
      <c r="F649" s="17"/>
      <c r="G649" s="101"/>
      <c r="H649" s="102"/>
      <c r="I649" s="102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spans="1:29" ht="21" customHeight="1">
      <c r="A650" s="17"/>
      <c r="B650" s="17"/>
      <c r="C650" s="17"/>
      <c r="D650" s="17"/>
      <c r="E650" s="17"/>
      <c r="F650" s="17"/>
      <c r="G650" s="101"/>
      <c r="H650" s="102"/>
      <c r="I650" s="102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spans="1:29" ht="21" customHeight="1">
      <c r="A651" s="17"/>
      <c r="B651" s="17"/>
      <c r="C651" s="17"/>
      <c r="D651" s="17"/>
      <c r="E651" s="17"/>
      <c r="F651" s="17"/>
      <c r="G651" s="101"/>
      <c r="H651" s="102"/>
      <c r="I651" s="102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spans="1:29" ht="21" customHeight="1">
      <c r="A652" s="17"/>
      <c r="B652" s="17"/>
      <c r="C652" s="17"/>
      <c r="D652" s="17"/>
      <c r="E652" s="17"/>
      <c r="F652" s="17"/>
      <c r="G652" s="101"/>
      <c r="H652" s="102"/>
      <c r="I652" s="102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spans="1:29" ht="21" customHeight="1">
      <c r="A653" s="17"/>
      <c r="B653" s="17"/>
      <c r="C653" s="17"/>
      <c r="D653" s="17"/>
      <c r="E653" s="17"/>
      <c r="F653" s="17"/>
      <c r="G653" s="101"/>
      <c r="H653" s="102"/>
      <c r="I653" s="102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spans="1:29" ht="21" customHeight="1">
      <c r="A654" s="17"/>
      <c r="B654" s="17"/>
      <c r="C654" s="17"/>
      <c r="D654" s="17"/>
      <c r="E654" s="17"/>
      <c r="F654" s="17"/>
      <c r="G654" s="101"/>
      <c r="H654" s="102"/>
      <c r="I654" s="102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spans="1:29" ht="21" customHeight="1">
      <c r="A655" s="17"/>
      <c r="B655" s="17"/>
      <c r="C655" s="17"/>
      <c r="D655" s="17"/>
      <c r="E655" s="17"/>
      <c r="F655" s="17"/>
      <c r="G655" s="101"/>
      <c r="H655" s="102"/>
      <c r="I655" s="102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spans="1:29" ht="21" customHeight="1">
      <c r="A656" s="17"/>
      <c r="B656" s="17"/>
      <c r="C656" s="17"/>
      <c r="D656" s="17"/>
      <c r="E656" s="17"/>
      <c r="F656" s="17"/>
      <c r="G656" s="101"/>
      <c r="H656" s="102"/>
      <c r="I656" s="102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spans="1:29" ht="21" customHeight="1">
      <c r="A657" s="17"/>
      <c r="B657" s="17"/>
      <c r="C657" s="17"/>
      <c r="D657" s="17"/>
      <c r="E657" s="17"/>
      <c r="F657" s="17"/>
      <c r="G657" s="101"/>
      <c r="H657" s="102"/>
      <c r="I657" s="102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spans="1:29" ht="21" customHeight="1">
      <c r="A658" s="17"/>
      <c r="B658" s="17"/>
      <c r="C658" s="17"/>
      <c r="D658" s="17"/>
      <c r="E658" s="17"/>
      <c r="F658" s="17"/>
      <c r="G658" s="101"/>
      <c r="H658" s="102"/>
      <c r="I658" s="102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spans="1:29" ht="21" customHeight="1">
      <c r="A659" s="17"/>
      <c r="B659" s="17"/>
      <c r="C659" s="17"/>
      <c r="D659" s="17"/>
      <c r="E659" s="17"/>
      <c r="F659" s="17"/>
      <c r="G659" s="101"/>
      <c r="H659" s="102"/>
      <c r="I659" s="102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spans="1:29" ht="21" customHeight="1">
      <c r="A660" s="17"/>
      <c r="B660" s="17"/>
      <c r="C660" s="17"/>
      <c r="D660" s="17"/>
      <c r="E660" s="17"/>
      <c r="F660" s="17"/>
      <c r="G660" s="101"/>
      <c r="H660" s="102"/>
      <c r="I660" s="102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spans="1:29" ht="21" customHeight="1">
      <c r="A661" s="17"/>
      <c r="B661" s="17"/>
      <c r="C661" s="17"/>
      <c r="D661" s="17"/>
      <c r="E661" s="17"/>
      <c r="F661" s="17"/>
      <c r="G661" s="101"/>
      <c r="H661" s="102"/>
      <c r="I661" s="102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spans="1:29" ht="21" customHeight="1">
      <c r="A662" s="17"/>
      <c r="B662" s="17"/>
      <c r="C662" s="17"/>
      <c r="D662" s="17"/>
      <c r="E662" s="17"/>
      <c r="F662" s="17"/>
      <c r="G662" s="101"/>
      <c r="H662" s="102"/>
      <c r="I662" s="102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spans="1:29" ht="21" customHeight="1">
      <c r="A663" s="17"/>
      <c r="B663" s="17"/>
      <c r="C663" s="17"/>
      <c r="D663" s="17"/>
      <c r="E663" s="17"/>
      <c r="F663" s="17"/>
      <c r="G663" s="101"/>
      <c r="H663" s="102"/>
      <c r="I663" s="102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spans="1:29" ht="21" customHeight="1">
      <c r="A664" s="17"/>
      <c r="B664" s="17"/>
      <c r="C664" s="17"/>
      <c r="D664" s="17"/>
      <c r="E664" s="17"/>
      <c r="F664" s="17"/>
      <c r="G664" s="101"/>
      <c r="H664" s="102"/>
      <c r="I664" s="102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spans="1:29" ht="21" customHeight="1">
      <c r="A665" s="17"/>
      <c r="B665" s="17"/>
      <c r="C665" s="17"/>
      <c r="D665" s="17"/>
      <c r="E665" s="17"/>
      <c r="F665" s="17"/>
      <c r="G665" s="101"/>
      <c r="H665" s="102"/>
      <c r="I665" s="102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spans="1:29" ht="21" customHeight="1">
      <c r="A666" s="17"/>
      <c r="B666" s="17"/>
      <c r="C666" s="17"/>
      <c r="D666" s="17"/>
      <c r="E666" s="17"/>
      <c r="F666" s="17"/>
      <c r="G666" s="101"/>
      <c r="H666" s="102"/>
      <c r="I666" s="102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spans="1:29" ht="21" customHeight="1">
      <c r="A667" s="17"/>
      <c r="B667" s="17"/>
      <c r="C667" s="17"/>
      <c r="D667" s="17"/>
      <c r="E667" s="17"/>
      <c r="F667" s="17"/>
      <c r="G667" s="101"/>
      <c r="H667" s="102"/>
      <c r="I667" s="102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spans="1:29" ht="21" customHeight="1">
      <c r="A668" s="17"/>
      <c r="B668" s="17"/>
      <c r="C668" s="17"/>
      <c r="D668" s="17"/>
      <c r="E668" s="17"/>
      <c r="F668" s="17"/>
      <c r="G668" s="101"/>
      <c r="H668" s="102"/>
      <c r="I668" s="102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spans="1:29" ht="21" customHeight="1">
      <c r="A669" s="17"/>
      <c r="B669" s="17"/>
      <c r="C669" s="17"/>
      <c r="D669" s="17"/>
      <c r="E669" s="17"/>
      <c r="F669" s="17"/>
      <c r="G669" s="101"/>
      <c r="H669" s="102"/>
      <c r="I669" s="102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spans="1:29" ht="21" customHeight="1">
      <c r="A670" s="17"/>
      <c r="B670" s="17"/>
      <c r="C670" s="17"/>
      <c r="D670" s="17"/>
      <c r="E670" s="17"/>
      <c r="F670" s="17"/>
      <c r="G670" s="101"/>
      <c r="H670" s="102"/>
      <c r="I670" s="102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spans="1:29" ht="21" customHeight="1">
      <c r="A671" s="17"/>
      <c r="B671" s="17"/>
      <c r="C671" s="17"/>
      <c r="D671" s="17"/>
      <c r="E671" s="17"/>
      <c r="F671" s="17"/>
      <c r="G671" s="101"/>
      <c r="H671" s="102"/>
      <c r="I671" s="102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21" customHeight="1">
      <c r="A672" s="17"/>
      <c r="B672" s="17"/>
      <c r="C672" s="17"/>
      <c r="D672" s="17"/>
      <c r="E672" s="17"/>
      <c r="F672" s="17"/>
      <c r="G672" s="101"/>
      <c r="H672" s="102"/>
      <c r="I672" s="102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 ht="21" customHeight="1">
      <c r="A673" s="17"/>
      <c r="B673" s="17"/>
      <c r="C673" s="17"/>
      <c r="D673" s="17"/>
      <c r="E673" s="17"/>
      <c r="F673" s="17"/>
      <c r="G673" s="101"/>
      <c r="H673" s="102"/>
      <c r="I673" s="102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spans="1:29" ht="21" customHeight="1">
      <c r="A674" s="17"/>
      <c r="B674" s="17"/>
      <c r="C674" s="17"/>
      <c r="D674" s="17"/>
      <c r="E674" s="17"/>
      <c r="F674" s="17"/>
      <c r="G674" s="101"/>
      <c r="H674" s="102"/>
      <c r="I674" s="102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spans="1:29" ht="21" customHeight="1">
      <c r="A675" s="17"/>
      <c r="B675" s="17"/>
      <c r="C675" s="17"/>
      <c r="D675" s="17"/>
      <c r="E675" s="17"/>
      <c r="F675" s="17"/>
      <c r="G675" s="101"/>
      <c r="H675" s="102"/>
      <c r="I675" s="102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spans="1:29" ht="21" customHeight="1">
      <c r="A676" s="17"/>
      <c r="B676" s="17"/>
      <c r="C676" s="17"/>
      <c r="D676" s="17"/>
      <c r="E676" s="17"/>
      <c r="F676" s="17"/>
      <c r="G676" s="101"/>
      <c r="H676" s="102"/>
      <c r="I676" s="102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spans="1:29" ht="21" customHeight="1">
      <c r="A677" s="17"/>
      <c r="B677" s="17"/>
      <c r="C677" s="17"/>
      <c r="D677" s="17"/>
      <c r="E677" s="17"/>
      <c r="F677" s="17"/>
      <c r="G677" s="101"/>
      <c r="H677" s="102"/>
      <c r="I677" s="102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spans="1:29" ht="21" customHeight="1">
      <c r="A678" s="17"/>
      <c r="B678" s="17"/>
      <c r="C678" s="17"/>
      <c r="D678" s="17"/>
      <c r="E678" s="17"/>
      <c r="F678" s="17"/>
      <c r="G678" s="101"/>
      <c r="H678" s="102"/>
      <c r="I678" s="102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spans="1:29" ht="21" customHeight="1">
      <c r="A679" s="17"/>
      <c r="B679" s="17"/>
      <c r="C679" s="17"/>
      <c r="D679" s="17"/>
      <c r="E679" s="17"/>
      <c r="F679" s="17"/>
      <c r="G679" s="101"/>
      <c r="H679" s="102"/>
      <c r="I679" s="102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spans="1:29" ht="21" customHeight="1">
      <c r="A680" s="17"/>
      <c r="B680" s="17"/>
      <c r="C680" s="17"/>
      <c r="D680" s="17"/>
      <c r="E680" s="17"/>
      <c r="F680" s="17"/>
      <c r="G680" s="101"/>
      <c r="H680" s="102"/>
      <c r="I680" s="102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spans="1:29" ht="21" customHeight="1">
      <c r="A681" s="17"/>
      <c r="B681" s="17"/>
      <c r="C681" s="17"/>
      <c r="D681" s="17"/>
      <c r="E681" s="17"/>
      <c r="F681" s="17"/>
      <c r="G681" s="101"/>
      <c r="H681" s="102"/>
      <c r="I681" s="102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spans="1:29" ht="21" customHeight="1">
      <c r="A682" s="17"/>
      <c r="B682" s="17"/>
      <c r="C682" s="17"/>
      <c r="D682" s="17"/>
      <c r="E682" s="17"/>
      <c r="F682" s="17"/>
      <c r="G682" s="101"/>
      <c r="H682" s="102"/>
      <c r="I682" s="102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spans="1:29" ht="21" customHeight="1">
      <c r="A683" s="17"/>
      <c r="B683" s="17"/>
      <c r="C683" s="17"/>
      <c r="D683" s="17"/>
      <c r="E683" s="17"/>
      <c r="F683" s="17"/>
      <c r="G683" s="101"/>
      <c r="H683" s="102"/>
      <c r="I683" s="102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spans="1:29" ht="21" customHeight="1">
      <c r="A684" s="17"/>
      <c r="B684" s="17"/>
      <c r="C684" s="17"/>
      <c r="D684" s="17"/>
      <c r="E684" s="17"/>
      <c r="F684" s="17"/>
      <c r="G684" s="101"/>
      <c r="H684" s="102"/>
      <c r="I684" s="102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spans="1:29" ht="21" customHeight="1">
      <c r="A685" s="17"/>
      <c r="B685" s="17"/>
      <c r="C685" s="17"/>
      <c r="D685" s="17"/>
      <c r="E685" s="17"/>
      <c r="F685" s="17"/>
      <c r="G685" s="101"/>
      <c r="H685" s="102"/>
      <c r="I685" s="102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spans="1:29" ht="21" customHeight="1">
      <c r="A686" s="17"/>
      <c r="B686" s="17"/>
      <c r="C686" s="17"/>
      <c r="D686" s="17"/>
      <c r="E686" s="17"/>
      <c r="F686" s="17"/>
      <c r="G686" s="101"/>
      <c r="H686" s="102"/>
      <c r="I686" s="102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spans="1:29" ht="21" customHeight="1">
      <c r="A687" s="17"/>
      <c r="B687" s="17"/>
      <c r="C687" s="17"/>
      <c r="D687" s="17"/>
      <c r="E687" s="17"/>
      <c r="F687" s="17"/>
      <c r="G687" s="101"/>
      <c r="H687" s="102"/>
      <c r="I687" s="102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spans="1:29" ht="21" customHeight="1">
      <c r="A688" s="17"/>
      <c r="B688" s="17"/>
      <c r="C688" s="17"/>
      <c r="D688" s="17"/>
      <c r="E688" s="17"/>
      <c r="F688" s="17"/>
      <c r="G688" s="101"/>
      <c r="H688" s="102"/>
      <c r="I688" s="102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spans="1:29" ht="21" customHeight="1">
      <c r="A689" s="17"/>
      <c r="B689" s="17"/>
      <c r="C689" s="17"/>
      <c r="D689" s="17"/>
      <c r="E689" s="17"/>
      <c r="F689" s="17"/>
      <c r="G689" s="101"/>
      <c r="H689" s="102"/>
      <c r="I689" s="102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spans="1:29" ht="21" customHeight="1">
      <c r="A690" s="17"/>
      <c r="B690" s="17"/>
      <c r="C690" s="17"/>
      <c r="D690" s="17"/>
      <c r="E690" s="17"/>
      <c r="F690" s="17"/>
      <c r="G690" s="101"/>
      <c r="H690" s="102"/>
      <c r="I690" s="102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spans="1:29" ht="21" customHeight="1">
      <c r="A691" s="17"/>
      <c r="B691" s="17"/>
      <c r="C691" s="17"/>
      <c r="D691" s="17"/>
      <c r="E691" s="17"/>
      <c r="F691" s="17"/>
      <c r="G691" s="101"/>
      <c r="H691" s="102"/>
      <c r="I691" s="102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spans="1:29" ht="21" customHeight="1">
      <c r="A692" s="17"/>
      <c r="B692" s="17"/>
      <c r="C692" s="17"/>
      <c r="D692" s="17"/>
      <c r="E692" s="17"/>
      <c r="F692" s="17"/>
      <c r="G692" s="101"/>
      <c r="H692" s="102"/>
      <c r="I692" s="102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spans="1:29" ht="21" customHeight="1">
      <c r="A693" s="17"/>
      <c r="B693" s="17"/>
      <c r="C693" s="17"/>
      <c r="D693" s="17"/>
      <c r="E693" s="17"/>
      <c r="F693" s="17"/>
      <c r="G693" s="101"/>
      <c r="H693" s="102"/>
      <c r="I693" s="102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spans="1:29" ht="21" customHeight="1">
      <c r="A694" s="17"/>
      <c r="B694" s="17"/>
      <c r="C694" s="17"/>
      <c r="D694" s="17"/>
      <c r="E694" s="17"/>
      <c r="F694" s="17"/>
      <c r="G694" s="101"/>
      <c r="H694" s="102"/>
      <c r="I694" s="102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 ht="21" customHeight="1">
      <c r="A695" s="17"/>
      <c r="B695" s="17"/>
      <c r="C695" s="17"/>
      <c r="D695" s="17"/>
      <c r="E695" s="17"/>
      <c r="F695" s="17"/>
      <c r="G695" s="101"/>
      <c r="H695" s="102"/>
      <c r="I695" s="102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spans="1:29" ht="21" customHeight="1">
      <c r="A696" s="17"/>
      <c r="B696" s="17"/>
      <c r="C696" s="17"/>
      <c r="D696" s="17"/>
      <c r="E696" s="17"/>
      <c r="F696" s="17"/>
      <c r="G696" s="101"/>
      <c r="H696" s="102"/>
      <c r="I696" s="102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spans="1:29" ht="21" customHeight="1">
      <c r="A697" s="17"/>
      <c r="B697" s="17"/>
      <c r="C697" s="17"/>
      <c r="D697" s="17"/>
      <c r="E697" s="17"/>
      <c r="F697" s="17"/>
      <c r="G697" s="101"/>
      <c r="H697" s="102"/>
      <c r="I697" s="102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spans="1:29" ht="21" customHeight="1">
      <c r="A698" s="17"/>
      <c r="B698" s="17"/>
      <c r="C698" s="17"/>
      <c r="D698" s="17"/>
      <c r="E698" s="17"/>
      <c r="F698" s="17"/>
      <c r="G698" s="101"/>
      <c r="H698" s="102"/>
      <c r="I698" s="102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spans="1:29" ht="21" customHeight="1">
      <c r="A699" s="17"/>
      <c r="B699" s="17"/>
      <c r="C699" s="17"/>
      <c r="D699" s="17"/>
      <c r="E699" s="17"/>
      <c r="F699" s="17"/>
      <c r="G699" s="101"/>
      <c r="H699" s="102"/>
      <c r="I699" s="102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spans="1:29" ht="21" customHeight="1">
      <c r="A700" s="17"/>
      <c r="B700" s="17"/>
      <c r="C700" s="17"/>
      <c r="D700" s="17"/>
      <c r="E700" s="17"/>
      <c r="F700" s="17"/>
      <c r="G700" s="101"/>
      <c r="H700" s="102"/>
      <c r="I700" s="102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spans="1:29" ht="21" customHeight="1">
      <c r="A701" s="17"/>
      <c r="B701" s="17"/>
      <c r="C701" s="17"/>
      <c r="D701" s="17"/>
      <c r="E701" s="17"/>
      <c r="F701" s="17"/>
      <c r="G701" s="101"/>
      <c r="H701" s="102"/>
      <c r="I701" s="102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spans="1:29" ht="21" customHeight="1">
      <c r="A702" s="17"/>
      <c r="B702" s="17"/>
      <c r="C702" s="17"/>
      <c r="D702" s="17"/>
      <c r="E702" s="17"/>
      <c r="F702" s="17"/>
      <c r="G702" s="101"/>
      <c r="H702" s="102"/>
      <c r="I702" s="102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spans="1:29" ht="21" customHeight="1">
      <c r="A703" s="17"/>
      <c r="B703" s="17"/>
      <c r="C703" s="17"/>
      <c r="D703" s="17"/>
      <c r="E703" s="17"/>
      <c r="F703" s="17"/>
      <c r="G703" s="101"/>
      <c r="H703" s="102"/>
      <c r="I703" s="102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spans="1:29" ht="21" customHeight="1">
      <c r="A704" s="17"/>
      <c r="B704" s="17"/>
      <c r="C704" s="17"/>
      <c r="D704" s="17"/>
      <c r="E704" s="17"/>
      <c r="F704" s="17"/>
      <c r="G704" s="101"/>
      <c r="H704" s="102"/>
      <c r="I704" s="102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spans="1:29" ht="21" customHeight="1">
      <c r="A705" s="17"/>
      <c r="B705" s="17"/>
      <c r="C705" s="17"/>
      <c r="D705" s="17"/>
      <c r="E705" s="17"/>
      <c r="F705" s="17"/>
      <c r="G705" s="101"/>
      <c r="H705" s="102"/>
      <c r="I705" s="102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spans="1:29" ht="21" customHeight="1">
      <c r="A706" s="17"/>
      <c r="B706" s="17"/>
      <c r="C706" s="17"/>
      <c r="D706" s="17"/>
      <c r="E706" s="17"/>
      <c r="F706" s="17"/>
      <c r="G706" s="101"/>
      <c r="H706" s="102"/>
      <c r="I706" s="102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spans="1:29" ht="21" customHeight="1">
      <c r="A707" s="17"/>
      <c r="B707" s="17"/>
      <c r="C707" s="17"/>
      <c r="D707" s="17"/>
      <c r="E707" s="17"/>
      <c r="F707" s="17"/>
      <c r="G707" s="101"/>
      <c r="H707" s="102"/>
      <c r="I707" s="102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spans="1:29" ht="21" customHeight="1">
      <c r="A708" s="17"/>
      <c r="B708" s="17"/>
      <c r="C708" s="17"/>
      <c r="D708" s="17"/>
      <c r="E708" s="17"/>
      <c r="F708" s="17"/>
      <c r="G708" s="101"/>
      <c r="H708" s="102"/>
      <c r="I708" s="102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spans="1:29" ht="21" customHeight="1">
      <c r="A709" s="17"/>
      <c r="B709" s="17"/>
      <c r="C709" s="17"/>
      <c r="D709" s="17"/>
      <c r="E709" s="17"/>
      <c r="F709" s="17"/>
      <c r="G709" s="101"/>
      <c r="H709" s="102"/>
      <c r="I709" s="102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spans="1:29" ht="21" customHeight="1">
      <c r="A710" s="17"/>
      <c r="B710" s="17"/>
      <c r="C710" s="17"/>
      <c r="D710" s="17"/>
      <c r="E710" s="17"/>
      <c r="F710" s="17"/>
      <c r="G710" s="101"/>
      <c r="H710" s="102"/>
      <c r="I710" s="102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spans="1:29" ht="21" customHeight="1">
      <c r="A711" s="17"/>
      <c r="B711" s="17"/>
      <c r="C711" s="17"/>
      <c r="D711" s="17"/>
      <c r="E711" s="17"/>
      <c r="F711" s="17"/>
      <c r="G711" s="101"/>
      <c r="H711" s="102"/>
      <c r="I711" s="102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spans="1:29" ht="21" customHeight="1">
      <c r="A712" s="17"/>
      <c r="B712" s="17"/>
      <c r="C712" s="17"/>
      <c r="D712" s="17"/>
      <c r="E712" s="17"/>
      <c r="F712" s="17"/>
      <c r="G712" s="101"/>
      <c r="H712" s="102"/>
      <c r="I712" s="102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spans="1:29" ht="21" customHeight="1">
      <c r="A713" s="17"/>
      <c r="B713" s="17"/>
      <c r="C713" s="17"/>
      <c r="D713" s="17"/>
      <c r="E713" s="17"/>
      <c r="F713" s="17"/>
      <c r="G713" s="101"/>
      <c r="H713" s="102"/>
      <c r="I713" s="102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spans="1:29" ht="21" customHeight="1">
      <c r="A714" s="17"/>
      <c r="B714" s="17"/>
      <c r="C714" s="17"/>
      <c r="D714" s="17"/>
      <c r="E714" s="17"/>
      <c r="F714" s="17"/>
      <c r="G714" s="101"/>
      <c r="H714" s="102"/>
      <c r="I714" s="102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spans="1:29" ht="21" customHeight="1">
      <c r="A715" s="17"/>
      <c r="B715" s="17"/>
      <c r="C715" s="17"/>
      <c r="D715" s="17"/>
      <c r="E715" s="17"/>
      <c r="F715" s="17"/>
      <c r="G715" s="101"/>
      <c r="H715" s="102"/>
      <c r="I715" s="102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spans="1:29" ht="21" customHeight="1">
      <c r="A716" s="17"/>
      <c r="B716" s="17"/>
      <c r="C716" s="17"/>
      <c r="D716" s="17"/>
      <c r="E716" s="17"/>
      <c r="F716" s="17"/>
      <c r="G716" s="101"/>
      <c r="H716" s="102"/>
      <c r="I716" s="102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spans="1:29" ht="21" customHeight="1">
      <c r="A717" s="17"/>
      <c r="B717" s="17"/>
      <c r="C717" s="17"/>
      <c r="D717" s="17"/>
      <c r="E717" s="17"/>
      <c r="F717" s="17"/>
      <c r="G717" s="101"/>
      <c r="H717" s="102"/>
      <c r="I717" s="102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spans="1:29" ht="21" customHeight="1">
      <c r="A718" s="17"/>
      <c r="B718" s="17"/>
      <c r="C718" s="17"/>
      <c r="D718" s="17"/>
      <c r="E718" s="17"/>
      <c r="F718" s="17"/>
      <c r="G718" s="101"/>
      <c r="H718" s="102"/>
      <c r="I718" s="102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spans="1:29" ht="21" customHeight="1">
      <c r="A719" s="17"/>
      <c r="B719" s="17"/>
      <c r="C719" s="17"/>
      <c r="D719" s="17"/>
      <c r="E719" s="17"/>
      <c r="F719" s="17"/>
      <c r="G719" s="101"/>
      <c r="H719" s="102"/>
      <c r="I719" s="102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spans="1:29" ht="21" customHeight="1">
      <c r="A720" s="17"/>
      <c r="B720" s="17"/>
      <c r="C720" s="17"/>
      <c r="D720" s="17"/>
      <c r="E720" s="17"/>
      <c r="F720" s="17"/>
      <c r="G720" s="101"/>
      <c r="H720" s="102"/>
      <c r="I720" s="102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spans="1:29" ht="21" customHeight="1">
      <c r="A721" s="17"/>
      <c r="B721" s="17"/>
      <c r="C721" s="17"/>
      <c r="D721" s="17"/>
      <c r="E721" s="17"/>
      <c r="F721" s="17"/>
      <c r="G721" s="101"/>
      <c r="H721" s="102"/>
      <c r="I721" s="102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spans="1:29" ht="21" customHeight="1">
      <c r="A722" s="17"/>
      <c r="B722" s="17"/>
      <c r="C722" s="17"/>
      <c r="D722" s="17"/>
      <c r="E722" s="17"/>
      <c r="F722" s="17"/>
      <c r="G722" s="101"/>
      <c r="H722" s="102"/>
      <c r="I722" s="102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spans="1:29" ht="21" customHeight="1">
      <c r="A723" s="17"/>
      <c r="B723" s="17"/>
      <c r="C723" s="17"/>
      <c r="D723" s="17"/>
      <c r="E723" s="17"/>
      <c r="F723" s="17"/>
      <c r="G723" s="101"/>
      <c r="H723" s="102"/>
      <c r="I723" s="102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spans="1:29" ht="21" customHeight="1">
      <c r="A724" s="17"/>
      <c r="B724" s="17"/>
      <c r="C724" s="17"/>
      <c r="D724" s="17"/>
      <c r="E724" s="17"/>
      <c r="F724" s="17"/>
      <c r="G724" s="101"/>
      <c r="H724" s="102"/>
      <c r="I724" s="102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spans="1:29" ht="21" customHeight="1">
      <c r="A725" s="17"/>
      <c r="B725" s="17"/>
      <c r="C725" s="17"/>
      <c r="D725" s="17"/>
      <c r="E725" s="17"/>
      <c r="F725" s="17"/>
      <c r="G725" s="101"/>
      <c r="H725" s="102"/>
      <c r="I725" s="102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spans="1:29" ht="21" customHeight="1">
      <c r="A726" s="17"/>
      <c r="B726" s="17"/>
      <c r="C726" s="17"/>
      <c r="D726" s="17"/>
      <c r="E726" s="17"/>
      <c r="F726" s="17"/>
      <c r="G726" s="101"/>
      <c r="H726" s="102"/>
      <c r="I726" s="102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spans="1:29" ht="21" customHeight="1">
      <c r="A727" s="17"/>
      <c r="B727" s="17"/>
      <c r="C727" s="17"/>
      <c r="D727" s="17"/>
      <c r="E727" s="17"/>
      <c r="F727" s="17"/>
      <c r="G727" s="101"/>
      <c r="H727" s="102"/>
      <c r="I727" s="102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spans="1:29" ht="21" customHeight="1">
      <c r="A728" s="17"/>
      <c r="B728" s="17"/>
      <c r="C728" s="17"/>
      <c r="D728" s="17"/>
      <c r="E728" s="17"/>
      <c r="F728" s="17"/>
      <c r="G728" s="101"/>
      <c r="H728" s="102"/>
      <c r="I728" s="102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spans="1:29" ht="21" customHeight="1">
      <c r="A729" s="17"/>
      <c r="B729" s="17"/>
      <c r="C729" s="17"/>
      <c r="D729" s="17"/>
      <c r="E729" s="17"/>
      <c r="F729" s="17"/>
      <c r="G729" s="101"/>
      <c r="H729" s="102"/>
      <c r="I729" s="102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spans="1:29" ht="21" customHeight="1">
      <c r="A730" s="17"/>
      <c r="B730" s="17"/>
      <c r="C730" s="17"/>
      <c r="D730" s="17"/>
      <c r="E730" s="17"/>
      <c r="F730" s="17"/>
      <c r="G730" s="101"/>
      <c r="H730" s="102"/>
      <c r="I730" s="102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spans="1:29" ht="21" customHeight="1">
      <c r="A731" s="17"/>
      <c r="B731" s="17"/>
      <c r="C731" s="17"/>
      <c r="D731" s="17"/>
      <c r="E731" s="17"/>
      <c r="F731" s="17"/>
      <c r="G731" s="101"/>
      <c r="H731" s="102"/>
      <c r="I731" s="102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21" customHeight="1">
      <c r="A732" s="17"/>
      <c r="B732" s="17"/>
      <c r="C732" s="17"/>
      <c r="D732" s="17"/>
      <c r="E732" s="17"/>
      <c r="F732" s="17"/>
      <c r="G732" s="101"/>
      <c r="H732" s="102"/>
      <c r="I732" s="102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 ht="21" customHeight="1">
      <c r="A733" s="17"/>
      <c r="B733" s="17"/>
      <c r="C733" s="17"/>
      <c r="D733" s="17"/>
      <c r="E733" s="17"/>
      <c r="F733" s="17"/>
      <c r="G733" s="101"/>
      <c r="H733" s="102"/>
      <c r="I733" s="102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spans="1:29" ht="21" customHeight="1">
      <c r="A734" s="17"/>
      <c r="B734" s="17"/>
      <c r="C734" s="17"/>
      <c r="D734" s="17"/>
      <c r="E734" s="17"/>
      <c r="F734" s="17"/>
      <c r="G734" s="101"/>
      <c r="H734" s="102"/>
      <c r="I734" s="102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spans="1:29" ht="21" customHeight="1">
      <c r="A735" s="17"/>
      <c r="B735" s="17"/>
      <c r="C735" s="17"/>
      <c r="D735" s="17"/>
      <c r="E735" s="17"/>
      <c r="F735" s="17"/>
      <c r="G735" s="101"/>
      <c r="H735" s="102"/>
      <c r="I735" s="102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spans="1:29" ht="21" customHeight="1">
      <c r="A736" s="17"/>
      <c r="B736" s="17"/>
      <c r="C736" s="17"/>
      <c r="D736" s="17"/>
      <c r="E736" s="17"/>
      <c r="F736" s="17"/>
      <c r="G736" s="101"/>
      <c r="H736" s="102"/>
      <c r="I736" s="102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spans="1:29" ht="21" customHeight="1">
      <c r="A737" s="17"/>
      <c r="B737" s="17"/>
      <c r="C737" s="17"/>
      <c r="D737" s="17"/>
      <c r="E737" s="17"/>
      <c r="F737" s="17"/>
      <c r="G737" s="101"/>
      <c r="H737" s="102"/>
      <c r="I737" s="102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spans="1:29" ht="21" customHeight="1">
      <c r="A738" s="17"/>
      <c r="B738" s="17"/>
      <c r="C738" s="17"/>
      <c r="D738" s="17"/>
      <c r="E738" s="17"/>
      <c r="F738" s="17"/>
      <c r="G738" s="101"/>
      <c r="H738" s="102"/>
      <c r="I738" s="102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spans="1:29" ht="21" customHeight="1">
      <c r="A739" s="17"/>
      <c r="B739" s="17"/>
      <c r="C739" s="17"/>
      <c r="D739" s="17"/>
      <c r="E739" s="17"/>
      <c r="F739" s="17"/>
      <c r="G739" s="101"/>
      <c r="H739" s="102"/>
      <c r="I739" s="102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spans="1:29" ht="21" customHeight="1">
      <c r="A740" s="17"/>
      <c r="B740" s="17"/>
      <c r="C740" s="17"/>
      <c r="D740" s="17"/>
      <c r="E740" s="17"/>
      <c r="F740" s="17"/>
      <c r="G740" s="101"/>
      <c r="H740" s="102"/>
      <c r="I740" s="102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spans="1:29" ht="21" customHeight="1">
      <c r="A741" s="17"/>
      <c r="B741" s="17"/>
      <c r="C741" s="17"/>
      <c r="D741" s="17"/>
      <c r="E741" s="17"/>
      <c r="F741" s="17"/>
      <c r="G741" s="101"/>
      <c r="H741" s="102"/>
      <c r="I741" s="102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spans="1:29" ht="21" customHeight="1">
      <c r="A742" s="17"/>
      <c r="B742" s="17"/>
      <c r="C742" s="17"/>
      <c r="D742" s="17"/>
      <c r="E742" s="17"/>
      <c r="F742" s="17"/>
      <c r="G742" s="101"/>
      <c r="H742" s="102"/>
      <c r="I742" s="102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spans="1:29" ht="21" customHeight="1">
      <c r="A743" s="17"/>
      <c r="B743" s="17"/>
      <c r="C743" s="17"/>
      <c r="D743" s="17"/>
      <c r="E743" s="17"/>
      <c r="F743" s="17"/>
      <c r="G743" s="101"/>
      <c r="H743" s="102"/>
      <c r="I743" s="102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spans="1:29" ht="21" customHeight="1">
      <c r="A744" s="17"/>
      <c r="B744" s="17"/>
      <c r="C744" s="17"/>
      <c r="D744" s="17"/>
      <c r="E744" s="17"/>
      <c r="F744" s="17"/>
      <c r="G744" s="101"/>
      <c r="H744" s="102"/>
      <c r="I744" s="102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spans="1:29" ht="21" customHeight="1">
      <c r="A745" s="17"/>
      <c r="B745" s="17"/>
      <c r="C745" s="17"/>
      <c r="D745" s="17"/>
      <c r="E745" s="17"/>
      <c r="F745" s="17"/>
      <c r="G745" s="101"/>
      <c r="H745" s="102"/>
      <c r="I745" s="102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spans="1:29" ht="21" customHeight="1">
      <c r="A746" s="17"/>
      <c r="B746" s="17"/>
      <c r="C746" s="17"/>
      <c r="D746" s="17"/>
      <c r="E746" s="17"/>
      <c r="F746" s="17"/>
      <c r="G746" s="101"/>
      <c r="H746" s="102"/>
      <c r="I746" s="102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spans="1:29" ht="21" customHeight="1">
      <c r="A747" s="17"/>
      <c r="B747" s="17"/>
      <c r="C747" s="17"/>
      <c r="D747" s="17"/>
      <c r="E747" s="17"/>
      <c r="F747" s="17"/>
      <c r="G747" s="101"/>
      <c r="H747" s="102"/>
      <c r="I747" s="102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spans="1:29" ht="21" customHeight="1">
      <c r="A748" s="17"/>
      <c r="B748" s="17"/>
      <c r="C748" s="17"/>
      <c r="D748" s="17"/>
      <c r="E748" s="17"/>
      <c r="F748" s="17"/>
      <c r="G748" s="101"/>
      <c r="H748" s="102"/>
      <c r="I748" s="102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spans="1:29" ht="21" customHeight="1">
      <c r="A749" s="17"/>
      <c r="B749" s="17"/>
      <c r="C749" s="17"/>
      <c r="D749" s="17"/>
      <c r="E749" s="17"/>
      <c r="F749" s="17"/>
      <c r="G749" s="101"/>
      <c r="H749" s="102"/>
      <c r="I749" s="102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 ht="21" customHeight="1">
      <c r="A750" s="17"/>
      <c r="B750" s="17"/>
      <c r="C750" s="17"/>
      <c r="D750" s="17"/>
      <c r="E750" s="17"/>
      <c r="F750" s="17"/>
      <c r="G750" s="101"/>
      <c r="H750" s="102"/>
      <c r="I750" s="102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spans="1:29" ht="21" customHeight="1">
      <c r="A751" s="17"/>
      <c r="B751" s="17"/>
      <c r="C751" s="17"/>
      <c r="D751" s="17"/>
      <c r="E751" s="17"/>
      <c r="F751" s="17"/>
      <c r="G751" s="101"/>
      <c r="H751" s="102"/>
      <c r="I751" s="102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spans="1:29" ht="21" customHeight="1">
      <c r="A752" s="17"/>
      <c r="B752" s="17"/>
      <c r="C752" s="17"/>
      <c r="D752" s="17"/>
      <c r="E752" s="17"/>
      <c r="F752" s="17"/>
      <c r="G752" s="101"/>
      <c r="H752" s="102"/>
      <c r="I752" s="102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spans="1:29" ht="21" customHeight="1">
      <c r="A753" s="17"/>
      <c r="B753" s="17"/>
      <c r="C753" s="17"/>
      <c r="D753" s="17"/>
      <c r="E753" s="17"/>
      <c r="F753" s="17"/>
      <c r="G753" s="101"/>
      <c r="H753" s="102"/>
      <c r="I753" s="102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spans="1:29" ht="21" customHeight="1">
      <c r="A754" s="17"/>
      <c r="B754" s="17"/>
      <c r="C754" s="17"/>
      <c r="D754" s="17"/>
      <c r="E754" s="17"/>
      <c r="F754" s="17"/>
      <c r="G754" s="101"/>
      <c r="H754" s="102"/>
      <c r="I754" s="102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spans="1:29" ht="21" customHeight="1">
      <c r="A755" s="17"/>
      <c r="B755" s="17"/>
      <c r="C755" s="17"/>
      <c r="D755" s="17"/>
      <c r="E755" s="17"/>
      <c r="F755" s="17"/>
      <c r="G755" s="101"/>
      <c r="H755" s="102"/>
      <c r="I755" s="102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spans="1:29" ht="21" customHeight="1">
      <c r="A756" s="17"/>
      <c r="B756" s="17"/>
      <c r="C756" s="17"/>
      <c r="D756" s="17"/>
      <c r="E756" s="17"/>
      <c r="F756" s="17"/>
      <c r="G756" s="101"/>
      <c r="H756" s="102"/>
      <c r="I756" s="102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spans="1:29" ht="21" customHeight="1">
      <c r="A757" s="17"/>
      <c r="B757" s="17"/>
      <c r="C757" s="17"/>
      <c r="D757" s="17"/>
      <c r="E757" s="17"/>
      <c r="F757" s="17"/>
      <c r="G757" s="101"/>
      <c r="H757" s="102"/>
      <c r="I757" s="102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spans="1:29" ht="21" customHeight="1">
      <c r="A758" s="17"/>
      <c r="B758" s="17"/>
      <c r="C758" s="17"/>
      <c r="D758" s="17"/>
      <c r="E758" s="17"/>
      <c r="F758" s="17"/>
      <c r="G758" s="101"/>
      <c r="H758" s="102"/>
      <c r="I758" s="102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spans="1:29" ht="21" customHeight="1">
      <c r="A759" s="17"/>
      <c r="B759" s="17"/>
      <c r="C759" s="17"/>
      <c r="D759" s="17"/>
      <c r="E759" s="17"/>
      <c r="F759" s="17"/>
      <c r="G759" s="101"/>
      <c r="H759" s="102"/>
      <c r="I759" s="102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spans="1:29" ht="21" customHeight="1">
      <c r="A760" s="17"/>
      <c r="B760" s="17"/>
      <c r="C760" s="17"/>
      <c r="D760" s="17"/>
      <c r="E760" s="17"/>
      <c r="F760" s="17"/>
      <c r="G760" s="101"/>
      <c r="H760" s="102"/>
      <c r="I760" s="102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spans="1:29" ht="21" customHeight="1">
      <c r="A761" s="17"/>
      <c r="B761" s="17"/>
      <c r="C761" s="17"/>
      <c r="D761" s="17"/>
      <c r="E761" s="17"/>
      <c r="F761" s="17"/>
      <c r="G761" s="101"/>
      <c r="H761" s="102"/>
      <c r="I761" s="102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spans="1:29" ht="21" customHeight="1">
      <c r="A762" s="17"/>
      <c r="B762" s="17"/>
      <c r="C762" s="17"/>
      <c r="D762" s="17"/>
      <c r="E762" s="17"/>
      <c r="F762" s="17"/>
      <c r="G762" s="101"/>
      <c r="H762" s="102"/>
      <c r="I762" s="102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spans="1:29" ht="21" customHeight="1">
      <c r="A763" s="17"/>
      <c r="B763" s="17"/>
      <c r="C763" s="17"/>
      <c r="D763" s="17"/>
      <c r="E763" s="17"/>
      <c r="F763" s="17"/>
      <c r="G763" s="101"/>
      <c r="H763" s="102"/>
      <c r="I763" s="102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spans="1:29" ht="21" customHeight="1">
      <c r="A764" s="17"/>
      <c r="B764" s="17"/>
      <c r="C764" s="17"/>
      <c r="D764" s="17"/>
      <c r="E764" s="17"/>
      <c r="F764" s="17"/>
      <c r="G764" s="101"/>
      <c r="H764" s="102"/>
      <c r="I764" s="102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spans="1:29" ht="21" customHeight="1">
      <c r="A765" s="17"/>
      <c r="B765" s="17"/>
      <c r="C765" s="17"/>
      <c r="D765" s="17"/>
      <c r="E765" s="17"/>
      <c r="F765" s="17"/>
      <c r="G765" s="101"/>
      <c r="H765" s="102"/>
      <c r="I765" s="102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spans="1:29" ht="21" customHeight="1">
      <c r="A766" s="17"/>
      <c r="B766" s="17"/>
      <c r="C766" s="17"/>
      <c r="D766" s="17"/>
      <c r="E766" s="17"/>
      <c r="F766" s="17"/>
      <c r="G766" s="101"/>
      <c r="H766" s="102"/>
      <c r="I766" s="102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spans="1:29" ht="21" customHeight="1">
      <c r="A767" s="17"/>
      <c r="B767" s="17"/>
      <c r="C767" s="17"/>
      <c r="D767" s="17"/>
      <c r="E767" s="17"/>
      <c r="F767" s="17"/>
      <c r="G767" s="101"/>
      <c r="H767" s="102"/>
      <c r="I767" s="102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spans="1:29" ht="21" customHeight="1">
      <c r="A768" s="17"/>
      <c r="B768" s="17"/>
      <c r="C768" s="17"/>
      <c r="D768" s="17"/>
      <c r="E768" s="17"/>
      <c r="F768" s="17"/>
      <c r="G768" s="101"/>
      <c r="H768" s="102"/>
      <c r="I768" s="102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spans="1:29" ht="21" customHeight="1">
      <c r="A769" s="17"/>
      <c r="B769" s="17"/>
      <c r="C769" s="17"/>
      <c r="D769" s="17"/>
      <c r="E769" s="17"/>
      <c r="F769" s="17"/>
      <c r="G769" s="101"/>
      <c r="H769" s="102"/>
      <c r="I769" s="102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spans="1:29" ht="21" customHeight="1">
      <c r="A770" s="17"/>
      <c r="B770" s="17"/>
      <c r="C770" s="17"/>
      <c r="D770" s="17"/>
      <c r="E770" s="17"/>
      <c r="F770" s="17"/>
      <c r="G770" s="101"/>
      <c r="H770" s="102"/>
      <c r="I770" s="102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spans="1:29" ht="21" customHeight="1">
      <c r="A771" s="17"/>
      <c r="B771" s="17"/>
      <c r="C771" s="17"/>
      <c r="D771" s="17"/>
      <c r="E771" s="17"/>
      <c r="F771" s="17"/>
      <c r="G771" s="101"/>
      <c r="H771" s="102"/>
      <c r="I771" s="102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spans="1:29" ht="21" customHeight="1">
      <c r="A772" s="17"/>
      <c r="B772" s="17"/>
      <c r="C772" s="17"/>
      <c r="D772" s="17"/>
      <c r="E772" s="17"/>
      <c r="F772" s="17"/>
      <c r="G772" s="101"/>
      <c r="H772" s="102"/>
      <c r="I772" s="102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spans="1:29" ht="21" customHeight="1">
      <c r="A773" s="17"/>
      <c r="B773" s="17"/>
      <c r="C773" s="17"/>
      <c r="D773" s="17"/>
      <c r="E773" s="17"/>
      <c r="F773" s="17"/>
      <c r="G773" s="101"/>
      <c r="H773" s="102"/>
      <c r="I773" s="102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spans="1:29" ht="21" customHeight="1">
      <c r="A774" s="17"/>
      <c r="B774" s="17"/>
      <c r="C774" s="17"/>
      <c r="D774" s="17"/>
      <c r="E774" s="17"/>
      <c r="F774" s="17"/>
      <c r="G774" s="101"/>
      <c r="H774" s="102"/>
      <c r="I774" s="102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spans="1:29" ht="21" customHeight="1">
      <c r="A775" s="17"/>
      <c r="B775" s="17"/>
      <c r="C775" s="17"/>
      <c r="D775" s="17"/>
      <c r="E775" s="17"/>
      <c r="F775" s="17"/>
      <c r="G775" s="101"/>
      <c r="H775" s="102"/>
      <c r="I775" s="102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spans="1:29" ht="21" customHeight="1">
      <c r="A776" s="17"/>
      <c r="B776" s="17"/>
      <c r="C776" s="17"/>
      <c r="D776" s="17"/>
      <c r="E776" s="17"/>
      <c r="F776" s="17"/>
      <c r="G776" s="101"/>
      <c r="H776" s="102"/>
      <c r="I776" s="102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spans="1:29" ht="21" customHeight="1">
      <c r="A777" s="17"/>
      <c r="B777" s="17"/>
      <c r="C777" s="17"/>
      <c r="D777" s="17"/>
      <c r="E777" s="17"/>
      <c r="F777" s="17"/>
      <c r="G777" s="101"/>
      <c r="H777" s="102"/>
      <c r="I777" s="102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spans="1:29" ht="21" customHeight="1">
      <c r="A778" s="17"/>
      <c r="B778" s="17"/>
      <c r="C778" s="17"/>
      <c r="D778" s="17"/>
      <c r="E778" s="17"/>
      <c r="F778" s="17"/>
      <c r="G778" s="101"/>
      <c r="H778" s="102"/>
      <c r="I778" s="102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spans="1:29" ht="21" customHeight="1">
      <c r="A779" s="17"/>
      <c r="B779" s="17"/>
      <c r="C779" s="17"/>
      <c r="D779" s="17"/>
      <c r="E779" s="17"/>
      <c r="F779" s="17"/>
      <c r="G779" s="101"/>
      <c r="H779" s="102"/>
      <c r="I779" s="102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spans="1:29" ht="21" customHeight="1">
      <c r="A780" s="17"/>
      <c r="B780" s="17"/>
      <c r="C780" s="17"/>
      <c r="D780" s="17"/>
      <c r="E780" s="17"/>
      <c r="F780" s="17"/>
      <c r="G780" s="101"/>
      <c r="H780" s="102"/>
      <c r="I780" s="102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spans="1:29" ht="21" customHeight="1">
      <c r="A781" s="17"/>
      <c r="B781" s="17"/>
      <c r="C781" s="17"/>
      <c r="D781" s="17"/>
      <c r="E781" s="17"/>
      <c r="F781" s="17"/>
      <c r="G781" s="101"/>
      <c r="H781" s="102"/>
      <c r="I781" s="102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spans="1:29" ht="21" customHeight="1">
      <c r="A782" s="17"/>
      <c r="B782" s="17"/>
      <c r="C782" s="17"/>
      <c r="D782" s="17"/>
      <c r="E782" s="17"/>
      <c r="F782" s="17"/>
      <c r="G782" s="101"/>
      <c r="H782" s="102"/>
      <c r="I782" s="102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spans="1:29" ht="21" customHeight="1">
      <c r="A783" s="17"/>
      <c r="B783" s="17"/>
      <c r="C783" s="17"/>
      <c r="D783" s="17"/>
      <c r="E783" s="17"/>
      <c r="F783" s="17"/>
      <c r="G783" s="101"/>
      <c r="H783" s="102"/>
      <c r="I783" s="102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spans="1:29" ht="21" customHeight="1">
      <c r="A784" s="17"/>
      <c r="B784" s="17"/>
      <c r="C784" s="17"/>
      <c r="D784" s="17"/>
      <c r="E784" s="17"/>
      <c r="F784" s="17"/>
      <c r="G784" s="101"/>
      <c r="H784" s="102"/>
      <c r="I784" s="102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spans="1:29" ht="21" customHeight="1">
      <c r="A785" s="17"/>
      <c r="B785" s="17"/>
      <c r="C785" s="17"/>
      <c r="D785" s="17"/>
      <c r="E785" s="17"/>
      <c r="F785" s="17"/>
      <c r="G785" s="101"/>
      <c r="H785" s="102"/>
      <c r="I785" s="102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spans="1:29" ht="21" customHeight="1">
      <c r="A786" s="17"/>
      <c r="B786" s="17"/>
      <c r="C786" s="17"/>
      <c r="D786" s="17"/>
      <c r="E786" s="17"/>
      <c r="F786" s="17"/>
      <c r="G786" s="101"/>
      <c r="H786" s="102"/>
      <c r="I786" s="102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spans="1:29" ht="21" customHeight="1">
      <c r="A787" s="17"/>
      <c r="B787" s="17"/>
      <c r="C787" s="17"/>
      <c r="D787" s="17"/>
      <c r="E787" s="17"/>
      <c r="F787" s="17"/>
      <c r="G787" s="101"/>
      <c r="H787" s="102"/>
      <c r="I787" s="102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spans="1:29" ht="21" customHeight="1">
      <c r="A788" s="17"/>
      <c r="B788" s="17"/>
      <c r="C788" s="17"/>
      <c r="D788" s="17"/>
      <c r="E788" s="17"/>
      <c r="F788" s="17"/>
      <c r="G788" s="101"/>
      <c r="H788" s="102"/>
      <c r="I788" s="102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21" customHeight="1">
      <c r="A789" s="17"/>
      <c r="B789" s="17"/>
      <c r="C789" s="17"/>
      <c r="D789" s="17"/>
      <c r="E789" s="17"/>
      <c r="F789" s="17"/>
      <c r="G789" s="101"/>
      <c r="H789" s="102"/>
      <c r="I789" s="102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 ht="21" customHeight="1">
      <c r="A790" s="17"/>
      <c r="B790" s="17"/>
      <c r="C790" s="17"/>
      <c r="D790" s="17"/>
      <c r="E790" s="17"/>
      <c r="F790" s="17"/>
      <c r="G790" s="101"/>
      <c r="H790" s="102"/>
      <c r="I790" s="102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spans="1:29" ht="21" customHeight="1">
      <c r="A791" s="17"/>
      <c r="B791" s="17"/>
      <c r="C791" s="17"/>
      <c r="D791" s="17"/>
      <c r="E791" s="17"/>
      <c r="F791" s="17"/>
      <c r="G791" s="101"/>
      <c r="H791" s="102"/>
      <c r="I791" s="102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spans="1:29" ht="21" customHeight="1">
      <c r="A792" s="17"/>
      <c r="B792" s="17"/>
      <c r="C792" s="17"/>
      <c r="D792" s="17"/>
      <c r="E792" s="17"/>
      <c r="F792" s="17"/>
      <c r="G792" s="101"/>
      <c r="H792" s="102"/>
      <c r="I792" s="102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spans="1:29" ht="21" customHeight="1">
      <c r="A793" s="17"/>
      <c r="B793" s="17"/>
      <c r="C793" s="17"/>
      <c r="D793" s="17"/>
      <c r="E793" s="17"/>
      <c r="F793" s="17"/>
      <c r="G793" s="101"/>
      <c r="H793" s="102"/>
      <c r="I793" s="102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spans="1:29" ht="21" customHeight="1">
      <c r="A794" s="17"/>
      <c r="B794" s="17"/>
      <c r="C794" s="17"/>
      <c r="D794" s="17"/>
      <c r="E794" s="17"/>
      <c r="F794" s="17"/>
      <c r="G794" s="101"/>
      <c r="H794" s="102"/>
      <c r="I794" s="102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ht="21" customHeight="1">
      <c r="A795" s="17"/>
      <c r="B795" s="17"/>
      <c r="C795" s="17"/>
      <c r="D795" s="17"/>
      <c r="E795" s="17"/>
      <c r="F795" s="17"/>
      <c r="G795" s="101"/>
      <c r="H795" s="102"/>
      <c r="I795" s="102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spans="1:29" ht="21" customHeight="1">
      <c r="A796" s="17"/>
      <c r="B796" s="17"/>
      <c r="C796" s="17"/>
      <c r="D796" s="17"/>
      <c r="E796" s="17"/>
      <c r="F796" s="17"/>
      <c r="G796" s="101"/>
      <c r="H796" s="102"/>
      <c r="I796" s="102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spans="1:29" ht="21" customHeight="1">
      <c r="A797" s="17"/>
      <c r="B797" s="17"/>
      <c r="C797" s="17"/>
      <c r="D797" s="17"/>
      <c r="E797" s="17"/>
      <c r="F797" s="17"/>
      <c r="G797" s="101"/>
      <c r="H797" s="102"/>
      <c r="I797" s="102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spans="1:29" ht="21" customHeight="1">
      <c r="A798" s="17"/>
      <c r="B798" s="17"/>
      <c r="C798" s="17"/>
      <c r="D798" s="17"/>
      <c r="E798" s="17"/>
      <c r="F798" s="17"/>
      <c r="G798" s="101"/>
      <c r="H798" s="102"/>
      <c r="I798" s="102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spans="1:29" ht="21" customHeight="1">
      <c r="A799" s="17"/>
      <c r="B799" s="17"/>
      <c r="C799" s="17"/>
      <c r="D799" s="17"/>
      <c r="E799" s="17"/>
      <c r="F799" s="17"/>
      <c r="G799" s="101"/>
      <c r="H799" s="102"/>
      <c r="I799" s="102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spans="1:29" ht="21" customHeight="1">
      <c r="A800" s="17"/>
      <c r="B800" s="17"/>
      <c r="C800" s="17"/>
      <c r="D800" s="17"/>
      <c r="E800" s="17"/>
      <c r="F800" s="17"/>
      <c r="G800" s="101"/>
      <c r="H800" s="102"/>
      <c r="I800" s="102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spans="1:29" ht="21" customHeight="1">
      <c r="A801" s="17"/>
      <c r="B801" s="17"/>
      <c r="C801" s="17"/>
      <c r="D801" s="17"/>
      <c r="E801" s="17"/>
      <c r="F801" s="17"/>
      <c r="G801" s="101"/>
      <c r="H801" s="102"/>
      <c r="I801" s="102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spans="1:29" ht="21" customHeight="1">
      <c r="A802" s="17"/>
      <c r="B802" s="17"/>
      <c r="C802" s="17"/>
      <c r="D802" s="17"/>
      <c r="E802" s="17"/>
      <c r="F802" s="17"/>
      <c r="G802" s="101"/>
      <c r="H802" s="102"/>
      <c r="I802" s="102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spans="1:29" ht="21" customHeight="1">
      <c r="A803" s="17"/>
      <c r="B803" s="17"/>
      <c r="C803" s="17"/>
      <c r="D803" s="17"/>
      <c r="E803" s="17"/>
      <c r="F803" s="17"/>
      <c r="G803" s="101"/>
      <c r="H803" s="102"/>
      <c r="I803" s="102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spans="1:29" ht="21" customHeight="1">
      <c r="A804" s="17"/>
      <c r="B804" s="17"/>
      <c r="C804" s="17"/>
      <c r="D804" s="17"/>
      <c r="E804" s="17"/>
      <c r="F804" s="17"/>
      <c r="G804" s="101"/>
      <c r="H804" s="102"/>
      <c r="I804" s="102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spans="1:29" ht="21" customHeight="1">
      <c r="A805" s="17"/>
      <c r="B805" s="17"/>
      <c r="C805" s="17"/>
      <c r="D805" s="17"/>
      <c r="E805" s="17"/>
      <c r="F805" s="17"/>
      <c r="G805" s="101"/>
      <c r="H805" s="102"/>
      <c r="I805" s="102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spans="1:29" ht="21" customHeight="1">
      <c r="A806" s="17"/>
      <c r="B806" s="17"/>
      <c r="C806" s="17"/>
      <c r="D806" s="17"/>
      <c r="E806" s="17"/>
      <c r="F806" s="17"/>
      <c r="G806" s="101"/>
      <c r="H806" s="102"/>
      <c r="I806" s="102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spans="1:29" ht="21" customHeight="1">
      <c r="A807" s="17"/>
      <c r="B807" s="17"/>
      <c r="C807" s="17"/>
      <c r="D807" s="17"/>
      <c r="E807" s="17"/>
      <c r="F807" s="17"/>
      <c r="G807" s="101"/>
      <c r="H807" s="102"/>
      <c r="I807" s="102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 ht="21" customHeight="1">
      <c r="A808" s="17"/>
      <c r="B808" s="17"/>
      <c r="C808" s="17"/>
      <c r="D808" s="17"/>
      <c r="E808" s="17"/>
      <c r="F808" s="17"/>
      <c r="G808" s="101"/>
      <c r="H808" s="102"/>
      <c r="I808" s="102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spans="1:29" ht="21" customHeight="1">
      <c r="A809" s="17"/>
      <c r="B809" s="17"/>
      <c r="C809" s="17"/>
      <c r="D809" s="17"/>
      <c r="E809" s="17"/>
      <c r="F809" s="17"/>
      <c r="G809" s="101"/>
      <c r="H809" s="102"/>
      <c r="I809" s="102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spans="1:29" ht="21" customHeight="1">
      <c r="A810" s="17"/>
      <c r="B810" s="17"/>
      <c r="C810" s="17"/>
      <c r="D810" s="17"/>
      <c r="E810" s="17"/>
      <c r="F810" s="17"/>
      <c r="G810" s="101"/>
      <c r="H810" s="102"/>
      <c r="I810" s="102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spans="1:29" ht="21" customHeight="1">
      <c r="A811" s="17"/>
      <c r="B811" s="17"/>
      <c r="C811" s="17"/>
      <c r="D811" s="17"/>
      <c r="E811" s="17"/>
      <c r="F811" s="17"/>
      <c r="G811" s="101"/>
      <c r="H811" s="102"/>
      <c r="I811" s="102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spans="1:29" ht="21" customHeight="1">
      <c r="A812" s="17"/>
      <c r="B812" s="17"/>
      <c r="C812" s="17"/>
      <c r="D812" s="17"/>
      <c r="E812" s="17"/>
      <c r="F812" s="17"/>
      <c r="G812" s="101"/>
      <c r="H812" s="102"/>
      <c r="I812" s="102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spans="1:29" ht="21" customHeight="1">
      <c r="A813" s="17"/>
      <c r="B813" s="17"/>
      <c r="C813" s="17"/>
      <c r="D813" s="17"/>
      <c r="E813" s="17"/>
      <c r="F813" s="17"/>
      <c r="G813" s="101"/>
      <c r="H813" s="102"/>
      <c r="I813" s="102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spans="1:29" ht="21" customHeight="1">
      <c r="A814" s="17"/>
      <c r="B814" s="17"/>
      <c r="C814" s="17"/>
      <c r="D814" s="17"/>
      <c r="E814" s="17"/>
      <c r="F814" s="17"/>
      <c r="G814" s="101"/>
      <c r="H814" s="102"/>
      <c r="I814" s="102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spans="1:29" ht="21" customHeight="1">
      <c r="A815" s="17"/>
      <c r="B815" s="17"/>
      <c r="C815" s="17"/>
      <c r="D815" s="17"/>
      <c r="E815" s="17"/>
      <c r="F815" s="17"/>
      <c r="G815" s="101"/>
      <c r="H815" s="102"/>
      <c r="I815" s="102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spans="1:29" ht="21" customHeight="1">
      <c r="A816" s="17"/>
      <c r="B816" s="17"/>
      <c r="C816" s="17"/>
      <c r="D816" s="17"/>
      <c r="E816" s="17"/>
      <c r="F816" s="17"/>
      <c r="G816" s="101"/>
      <c r="H816" s="102"/>
      <c r="I816" s="102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spans="1:29" ht="21" customHeight="1">
      <c r="A817" s="17"/>
      <c r="B817" s="17"/>
      <c r="C817" s="17"/>
      <c r="D817" s="17"/>
      <c r="E817" s="17"/>
      <c r="F817" s="17"/>
      <c r="G817" s="101"/>
      <c r="H817" s="102"/>
      <c r="I817" s="102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spans="1:29" ht="21" customHeight="1">
      <c r="A818" s="17"/>
      <c r="B818" s="17"/>
      <c r="C818" s="17"/>
      <c r="D818" s="17"/>
      <c r="E818" s="17"/>
      <c r="F818" s="17"/>
      <c r="G818" s="101"/>
      <c r="H818" s="102"/>
      <c r="I818" s="102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spans="1:29" ht="21" customHeight="1">
      <c r="A819" s="17"/>
      <c r="B819" s="17"/>
      <c r="C819" s="17"/>
      <c r="D819" s="17"/>
      <c r="E819" s="17"/>
      <c r="F819" s="17"/>
      <c r="G819" s="101"/>
      <c r="H819" s="102"/>
      <c r="I819" s="102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spans="1:29" ht="21" customHeight="1">
      <c r="A820" s="17"/>
      <c r="B820" s="17"/>
      <c r="C820" s="17"/>
      <c r="D820" s="17"/>
      <c r="E820" s="17"/>
      <c r="F820" s="17"/>
      <c r="G820" s="101"/>
      <c r="H820" s="102"/>
      <c r="I820" s="102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spans="1:29" ht="21" customHeight="1">
      <c r="A821" s="17"/>
      <c r="B821" s="17"/>
      <c r="C821" s="17"/>
      <c r="D821" s="17"/>
      <c r="E821" s="17"/>
      <c r="F821" s="17"/>
      <c r="G821" s="101"/>
      <c r="H821" s="102"/>
      <c r="I821" s="102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spans="1:29" ht="21" customHeight="1">
      <c r="A822" s="17"/>
      <c r="B822" s="17"/>
      <c r="C822" s="17"/>
      <c r="D822" s="17"/>
      <c r="E822" s="17"/>
      <c r="F822" s="17"/>
      <c r="G822" s="101"/>
      <c r="H822" s="102"/>
      <c r="I822" s="102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spans="1:29" ht="21" customHeight="1">
      <c r="A823" s="17"/>
      <c r="B823" s="17"/>
      <c r="C823" s="17"/>
      <c r="D823" s="17"/>
      <c r="E823" s="17"/>
      <c r="F823" s="17"/>
      <c r="G823" s="101"/>
      <c r="H823" s="102"/>
      <c r="I823" s="102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spans="1:29" ht="21" customHeight="1">
      <c r="A824" s="17"/>
      <c r="B824" s="17"/>
      <c r="C824" s="17"/>
      <c r="D824" s="17"/>
      <c r="E824" s="17"/>
      <c r="F824" s="17"/>
      <c r="G824" s="101"/>
      <c r="H824" s="102"/>
      <c r="I824" s="102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spans="1:29" ht="21" customHeight="1">
      <c r="A825" s="17"/>
      <c r="B825" s="17"/>
      <c r="C825" s="17"/>
      <c r="D825" s="17"/>
      <c r="E825" s="17"/>
      <c r="F825" s="17"/>
      <c r="G825" s="101"/>
      <c r="H825" s="102"/>
      <c r="I825" s="102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spans="1:29" ht="21" customHeight="1">
      <c r="A826" s="17"/>
      <c r="B826" s="17"/>
      <c r="C826" s="17"/>
      <c r="D826" s="17"/>
      <c r="E826" s="17"/>
      <c r="F826" s="17"/>
      <c r="G826" s="101"/>
      <c r="H826" s="102"/>
      <c r="I826" s="102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spans="1:29" ht="21" customHeight="1">
      <c r="A827" s="17"/>
      <c r="B827" s="17"/>
      <c r="C827" s="17"/>
      <c r="D827" s="17"/>
      <c r="E827" s="17"/>
      <c r="F827" s="17"/>
      <c r="G827" s="101"/>
      <c r="H827" s="102"/>
      <c r="I827" s="102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spans="1:29" ht="21" customHeight="1">
      <c r="A828" s="17"/>
      <c r="B828" s="17"/>
      <c r="C828" s="17"/>
      <c r="D828" s="17"/>
      <c r="E828" s="17"/>
      <c r="F828" s="17"/>
      <c r="G828" s="101"/>
      <c r="H828" s="102"/>
      <c r="I828" s="102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spans="1:29" ht="21" customHeight="1">
      <c r="A829" s="17"/>
      <c r="B829" s="17"/>
      <c r="C829" s="17"/>
      <c r="D829" s="17"/>
      <c r="E829" s="17"/>
      <c r="F829" s="17"/>
      <c r="G829" s="101"/>
      <c r="H829" s="102"/>
      <c r="I829" s="102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spans="1:29" ht="21" customHeight="1">
      <c r="A830" s="17"/>
      <c r="B830" s="17"/>
      <c r="C830" s="17"/>
      <c r="D830" s="17"/>
      <c r="E830" s="17"/>
      <c r="F830" s="17"/>
      <c r="G830" s="101"/>
      <c r="H830" s="102"/>
      <c r="I830" s="102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spans="1:29" ht="21" customHeight="1">
      <c r="A831" s="17"/>
      <c r="B831" s="17"/>
      <c r="C831" s="17"/>
      <c r="D831" s="17"/>
      <c r="E831" s="17"/>
      <c r="F831" s="17"/>
      <c r="G831" s="101"/>
      <c r="H831" s="102"/>
      <c r="I831" s="102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spans="1:29" ht="21" customHeight="1">
      <c r="A832" s="17"/>
      <c r="B832" s="17"/>
      <c r="C832" s="17"/>
      <c r="D832" s="17"/>
      <c r="E832" s="17"/>
      <c r="F832" s="17"/>
      <c r="G832" s="101"/>
      <c r="H832" s="102"/>
      <c r="I832" s="102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spans="1:29" ht="21" customHeight="1">
      <c r="A833" s="17"/>
      <c r="B833" s="17"/>
      <c r="C833" s="17"/>
      <c r="D833" s="17"/>
      <c r="E833" s="17"/>
      <c r="F833" s="17"/>
      <c r="G833" s="101"/>
      <c r="H833" s="102"/>
      <c r="I833" s="102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spans="1:29" ht="21" customHeight="1">
      <c r="A834" s="17"/>
      <c r="B834" s="17"/>
      <c r="C834" s="17"/>
      <c r="D834" s="17"/>
      <c r="E834" s="17"/>
      <c r="F834" s="17"/>
      <c r="G834" s="101"/>
      <c r="H834" s="102"/>
      <c r="I834" s="102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spans="1:29" ht="21" customHeight="1">
      <c r="A835" s="17"/>
      <c r="B835" s="17"/>
      <c r="C835" s="17"/>
      <c r="D835" s="17"/>
      <c r="E835" s="17"/>
      <c r="F835" s="17"/>
      <c r="G835" s="101"/>
      <c r="H835" s="102"/>
      <c r="I835" s="102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spans="1:29" ht="21" customHeight="1">
      <c r="A836" s="17"/>
      <c r="B836" s="17"/>
      <c r="C836" s="17"/>
      <c r="D836" s="17"/>
      <c r="E836" s="17"/>
      <c r="F836" s="17"/>
      <c r="G836" s="101"/>
      <c r="H836" s="102"/>
      <c r="I836" s="102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spans="1:29" ht="21" customHeight="1">
      <c r="A837" s="17"/>
      <c r="B837" s="17"/>
      <c r="C837" s="17"/>
      <c r="D837" s="17"/>
      <c r="E837" s="17"/>
      <c r="F837" s="17"/>
      <c r="G837" s="101"/>
      <c r="H837" s="102"/>
      <c r="I837" s="102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spans="1:29" ht="21" customHeight="1">
      <c r="A838" s="17"/>
      <c r="B838" s="17"/>
      <c r="C838" s="17"/>
      <c r="D838" s="17"/>
      <c r="E838" s="17"/>
      <c r="F838" s="17"/>
      <c r="G838" s="101"/>
      <c r="H838" s="102"/>
      <c r="I838" s="102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spans="1:29" ht="21" customHeight="1">
      <c r="A839" s="17"/>
      <c r="B839" s="17"/>
      <c r="C839" s="17"/>
      <c r="D839" s="17"/>
      <c r="E839" s="17"/>
      <c r="F839" s="17"/>
      <c r="G839" s="101"/>
      <c r="H839" s="102"/>
      <c r="I839" s="102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spans="1:29" ht="21" customHeight="1">
      <c r="A840" s="17"/>
      <c r="B840" s="17"/>
      <c r="C840" s="17"/>
      <c r="D840" s="17"/>
      <c r="E840" s="17"/>
      <c r="F840" s="17"/>
      <c r="G840" s="101"/>
      <c r="H840" s="102"/>
      <c r="I840" s="102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spans="1:29" ht="21" customHeight="1">
      <c r="A841" s="17"/>
      <c r="B841" s="17"/>
      <c r="C841" s="17"/>
      <c r="D841" s="17"/>
      <c r="E841" s="17"/>
      <c r="F841" s="17"/>
      <c r="G841" s="101"/>
      <c r="H841" s="102"/>
      <c r="I841" s="102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spans="1:29" ht="21" customHeight="1">
      <c r="A842" s="17"/>
      <c r="B842" s="17"/>
      <c r="C842" s="17"/>
      <c r="D842" s="17"/>
      <c r="E842" s="17"/>
      <c r="F842" s="17"/>
      <c r="G842" s="101"/>
      <c r="H842" s="102"/>
      <c r="I842" s="102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spans="1:29" ht="21" customHeight="1">
      <c r="A843" s="17"/>
      <c r="B843" s="17"/>
      <c r="C843" s="17"/>
      <c r="D843" s="17"/>
      <c r="E843" s="17"/>
      <c r="F843" s="17"/>
      <c r="G843" s="101"/>
      <c r="H843" s="102"/>
      <c r="I843" s="102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ht="21" customHeight="1">
      <c r="A844" s="17"/>
      <c r="B844" s="17"/>
      <c r="C844" s="17"/>
      <c r="D844" s="17"/>
      <c r="E844" s="17"/>
      <c r="F844" s="17"/>
      <c r="G844" s="101"/>
      <c r="H844" s="102"/>
      <c r="I844" s="102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spans="1:29" ht="21" customHeight="1">
      <c r="A845" s="17"/>
      <c r="B845" s="17"/>
      <c r="C845" s="17"/>
      <c r="D845" s="17"/>
      <c r="E845" s="17"/>
      <c r="F845" s="17"/>
      <c r="G845" s="101"/>
      <c r="H845" s="102"/>
      <c r="I845" s="102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spans="1:29" ht="21" customHeight="1">
      <c r="A846" s="17"/>
      <c r="B846" s="17"/>
      <c r="C846" s="17"/>
      <c r="D846" s="17"/>
      <c r="E846" s="17"/>
      <c r="F846" s="17"/>
      <c r="G846" s="101"/>
      <c r="H846" s="102"/>
      <c r="I846" s="102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21" customHeight="1">
      <c r="A847" s="17"/>
      <c r="B847" s="17"/>
      <c r="C847" s="17"/>
      <c r="D847" s="17"/>
      <c r="E847" s="17"/>
      <c r="F847" s="17"/>
      <c r="G847" s="101"/>
      <c r="H847" s="102"/>
      <c r="I847" s="102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ht="21" customHeight="1">
      <c r="A848" s="17"/>
      <c r="B848" s="17"/>
      <c r="C848" s="17"/>
      <c r="D848" s="17"/>
      <c r="E848" s="17"/>
      <c r="F848" s="17"/>
      <c r="G848" s="101"/>
      <c r="H848" s="102"/>
      <c r="I848" s="102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spans="1:29" ht="21" customHeight="1">
      <c r="A849" s="17"/>
      <c r="B849" s="17"/>
      <c r="C849" s="17"/>
      <c r="D849" s="17"/>
      <c r="E849" s="17"/>
      <c r="F849" s="17"/>
      <c r="G849" s="101"/>
      <c r="H849" s="102"/>
      <c r="I849" s="102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spans="1:29" ht="21" customHeight="1">
      <c r="A850" s="17"/>
      <c r="B850" s="17"/>
      <c r="C850" s="17"/>
      <c r="D850" s="17"/>
      <c r="E850" s="17"/>
      <c r="F850" s="17"/>
      <c r="G850" s="101"/>
      <c r="H850" s="102"/>
      <c r="I850" s="102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ht="21" customHeight="1">
      <c r="A851" s="17"/>
      <c r="B851" s="17"/>
      <c r="C851" s="17"/>
      <c r="D851" s="17"/>
      <c r="E851" s="17"/>
      <c r="F851" s="17"/>
      <c r="G851" s="101"/>
      <c r="H851" s="102"/>
      <c r="I851" s="102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spans="1:29" ht="21" customHeight="1">
      <c r="A852" s="17"/>
      <c r="B852" s="17"/>
      <c r="C852" s="17"/>
      <c r="D852" s="17"/>
      <c r="E852" s="17"/>
      <c r="F852" s="17"/>
      <c r="G852" s="101"/>
      <c r="H852" s="102"/>
      <c r="I852" s="102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spans="1:29" ht="21" customHeight="1">
      <c r="A853" s="17"/>
      <c r="B853" s="17"/>
      <c r="C853" s="17"/>
      <c r="D853" s="17"/>
      <c r="E853" s="17"/>
      <c r="F853" s="17"/>
      <c r="G853" s="101"/>
      <c r="H853" s="102"/>
      <c r="I853" s="102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spans="1:29" ht="21" customHeight="1">
      <c r="A854" s="17"/>
      <c r="B854" s="17"/>
      <c r="C854" s="17"/>
      <c r="D854" s="17"/>
      <c r="E854" s="17"/>
      <c r="F854" s="17"/>
      <c r="G854" s="101"/>
      <c r="H854" s="102"/>
      <c r="I854" s="102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spans="1:29" ht="21" customHeight="1">
      <c r="A855" s="17"/>
      <c r="B855" s="17"/>
      <c r="C855" s="17"/>
      <c r="D855" s="17"/>
      <c r="E855" s="17"/>
      <c r="F855" s="17"/>
      <c r="G855" s="101"/>
      <c r="H855" s="102"/>
      <c r="I855" s="102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spans="1:29" ht="21" customHeight="1">
      <c r="A856" s="17"/>
      <c r="B856" s="17"/>
      <c r="C856" s="17"/>
      <c r="D856" s="17"/>
      <c r="E856" s="17"/>
      <c r="F856" s="17"/>
      <c r="G856" s="101"/>
      <c r="H856" s="102"/>
      <c r="I856" s="102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spans="1:29" ht="21" customHeight="1">
      <c r="A857" s="17"/>
      <c r="B857" s="17"/>
      <c r="C857" s="17"/>
      <c r="D857" s="17"/>
      <c r="E857" s="17"/>
      <c r="F857" s="17"/>
      <c r="G857" s="101"/>
      <c r="H857" s="102"/>
      <c r="I857" s="102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spans="1:29" ht="21" customHeight="1">
      <c r="A858" s="17"/>
      <c r="B858" s="17"/>
      <c r="C858" s="17"/>
      <c r="D858" s="17"/>
      <c r="E858" s="17"/>
      <c r="F858" s="17"/>
      <c r="G858" s="101"/>
      <c r="H858" s="102"/>
      <c r="I858" s="102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spans="1:29" ht="21" customHeight="1">
      <c r="A859" s="17"/>
      <c r="B859" s="17"/>
      <c r="C859" s="17"/>
      <c r="D859" s="17"/>
      <c r="E859" s="17"/>
      <c r="F859" s="17"/>
      <c r="G859" s="101"/>
      <c r="H859" s="102"/>
      <c r="I859" s="102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spans="1:29" ht="21" customHeight="1">
      <c r="A860" s="17"/>
      <c r="B860" s="17"/>
      <c r="C860" s="17"/>
      <c r="D860" s="17"/>
      <c r="E860" s="17"/>
      <c r="F860" s="17"/>
      <c r="G860" s="101"/>
      <c r="H860" s="102"/>
      <c r="I860" s="102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spans="1:29" ht="21" customHeight="1">
      <c r="A861" s="17"/>
      <c r="B861" s="17"/>
      <c r="C861" s="17"/>
      <c r="D861" s="17"/>
      <c r="E861" s="17"/>
      <c r="F861" s="17"/>
      <c r="G861" s="101"/>
      <c r="H861" s="102"/>
      <c r="I861" s="102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spans="1:29" ht="21" customHeight="1">
      <c r="A862" s="17"/>
      <c r="B862" s="17"/>
      <c r="C862" s="17"/>
      <c r="D862" s="17"/>
      <c r="E862" s="17"/>
      <c r="F862" s="17"/>
      <c r="G862" s="101"/>
      <c r="H862" s="102"/>
      <c r="I862" s="102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spans="1:29" ht="21" customHeight="1">
      <c r="A863" s="17"/>
      <c r="B863" s="17"/>
      <c r="C863" s="17"/>
      <c r="D863" s="17"/>
      <c r="E863" s="17"/>
      <c r="F863" s="17"/>
      <c r="G863" s="101"/>
      <c r="H863" s="102"/>
      <c r="I863" s="102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spans="1:29" ht="21" customHeight="1">
      <c r="A864" s="17"/>
      <c r="B864" s="17"/>
      <c r="C864" s="17"/>
      <c r="D864" s="17"/>
      <c r="E864" s="17"/>
      <c r="F864" s="17"/>
      <c r="G864" s="101"/>
      <c r="H864" s="102"/>
      <c r="I864" s="102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spans="1:29" ht="21" customHeight="1">
      <c r="A865" s="17"/>
      <c r="B865" s="17"/>
      <c r="C865" s="17"/>
      <c r="D865" s="17"/>
      <c r="E865" s="17"/>
      <c r="F865" s="17"/>
      <c r="G865" s="101"/>
      <c r="H865" s="102"/>
      <c r="I865" s="102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spans="1:29" ht="21" customHeight="1">
      <c r="A866" s="17"/>
      <c r="B866" s="17"/>
      <c r="C866" s="17"/>
      <c r="D866" s="17"/>
      <c r="E866" s="17"/>
      <c r="F866" s="17"/>
      <c r="G866" s="101"/>
      <c r="H866" s="102"/>
      <c r="I866" s="102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 ht="21" customHeight="1">
      <c r="A867" s="17"/>
      <c r="B867" s="17"/>
      <c r="C867" s="17"/>
      <c r="D867" s="17"/>
      <c r="E867" s="17"/>
      <c r="F867" s="17"/>
      <c r="G867" s="101"/>
      <c r="H867" s="102"/>
      <c r="I867" s="102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spans="1:29" ht="21" customHeight="1">
      <c r="A868" s="17"/>
      <c r="B868" s="17"/>
      <c r="C868" s="17"/>
      <c r="D868" s="17"/>
      <c r="E868" s="17"/>
      <c r="F868" s="17"/>
      <c r="G868" s="101"/>
      <c r="H868" s="102"/>
      <c r="I868" s="102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spans="1:29" ht="21" customHeight="1">
      <c r="A869" s="17"/>
      <c r="B869" s="17"/>
      <c r="C869" s="17"/>
      <c r="D869" s="17"/>
      <c r="E869" s="17"/>
      <c r="F869" s="17"/>
      <c r="G869" s="101"/>
      <c r="H869" s="102"/>
      <c r="I869" s="102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spans="1:29" ht="21" customHeight="1">
      <c r="A870" s="17"/>
      <c r="B870" s="17"/>
      <c r="C870" s="17"/>
      <c r="D870" s="17"/>
      <c r="E870" s="17"/>
      <c r="F870" s="17"/>
      <c r="G870" s="101"/>
      <c r="H870" s="102"/>
      <c r="I870" s="102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spans="1:29" ht="21" customHeight="1">
      <c r="A871" s="17"/>
      <c r="B871" s="17"/>
      <c r="C871" s="17"/>
      <c r="D871" s="17"/>
      <c r="E871" s="17"/>
      <c r="F871" s="17"/>
      <c r="G871" s="101"/>
      <c r="H871" s="102"/>
      <c r="I871" s="102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spans="1:29" ht="21" customHeight="1">
      <c r="A872" s="17"/>
      <c r="B872" s="17"/>
      <c r="C872" s="17"/>
      <c r="D872" s="17"/>
      <c r="E872" s="17"/>
      <c r="F872" s="17"/>
      <c r="G872" s="101"/>
      <c r="H872" s="102"/>
      <c r="I872" s="102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spans="1:29" ht="21" customHeight="1">
      <c r="A873" s="17"/>
      <c r="B873" s="17"/>
      <c r="C873" s="17"/>
      <c r="D873" s="17"/>
      <c r="E873" s="17"/>
      <c r="F873" s="17"/>
      <c r="G873" s="101"/>
      <c r="H873" s="102"/>
      <c r="I873" s="102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ht="21" customHeight="1">
      <c r="A874" s="17"/>
      <c r="B874" s="17"/>
      <c r="C874" s="17"/>
      <c r="D874" s="17"/>
      <c r="E874" s="17"/>
      <c r="F874" s="17"/>
      <c r="G874" s="101"/>
      <c r="H874" s="102"/>
      <c r="I874" s="102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spans="1:29" ht="21" customHeight="1">
      <c r="A875" s="17"/>
      <c r="B875" s="17"/>
      <c r="C875" s="17"/>
      <c r="D875" s="17"/>
      <c r="E875" s="17"/>
      <c r="F875" s="17"/>
      <c r="G875" s="101"/>
      <c r="H875" s="102"/>
      <c r="I875" s="102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spans="1:29" ht="21" customHeight="1">
      <c r="A876" s="17"/>
      <c r="B876" s="17"/>
      <c r="C876" s="17"/>
      <c r="D876" s="17"/>
      <c r="E876" s="17"/>
      <c r="F876" s="17"/>
      <c r="G876" s="101"/>
      <c r="H876" s="102"/>
      <c r="I876" s="102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spans="1:29" ht="21" customHeight="1">
      <c r="A877" s="17"/>
      <c r="B877" s="17"/>
      <c r="C877" s="17"/>
      <c r="D877" s="17"/>
      <c r="E877" s="17"/>
      <c r="F877" s="17"/>
      <c r="G877" s="101"/>
      <c r="H877" s="102"/>
      <c r="I877" s="102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spans="1:29" ht="21" customHeight="1">
      <c r="A878" s="17"/>
      <c r="B878" s="17"/>
      <c r="C878" s="17"/>
      <c r="D878" s="17"/>
      <c r="E878" s="17"/>
      <c r="F878" s="17"/>
      <c r="G878" s="101"/>
      <c r="H878" s="102"/>
      <c r="I878" s="102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spans="1:29" ht="21" customHeight="1">
      <c r="A879" s="17"/>
      <c r="B879" s="17"/>
      <c r="C879" s="17"/>
      <c r="D879" s="17"/>
      <c r="E879" s="17"/>
      <c r="F879" s="17"/>
      <c r="G879" s="101"/>
      <c r="H879" s="102"/>
      <c r="I879" s="102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spans="1:29" ht="21" customHeight="1">
      <c r="A880" s="17"/>
      <c r="B880" s="17"/>
      <c r="C880" s="17"/>
      <c r="D880" s="17"/>
      <c r="E880" s="17"/>
      <c r="F880" s="17"/>
      <c r="G880" s="101"/>
      <c r="H880" s="102"/>
      <c r="I880" s="102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spans="1:29" ht="21" customHeight="1">
      <c r="A881" s="17"/>
      <c r="B881" s="17"/>
      <c r="C881" s="17"/>
      <c r="D881" s="17"/>
      <c r="E881" s="17"/>
      <c r="F881" s="17"/>
      <c r="G881" s="101"/>
      <c r="H881" s="102"/>
      <c r="I881" s="102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spans="1:29" ht="21" customHeight="1">
      <c r="A882" s="17"/>
      <c r="B882" s="17"/>
      <c r="C882" s="17"/>
      <c r="D882" s="17"/>
      <c r="E882" s="17"/>
      <c r="F882" s="17"/>
      <c r="G882" s="101"/>
      <c r="H882" s="102"/>
      <c r="I882" s="102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spans="1:29" ht="21" customHeight="1">
      <c r="A883" s="17"/>
      <c r="B883" s="17"/>
      <c r="C883" s="17"/>
      <c r="D883" s="17"/>
      <c r="E883" s="17"/>
      <c r="F883" s="17"/>
      <c r="G883" s="101"/>
      <c r="H883" s="102"/>
      <c r="I883" s="102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spans="1:29" ht="21" customHeight="1">
      <c r="A884" s="17"/>
      <c r="B884" s="17"/>
      <c r="C884" s="17"/>
      <c r="D884" s="17"/>
      <c r="E884" s="17"/>
      <c r="F884" s="17"/>
      <c r="G884" s="101"/>
      <c r="H884" s="102"/>
      <c r="I884" s="102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spans="1:29" ht="21" customHeight="1">
      <c r="A885" s="17"/>
      <c r="B885" s="17"/>
      <c r="C885" s="17"/>
      <c r="D885" s="17"/>
      <c r="E885" s="17"/>
      <c r="F885" s="17"/>
      <c r="G885" s="101"/>
      <c r="H885" s="102"/>
      <c r="I885" s="102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spans="1:29" ht="21" customHeight="1">
      <c r="A886" s="17"/>
      <c r="B886" s="17"/>
      <c r="C886" s="17"/>
      <c r="D886" s="17"/>
      <c r="E886" s="17"/>
      <c r="F886" s="17"/>
      <c r="G886" s="101"/>
      <c r="H886" s="102"/>
      <c r="I886" s="102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spans="1:29" ht="21" customHeight="1">
      <c r="A887" s="17"/>
      <c r="B887" s="17"/>
      <c r="C887" s="17"/>
      <c r="D887" s="17"/>
      <c r="E887" s="17"/>
      <c r="F887" s="17"/>
      <c r="G887" s="101"/>
      <c r="H887" s="102"/>
      <c r="I887" s="102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spans="1:29" ht="21" customHeight="1">
      <c r="A888" s="17"/>
      <c r="B888" s="17"/>
      <c r="C888" s="17"/>
      <c r="D888" s="17"/>
      <c r="E888" s="17"/>
      <c r="F888" s="17"/>
      <c r="G888" s="101"/>
      <c r="H888" s="102"/>
      <c r="I888" s="102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spans="1:29" ht="21" customHeight="1">
      <c r="A889" s="17"/>
      <c r="B889" s="17"/>
      <c r="C889" s="17"/>
      <c r="D889" s="17"/>
      <c r="E889" s="17"/>
      <c r="F889" s="17"/>
      <c r="G889" s="101"/>
      <c r="H889" s="102"/>
      <c r="I889" s="102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spans="1:29" ht="21" customHeight="1">
      <c r="A890" s="17"/>
      <c r="B890" s="17"/>
      <c r="C890" s="17"/>
      <c r="D890" s="17"/>
      <c r="E890" s="17"/>
      <c r="F890" s="17"/>
      <c r="G890" s="101"/>
      <c r="H890" s="102"/>
      <c r="I890" s="102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spans="1:29" ht="21" customHeight="1">
      <c r="A891" s="17"/>
      <c r="B891" s="17"/>
      <c r="C891" s="17"/>
      <c r="D891" s="17"/>
      <c r="E891" s="17"/>
      <c r="F891" s="17"/>
      <c r="G891" s="101"/>
      <c r="H891" s="102"/>
      <c r="I891" s="102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spans="1:29" ht="21" customHeight="1">
      <c r="A892" s="17"/>
      <c r="B892" s="17"/>
      <c r="C892" s="17"/>
      <c r="D892" s="17"/>
      <c r="E892" s="17"/>
      <c r="F892" s="17"/>
      <c r="G892" s="101"/>
      <c r="H892" s="102"/>
      <c r="I892" s="102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spans="1:29" ht="21" customHeight="1">
      <c r="A893" s="17"/>
      <c r="B893" s="17"/>
      <c r="C893" s="17"/>
      <c r="D893" s="17"/>
      <c r="E893" s="17"/>
      <c r="F893" s="17"/>
      <c r="G893" s="101"/>
      <c r="H893" s="102"/>
      <c r="I893" s="102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spans="1:29" ht="21" customHeight="1">
      <c r="A894" s="17"/>
      <c r="B894" s="17"/>
      <c r="C894" s="17"/>
      <c r="D894" s="17"/>
      <c r="E894" s="17"/>
      <c r="F894" s="17"/>
      <c r="G894" s="101"/>
      <c r="H894" s="102"/>
      <c r="I894" s="102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spans="1:29" ht="21" customHeight="1">
      <c r="A895" s="17"/>
      <c r="B895" s="17"/>
      <c r="C895" s="17"/>
      <c r="D895" s="17"/>
      <c r="E895" s="17"/>
      <c r="F895" s="17"/>
      <c r="G895" s="101"/>
      <c r="H895" s="102"/>
      <c r="I895" s="102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spans="1:29" ht="21" customHeight="1">
      <c r="A896" s="17"/>
      <c r="B896" s="17"/>
      <c r="C896" s="17"/>
      <c r="D896" s="17"/>
      <c r="E896" s="17"/>
      <c r="F896" s="17"/>
      <c r="G896" s="101"/>
      <c r="H896" s="102"/>
      <c r="I896" s="102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ht="21" customHeight="1">
      <c r="A897" s="17"/>
      <c r="B897" s="17"/>
      <c r="C897" s="17"/>
      <c r="D897" s="17"/>
      <c r="E897" s="17"/>
      <c r="F897" s="17"/>
      <c r="G897" s="101"/>
      <c r="H897" s="102"/>
      <c r="I897" s="102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spans="1:29" ht="21" customHeight="1">
      <c r="A898" s="17"/>
      <c r="B898" s="17"/>
      <c r="C898" s="17"/>
      <c r="D898" s="17"/>
      <c r="E898" s="17"/>
      <c r="F898" s="17"/>
      <c r="G898" s="101"/>
      <c r="H898" s="102"/>
      <c r="I898" s="102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spans="1:29" ht="21" customHeight="1">
      <c r="A899" s="17"/>
      <c r="B899" s="17"/>
      <c r="C899" s="17"/>
      <c r="D899" s="17"/>
      <c r="E899" s="17"/>
      <c r="F899" s="17"/>
      <c r="G899" s="101"/>
      <c r="H899" s="102"/>
      <c r="I899" s="102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spans="1:29" ht="21" customHeight="1">
      <c r="A900" s="17"/>
      <c r="B900" s="17"/>
      <c r="C900" s="17"/>
      <c r="D900" s="17"/>
      <c r="E900" s="17"/>
      <c r="F900" s="17"/>
      <c r="G900" s="101"/>
      <c r="H900" s="102"/>
      <c r="I900" s="102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spans="1:29" ht="21" customHeight="1">
      <c r="A901" s="17"/>
      <c r="B901" s="17"/>
      <c r="C901" s="17"/>
      <c r="D901" s="17"/>
      <c r="E901" s="17"/>
      <c r="F901" s="17"/>
      <c r="G901" s="101"/>
      <c r="H901" s="102"/>
      <c r="I901" s="102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ht="21" customHeight="1">
      <c r="A902" s="17"/>
      <c r="B902" s="17"/>
      <c r="C902" s="17"/>
      <c r="D902" s="17"/>
      <c r="E902" s="17"/>
      <c r="F902" s="17"/>
      <c r="G902" s="101"/>
      <c r="H902" s="102"/>
      <c r="I902" s="102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21" customHeight="1">
      <c r="A903" s="17"/>
      <c r="B903" s="17"/>
      <c r="C903" s="17"/>
      <c r="D903" s="17"/>
      <c r="E903" s="17"/>
      <c r="F903" s="17"/>
      <c r="G903" s="101"/>
      <c r="H903" s="102"/>
      <c r="I903" s="102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 ht="21" customHeight="1">
      <c r="A904" s="17"/>
      <c r="B904" s="17"/>
      <c r="C904" s="17"/>
      <c r="D904" s="17"/>
      <c r="E904" s="17"/>
      <c r="F904" s="17"/>
      <c r="G904" s="101"/>
      <c r="H904" s="102"/>
      <c r="I904" s="102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spans="1:29" ht="21" customHeight="1">
      <c r="A905" s="17"/>
      <c r="B905" s="17"/>
      <c r="C905" s="17"/>
      <c r="D905" s="17"/>
      <c r="E905" s="17"/>
      <c r="F905" s="17"/>
      <c r="G905" s="101"/>
      <c r="H905" s="102"/>
      <c r="I905" s="102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spans="1:29" ht="21" customHeight="1">
      <c r="A906" s="17"/>
      <c r="B906" s="17"/>
      <c r="C906" s="17"/>
      <c r="D906" s="17"/>
      <c r="E906" s="17"/>
      <c r="F906" s="17"/>
      <c r="G906" s="101"/>
      <c r="H906" s="102"/>
      <c r="I906" s="102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spans="1:29" ht="21" customHeight="1">
      <c r="A907" s="17"/>
      <c r="B907" s="17"/>
      <c r="C907" s="17"/>
      <c r="D907" s="17"/>
      <c r="E907" s="17"/>
      <c r="F907" s="17"/>
      <c r="G907" s="101"/>
      <c r="H907" s="102"/>
      <c r="I907" s="102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spans="1:29" ht="21" customHeight="1">
      <c r="A908" s="17"/>
      <c r="B908" s="17"/>
      <c r="C908" s="17"/>
      <c r="D908" s="17"/>
      <c r="E908" s="17"/>
      <c r="F908" s="17"/>
      <c r="G908" s="101"/>
      <c r="H908" s="102"/>
      <c r="I908" s="102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spans="1:29" ht="21" customHeight="1">
      <c r="A909" s="17"/>
      <c r="B909" s="17"/>
      <c r="C909" s="17"/>
      <c r="D909" s="17"/>
      <c r="E909" s="17"/>
      <c r="F909" s="17"/>
      <c r="G909" s="101"/>
      <c r="H909" s="102"/>
      <c r="I909" s="102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spans="1:29" ht="21" customHeight="1">
      <c r="A910" s="17"/>
      <c r="B910" s="17"/>
      <c r="C910" s="17"/>
      <c r="D910" s="17"/>
      <c r="E910" s="17"/>
      <c r="F910" s="17"/>
      <c r="G910" s="101"/>
      <c r="H910" s="102"/>
      <c r="I910" s="102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spans="1:29" ht="21" customHeight="1">
      <c r="A911" s="17"/>
      <c r="B911" s="17"/>
      <c r="C911" s="17"/>
      <c r="D911" s="17"/>
      <c r="E911" s="17"/>
      <c r="F911" s="17"/>
      <c r="G911" s="101"/>
      <c r="H911" s="102"/>
      <c r="I911" s="102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spans="1:29" ht="21" customHeight="1">
      <c r="A912" s="17"/>
      <c r="B912" s="17"/>
      <c r="C912" s="17"/>
      <c r="D912" s="17"/>
      <c r="E912" s="17"/>
      <c r="F912" s="17"/>
      <c r="G912" s="101"/>
      <c r="H912" s="102"/>
      <c r="I912" s="102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spans="1:29" ht="21" customHeight="1">
      <c r="A913" s="17"/>
      <c r="B913" s="17"/>
      <c r="C913" s="17"/>
      <c r="D913" s="17"/>
      <c r="E913" s="17"/>
      <c r="F913" s="17"/>
      <c r="G913" s="101"/>
      <c r="H913" s="102"/>
      <c r="I913" s="102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spans="1:29" ht="21" customHeight="1">
      <c r="A914" s="17"/>
      <c r="B914" s="17"/>
      <c r="C914" s="17"/>
      <c r="D914" s="17"/>
      <c r="E914" s="17"/>
      <c r="F914" s="17"/>
      <c r="G914" s="101"/>
      <c r="H914" s="102"/>
      <c r="I914" s="102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spans="1:29" ht="21" customHeight="1">
      <c r="A915" s="17"/>
      <c r="B915" s="17"/>
      <c r="C915" s="17"/>
      <c r="D915" s="17"/>
      <c r="E915" s="17"/>
      <c r="F915" s="17"/>
      <c r="G915" s="101"/>
      <c r="H915" s="102"/>
      <c r="I915" s="102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spans="1:29" ht="21" customHeight="1">
      <c r="A916" s="17"/>
      <c r="B916" s="17"/>
      <c r="C916" s="17"/>
      <c r="D916" s="17"/>
      <c r="E916" s="17"/>
      <c r="F916" s="17"/>
      <c r="G916" s="101"/>
      <c r="H916" s="102"/>
      <c r="I916" s="102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spans="1:29" ht="21" customHeight="1">
      <c r="A917" s="17"/>
      <c r="B917" s="17"/>
      <c r="C917" s="17"/>
      <c r="D917" s="17"/>
      <c r="E917" s="17"/>
      <c r="F917" s="17"/>
      <c r="G917" s="101"/>
      <c r="H917" s="102"/>
      <c r="I917" s="102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spans="1:29" ht="21" customHeight="1">
      <c r="A918" s="17"/>
      <c r="B918" s="17"/>
      <c r="C918" s="17"/>
      <c r="D918" s="17"/>
      <c r="E918" s="17"/>
      <c r="F918" s="17"/>
      <c r="G918" s="101"/>
      <c r="H918" s="102"/>
      <c r="I918" s="102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spans="1:29" ht="21" customHeight="1">
      <c r="A919" s="17"/>
      <c r="B919" s="17"/>
      <c r="C919" s="17"/>
      <c r="D919" s="17"/>
      <c r="E919" s="17"/>
      <c r="F919" s="17"/>
      <c r="G919" s="101"/>
      <c r="H919" s="102"/>
      <c r="I919" s="102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spans="1:29" ht="21" customHeight="1">
      <c r="A920" s="17"/>
      <c r="B920" s="17"/>
      <c r="C920" s="17"/>
      <c r="D920" s="17"/>
      <c r="E920" s="17"/>
      <c r="F920" s="17"/>
      <c r="G920" s="101"/>
      <c r="H920" s="102"/>
      <c r="I920" s="102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spans="1:29" ht="21" customHeight="1">
      <c r="A921" s="17"/>
      <c r="B921" s="17"/>
      <c r="C921" s="17"/>
      <c r="D921" s="17"/>
      <c r="E921" s="17"/>
      <c r="F921" s="17"/>
      <c r="G921" s="101"/>
      <c r="H921" s="102"/>
      <c r="I921" s="102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spans="1:29" ht="21" customHeight="1">
      <c r="A922" s="17"/>
      <c r="B922" s="17"/>
      <c r="C922" s="17"/>
      <c r="D922" s="17"/>
      <c r="E922" s="17"/>
      <c r="F922" s="17"/>
      <c r="G922" s="101"/>
      <c r="H922" s="102"/>
      <c r="I922" s="102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spans="1:29" ht="21" customHeight="1">
      <c r="A923" s="17"/>
      <c r="B923" s="17"/>
      <c r="C923" s="17"/>
      <c r="D923" s="17"/>
      <c r="E923" s="17"/>
      <c r="F923" s="17"/>
      <c r="G923" s="101"/>
      <c r="H923" s="102"/>
      <c r="I923" s="102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 ht="21" customHeight="1">
      <c r="A924" s="17"/>
      <c r="B924" s="17"/>
      <c r="C924" s="17"/>
      <c r="D924" s="17"/>
      <c r="E924" s="17"/>
      <c r="F924" s="17"/>
      <c r="G924" s="101"/>
      <c r="H924" s="102"/>
      <c r="I924" s="102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spans="1:29" ht="21" customHeight="1">
      <c r="A925" s="17"/>
      <c r="B925" s="17"/>
      <c r="C925" s="17"/>
      <c r="D925" s="17"/>
      <c r="E925" s="17"/>
      <c r="F925" s="17"/>
      <c r="G925" s="101"/>
      <c r="H925" s="102"/>
      <c r="I925" s="102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ht="21" customHeight="1">
      <c r="A926" s="17"/>
      <c r="B926" s="17"/>
      <c r="C926" s="17"/>
      <c r="D926" s="17"/>
      <c r="E926" s="17"/>
      <c r="F926" s="17"/>
      <c r="G926" s="101"/>
      <c r="H926" s="102"/>
      <c r="I926" s="102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spans="1:29" ht="21" customHeight="1">
      <c r="A927" s="17"/>
      <c r="B927" s="17"/>
      <c r="C927" s="17"/>
      <c r="D927" s="17"/>
      <c r="E927" s="17"/>
      <c r="F927" s="17"/>
      <c r="G927" s="101"/>
      <c r="H927" s="102"/>
      <c r="I927" s="102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spans="1:29" ht="21" customHeight="1">
      <c r="A928" s="17"/>
      <c r="B928" s="17"/>
      <c r="C928" s="17"/>
      <c r="D928" s="17"/>
      <c r="E928" s="17"/>
      <c r="F928" s="17"/>
      <c r="G928" s="101"/>
      <c r="H928" s="102"/>
      <c r="I928" s="102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spans="1:29" ht="21" customHeight="1">
      <c r="A929" s="17"/>
      <c r="B929" s="17"/>
      <c r="C929" s="17"/>
      <c r="D929" s="17"/>
      <c r="E929" s="17"/>
      <c r="F929" s="17"/>
      <c r="G929" s="101"/>
      <c r="H929" s="102"/>
      <c r="I929" s="102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spans="1:29" ht="21" customHeight="1">
      <c r="A930" s="17"/>
      <c r="B930" s="17"/>
      <c r="C930" s="17"/>
      <c r="D930" s="17"/>
      <c r="E930" s="17"/>
      <c r="F930" s="17"/>
      <c r="G930" s="101"/>
      <c r="H930" s="102"/>
      <c r="I930" s="102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spans="1:29" ht="21" customHeight="1">
      <c r="A931" s="17"/>
      <c r="B931" s="17"/>
      <c r="C931" s="17"/>
      <c r="D931" s="17"/>
      <c r="E931" s="17"/>
      <c r="F931" s="17"/>
      <c r="G931" s="101"/>
      <c r="H931" s="102"/>
      <c r="I931" s="102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spans="1:29" ht="21" customHeight="1">
      <c r="A932" s="17"/>
      <c r="B932" s="17"/>
      <c r="C932" s="17"/>
      <c r="D932" s="17"/>
      <c r="E932" s="17"/>
      <c r="F932" s="17"/>
      <c r="G932" s="101"/>
      <c r="H932" s="102"/>
      <c r="I932" s="102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spans="1:29" ht="21" customHeight="1">
      <c r="A933" s="17"/>
      <c r="B933" s="17"/>
      <c r="C933" s="17"/>
      <c r="D933" s="17"/>
      <c r="E933" s="17"/>
      <c r="F933" s="17"/>
      <c r="G933" s="101"/>
      <c r="H933" s="102"/>
      <c r="I933" s="102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spans="1:29" ht="21" customHeight="1">
      <c r="A934" s="17"/>
      <c r="B934" s="17"/>
      <c r="C934" s="17"/>
      <c r="D934" s="17"/>
      <c r="E934" s="17"/>
      <c r="F934" s="17"/>
      <c r="G934" s="101"/>
      <c r="H934" s="102"/>
      <c r="I934" s="102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ht="21" customHeight="1">
      <c r="A935" s="17"/>
      <c r="B935" s="17"/>
      <c r="C935" s="17"/>
      <c r="D935" s="17"/>
      <c r="E935" s="17"/>
      <c r="F935" s="17"/>
      <c r="G935" s="101"/>
      <c r="H935" s="102"/>
      <c r="I935" s="102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spans="1:29" ht="21" customHeight="1">
      <c r="A936" s="17"/>
      <c r="B936" s="17"/>
      <c r="C936" s="17"/>
      <c r="D936" s="17"/>
      <c r="E936" s="17"/>
      <c r="F936" s="17"/>
      <c r="G936" s="101"/>
      <c r="H936" s="102"/>
      <c r="I936" s="102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spans="1:29" ht="21" customHeight="1">
      <c r="A937" s="17"/>
      <c r="B937" s="17"/>
      <c r="C937" s="17"/>
      <c r="D937" s="17"/>
      <c r="E937" s="17"/>
      <c r="F937" s="17"/>
      <c r="G937" s="101"/>
      <c r="H937" s="102"/>
      <c r="I937" s="102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spans="1:29" ht="21" customHeight="1">
      <c r="A938" s="17"/>
      <c r="B938" s="17"/>
      <c r="C938" s="17"/>
      <c r="D938" s="17"/>
      <c r="E938" s="17"/>
      <c r="F938" s="17"/>
      <c r="G938" s="101"/>
      <c r="H938" s="102"/>
      <c r="I938" s="102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spans="1:29" ht="21" customHeight="1">
      <c r="A939" s="17"/>
      <c r="B939" s="17"/>
      <c r="C939" s="17"/>
      <c r="D939" s="17"/>
      <c r="E939" s="17"/>
      <c r="F939" s="17"/>
      <c r="G939" s="101"/>
      <c r="H939" s="102"/>
      <c r="I939" s="102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spans="1:29" ht="21" customHeight="1">
      <c r="A940" s="17"/>
      <c r="B940" s="17"/>
      <c r="C940" s="17"/>
      <c r="D940" s="17"/>
      <c r="E940" s="17"/>
      <c r="F940" s="17"/>
      <c r="G940" s="101"/>
      <c r="H940" s="102"/>
      <c r="I940" s="102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spans="1:29" ht="21" customHeight="1">
      <c r="A941" s="17"/>
      <c r="B941" s="17"/>
      <c r="C941" s="17"/>
      <c r="D941" s="17"/>
      <c r="E941" s="17"/>
      <c r="F941" s="17"/>
      <c r="G941" s="101"/>
      <c r="H941" s="102"/>
      <c r="I941" s="102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spans="1:29" ht="21" customHeight="1">
      <c r="A942" s="17"/>
      <c r="B942" s="17"/>
      <c r="C942" s="17"/>
      <c r="D942" s="17"/>
      <c r="E942" s="17"/>
      <c r="F942" s="17"/>
      <c r="G942" s="101"/>
      <c r="H942" s="102"/>
      <c r="I942" s="102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spans="1:29" ht="21" customHeight="1">
      <c r="A943" s="17"/>
      <c r="B943" s="17"/>
      <c r="C943" s="17"/>
      <c r="D943" s="17"/>
      <c r="E943" s="17"/>
      <c r="F943" s="17"/>
      <c r="G943" s="101"/>
      <c r="H943" s="102"/>
      <c r="I943" s="102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spans="1:29" ht="21" customHeight="1">
      <c r="A944" s="17"/>
      <c r="B944" s="17"/>
      <c r="C944" s="17"/>
      <c r="D944" s="17"/>
      <c r="E944" s="17"/>
      <c r="F944" s="17"/>
      <c r="G944" s="101"/>
      <c r="H944" s="102"/>
      <c r="I944" s="102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spans="1:29" ht="21" customHeight="1">
      <c r="A945" s="17"/>
      <c r="B945" s="17"/>
      <c r="C945" s="17"/>
      <c r="D945" s="17"/>
      <c r="E945" s="17"/>
      <c r="F945" s="17"/>
      <c r="G945" s="101"/>
      <c r="H945" s="102"/>
      <c r="I945" s="102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ht="21" customHeight="1">
      <c r="A946" s="17"/>
      <c r="B946" s="17"/>
      <c r="C946" s="17"/>
      <c r="D946" s="17"/>
      <c r="E946" s="17"/>
      <c r="F946" s="17"/>
      <c r="G946" s="101"/>
      <c r="H946" s="102"/>
      <c r="I946" s="102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spans="1:29" ht="21" customHeight="1">
      <c r="A947" s="17"/>
      <c r="B947" s="17"/>
      <c r="C947" s="17"/>
      <c r="D947" s="17"/>
      <c r="E947" s="17"/>
      <c r="F947" s="17"/>
      <c r="G947" s="101"/>
      <c r="H947" s="102"/>
      <c r="I947" s="102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spans="1:29" ht="21" customHeight="1">
      <c r="A948" s="17"/>
      <c r="B948" s="17"/>
      <c r="C948" s="17"/>
      <c r="D948" s="17"/>
      <c r="E948" s="17"/>
      <c r="F948" s="17"/>
      <c r="G948" s="101"/>
      <c r="H948" s="102"/>
      <c r="I948" s="102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spans="1:29" ht="21" customHeight="1">
      <c r="A949" s="17"/>
      <c r="B949" s="17"/>
      <c r="C949" s="17"/>
      <c r="D949" s="17"/>
      <c r="E949" s="17"/>
      <c r="F949" s="17"/>
      <c r="G949" s="101"/>
      <c r="H949" s="102"/>
      <c r="I949" s="102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spans="1:29" ht="21" customHeight="1">
      <c r="A950" s="17"/>
      <c r="B950" s="17"/>
      <c r="C950" s="17"/>
      <c r="D950" s="17"/>
      <c r="E950" s="17"/>
      <c r="F950" s="17"/>
      <c r="G950" s="101"/>
      <c r="H950" s="102"/>
      <c r="I950" s="102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spans="1:29" ht="21" customHeight="1">
      <c r="A951" s="17"/>
      <c r="B951" s="17"/>
      <c r="C951" s="17"/>
      <c r="D951" s="17"/>
      <c r="E951" s="17"/>
      <c r="F951" s="17"/>
      <c r="G951" s="101"/>
      <c r="H951" s="102"/>
      <c r="I951" s="102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spans="1:29" ht="21" customHeight="1">
      <c r="A952" s="17"/>
      <c r="B952" s="17"/>
      <c r="C952" s="17"/>
      <c r="D952" s="17"/>
      <c r="E952" s="17"/>
      <c r="F952" s="17"/>
      <c r="G952" s="101"/>
      <c r="H952" s="102"/>
      <c r="I952" s="102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spans="1:29" ht="21" customHeight="1">
      <c r="A953" s="17"/>
      <c r="B953" s="17"/>
      <c r="C953" s="17"/>
      <c r="D953" s="17"/>
      <c r="E953" s="17"/>
      <c r="F953" s="17"/>
      <c r="G953" s="101"/>
      <c r="H953" s="102"/>
      <c r="I953" s="102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spans="1:29" ht="21" customHeight="1">
      <c r="A954" s="17"/>
      <c r="B954" s="17"/>
      <c r="C954" s="17"/>
      <c r="D954" s="17"/>
      <c r="E954" s="17"/>
      <c r="F954" s="17"/>
      <c r="G954" s="101"/>
      <c r="H954" s="102"/>
      <c r="I954" s="102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spans="1:29" ht="21" customHeight="1">
      <c r="A955" s="17"/>
      <c r="B955" s="17"/>
      <c r="C955" s="17"/>
      <c r="D955" s="17"/>
      <c r="E955" s="17"/>
      <c r="F955" s="17"/>
      <c r="G955" s="101"/>
      <c r="H955" s="102"/>
      <c r="I955" s="102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spans="1:29" ht="21" customHeight="1">
      <c r="A956" s="17"/>
      <c r="B956" s="17"/>
      <c r="C956" s="17"/>
      <c r="D956" s="17"/>
      <c r="E956" s="17"/>
      <c r="F956" s="17"/>
      <c r="G956" s="101"/>
      <c r="H956" s="102"/>
      <c r="I956" s="102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spans="1:29" ht="21" customHeight="1">
      <c r="A957" s="17"/>
      <c r="B957" s="17"/>
      <c r="C957" s="17"/>
      <c r="D957" s="17"/>
      <c r="E957" s="17"/>
      <c r="F957" s="17"/>
      <c r="G957" s="101"/>
      <c r="H957" s="102"/>
      <c r="I957" s="102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spans="1:29" ht="21" customHeight="1">
      <c r="A958" s="17"/>
      <c r="B958" s="17"/>
      <c r="C958" s="17"/>
      <c r="D958" s="17"/>
      <c r="E958" s="17"/>
      <c r="F958" s="17"/>
      <c r="G958" s="101"/>
      <c r="H958" s="102"/>
      <c r="I958" s="102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spans="1:29" ht="21" customHeight="1">
      <c r="A959" s="17"/>
      <c r="B959" s="17"/>
      <c r="C959" s="17"/>
      <c r="D959" s="17"/>
      <c r="E959" s="17"/>
      <c r="F959" s="17"/>
      <c r="G959" s="101"/>
      <c r="H959" s="102"/>
      <c r="I959" s="102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21" customHeight="1">
      <c r="A960" s="17"/>
      <c r="B960" s="17"/>
      <c r="C960" s="17"/>
      <c r="D960" s="17"/>
      <c r="E960" s="17"/>
      <c r="F960" s="17"/>
      <c r="G960" s="101"/>
      <c r="H960" s="102"/>
      <c r="I960" s="102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 ht="21" customHeight="1">
      <c r="A961" s="17"/>
      <c r="B961" s="17"/>
      <c r="C961" s="17"/>
      <c r="D961" s="17"/>
      <c r="E961" s="17"/>
      <c r="F961" s="17"/>
      <c r="G961" s="101"/>
      <c r="H961" s="102"/>
      <c r="I961" s="102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spans="1:29" ht="21" customHeight="1">
      <c r="A962" s="17"/>
      <c r="B962" s="17"/>
      <c r="C962" s="17"/>
      <c r="D962" s="17"/>
      <c r="E962" s="17"/>
      <c r="F962" s="17"/>
      <c r="G962" s="101"/>
      <c r="H962" s="102"/>
      <c r="I962" s="102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spans="1:29" ht="21" customHeight="1">
      <c r="A963" s="17"/>
      <c r="B963" s="17"/>
      <c r="C963" s="17"/>
      <c r="D963" s="17"/>
      <c r="E963" s="17"/>
      <c r="F963" s="17"/>
      <c r="G963" s="101"/>
      <c r="H963" s="102"/>
      <c r="I963" s="102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ht="21" customHeight="1">
      <c r="A964" s="17"/>
      <c r="B964" s="17"/>
      <c r="C964" s="17"/>
      <c r="D964" s="17"/>
      <c r="E964" s="17"/>
      <c r="F964" s="17"/>
      <c r="G964" s="101"/>
      <c r="H964" s="102"/>
      <c r="I964" s="102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spans="1:29" ht="21" customHeight="1">
      <c r="A965" s="17"/>
      <c r="B965" s="17"/>
      <c r="C965" s="17"/>
      <c r="D965" s="17"/>
      <c r="E965" s="17"/>
      <c r="F965" s="17"/>
      <c r="G965" s="101"/>
      <c r="H965" s="102"/>
      <c r="I965" s="102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spans="1:29" ht="21" customHeight="1">
      <c r="A966" s="17"/>
      <c r="B966" s="17"/>
      <c r="C966" s="17"/>
      <c r="D966" s="17"/>
      <c r="E966" s="17"/>
      <c r="F966" s="17"/>
      <c r="G966" s="101"/>
      <c r="H966" s="102"/>
      <c r="I966" s="102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spans="1:29" ht="21" customHeight="1">
      <c r="A967" s="17"/>
      <c r="B967" s="17"/>
      <c r="C967" s="17"/>
      <c r="D967" s="17"/>
      <c r="E967" s="17"/>
      <c r="F967" s="17"/>
      <c r="G967" s="101"/>
      <c r="H967" s="102"/>
      <c r="I967" s="102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spans="1:29" ht="21" customHeight="1">
      <c r="A968" s="17"/>
      <c r="B968" s="17"/>
      <c r="C968" s="17"/>
      <c r="D968" s="17"/>
      <c r="E968" s="17"/>
      <c r="F968" s="17"/>
      <c r="G968" s="101"/>
      <c r="H968" s="102"/>
      <c r="I968" s="102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ht="21" customHeight="1">
      <c r="A969" s="17"/>
      <c r="B969" s="17"/>
      <c r="C969" s="17"/>
      <c r="D969" s="17"/>
      <c r="E969" s="17"/>
      <c r="F969" s="17"/>
      <c r="G969" s="101"/>
      <c r="H969" s="102"/>
      <c r="I969" s="102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spans="1:29" ht="21" customHeight="1">
      <c r="A970" s="17"/>
      <c r="B970" s="17"/>
      <c r="C970" s="17"/>
      <c r="D970" s="17"/>
      <c r="E970" s="17"/>
      <c r="F970" s="17"/>
      <c r="G970" s="101"/>
      <c r="H970" s="102"/>
      <c r="I970" s="102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spans="1:29" ht="21" customHeight="1">
      <c r="A971" s="17"/>
      <c r="B971" s="17"/>
      <c r="C971" s="17"/>
      <c r="D971" s="17"/>
      <c r="E971" s="17"/>
      <c r="F971" s="17"/>
      <c r="G971" s="101"/>
      <c r="H971" s="102"/>
      <c r="I971" s="102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spans="1:29" ht="21" customHeight="1">
      <c r="A972" s="17"/>
      <c r="B972" s="17"/>
      <c r="C972" s="17"/>
      <c r="D972" s="17"/>
      <c r="E972" s="17"/>
      <c r="F972" s="17"/>
      <c r="G972" s="101"/>
      <c r="H972" s="102"/>
      <c r="I972" s="102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spans="1:29" ht="21" customHeight="1">
      <c r="A973" s="17"/>
      <c r="B973" s="17"/>
      <c r="C973" s="17"/>
      <c r="D973" s="17"/>
      <c r="E973" s="17"/>
      <c r="F973" s="17"/>
      <c r="G973" s="101"/>
      <c r="H973" s="102"/>
      <c r="I973" s="102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spans="1:29" ht="21" customHeight="1">
      <c r="A974" s="17"/>
      <c r="B974" s="17"/>
      <c r="C974" s="17"/>
      <c r="D974" s="17"/>
      <c r="E974" s="17"/>
      <c r="F974" s="17"/>
      <c r="G974" s="101"/>
      <c r="H974" s="102"/>
      <c r="I974" s="102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spans="1:29" ht="21" customHeight="1">
      <c r="A975" s="17"/>
      <c r="B975" s="17"/>
      <c r="C975" s="17"/>
      <c r="D975" s="17"/>
      <c r="E975" s="17"/>
      <c r="F975" s="17"/>
      <c r="G975" s="101"/>
      <c r="H975" s="102"/>
      <c r="I975" s="102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spans="1:29" ht="21" customHeight="1">
      <c r="A976" s="17"/>
      <c r="B976" s="17"/>
      <c r="C976" s="17"/>
      <c r="D976" s="17"/>
      <c r="E976" s="17"/>
      <c r="F976" s="17"/>
      <c r="G976" s="101"/>
      <c r="H976" s="102"/>
      <c r="I976" s="102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spans="1:29" ht="21" customHeight="1">
      <c r="A977" s="17"/>
      <c r="B977" s="17"/>
      <c r="C977" s="17"/>
      <c r="D977" s="17"/>
      <c r="E977" s="17"/>
      <c r="F977" s="17"/>
      <c r="G977" s="101"/>
      <c r="H977" s="102"/>
      <c r="I977" s="102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spans="1:29" ht="21" customHeight="1">
      <c r="A978" s="17"/>
      <c r="B978" s="17"/>
      <c r="C978" s="17"/>
      <c r="D978" s="17"/>
      <c r="E978" s="17"/>
      <c r="F978" s="17"/>
      <c r="G978" s="101"/>
      <c r="H978" s="102"/>
      <c r="I978" s="102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spans="1:29" ht="21" customHeight="1">
      <c r="A979" s="17"/>
      <c r="B979" s="17"/>
      <c r="C979" s="17"/>
      <c r="D979" s="17"/>
      <c r="E979" s="17"/>
      <c r="F979" s="17"/>
      <c r="G979" s="101"/>
      <c r="H979" s="102"/>
      <c r="I979" s="102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spans="1:29" ht="21" customHeight="1">
      <c r="A980" s="17"/>
      <c r="B980" s="17"/>
      <c r="C980" s="17"/>
      <c r="D980" s="17"/>
      <c r="E980" s="17"/>
      <c r="F980" s="17"/>
      <c r="G980" s="101"/>
      <c r="H980" s="102"/>
      <c r="I980" s="102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spans="1:29" ht="21" customHeight="1">
      <c r="A981" s="17"/>
      <c r="B981" s="17"/>
      <c r="C981" s="17"/>
      <c r="D981" s="17"/>
      <c r="E981" s="17"/>
      <c r="F981" s="17"/>
      <c r="G981" s="101"/>
      <c r="H981" s="102"/>
      <c r="I981" s="102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spans="1:29" ht="21" customHeight="1">
      <c r="A982" s="17"/>
      <c r="B982" s="17"/>
      <c r="C982" s="17"/>
      <c r="D982" s="17"/>
      <c r="E982" s="17"/>
      <c r="F982" s="17"/>
      <c r="G982" s="101"/>
      <c r="H982" s="102"/>
      <c r="I982" s="102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spans="1:29" ht="21" customHeight="1">
      <c r="A983" s="17"/>
      <c r="B983" s="17"/>
      <c r="C983" s="17"/>
      <c r="D983" s="17"/>
      <c r="E983" s="17"/>
      <c r="F983" s="17"/>
      <c r="G983" s="101"/>
      <c r="H983" s="102"/>
      <c r="I983" s="102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ht="21" customHeight="1">
      <c r="A984" s="17"/>
      <c r="B984" s="17"/>
      <c r="C984" s="17"/>
      <c r="D984" s="17"/>
      <c r="E984" s="17"/>
      <c r="F984" s="17"/>
      <c r="G984" s="101"/>
      <c r="H984" s="102"/>
      <c r="I984" s="102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spans="1:29" ht="21" customHeight="1">
      <c r="A985" s="17"/>
      <c r="B985" s="17"/>
      <c r="C985" s="17"/>
      <c r="D985" s="17"/>
      <c r="E985" s="17"/>
      <c r="F985" s="17"/>
      <c r="G985" s="101"/>
      <c r="H985" s="102"/>
      <c r="I985" s="102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spans="1:29" ht="21" customHeight="1">
      <c r="A986" s="17"/>
      <c r="B986" s="17"/>
      <c r="C986" s="17"/>
      <c r="D986" s="17"/>
      <c r="E986" s="17"/>
      <c r="F986" s="17"/>
      <c r="G986" s="101"/>
      <c r="H986" s="102"/>
      <c r="I986" s="102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spans="1:29" ht="21" customHeight="1">
      <c r="A987" s="17"/>
      <c r="B987" s="17"/>
      <c r="C987" s="17"/>
      <c r="D987" s="17"/>
      <c r="E987" s="17"/>
      <c r="F987" s="17"/>
      <c r="G987" s="101"/>
      <c r="H987" s="102"/>
      <c r="I987" s="102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spans="1:29" ht="21" customHeight="1">
      <c r="A988" s="17"/>
      <c r="B988" s="17"/>
      <c r="C988" s="17"/>
      <c r="D988" s="17"/>
      <c r="E988" s="17"/>
      <c r="F988" s="17"/>
      <c r="G988" s="101"/>
      <c r="H988" s="102"/>
      <c r="I988" s="102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spans="1:29" ht="21" customHeight="1">
      <c r="A989" s="17"/>
      <c r="B989" s="17"/>
      <c r="C989" s="17"/>
      <c r="D989" s="17"/>
      <c r="E989" s="17"/>
      <c r="F989" s="17"/>
      <c r="G989" s="101"/>
      <c r="H989" s="102"/>
      <c r="I989" s="102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ht="21" customHeight="1">
      <c r="A990" s="17"/>
      <c r="B990" s="17"/>
      <c r="C990" s="17"/>
      <c r="D990" s="17"/>
      <c r="E990" s="17"/>
      <c r="F990" s="17"/>
      <c r="G990" s="101"/>
      <c r="H990" s="102"/>
      <c r="I990" s="102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spans="1:29" ht="21" customHeight="1">
      <c r="A991" s="17"/>
      <c r="B991" s="17"/>
      <c r="C991" s="17"/>
      <c r="D991" s="17"/>
      <c r="E991" s="17"/>
      <c r="F991" s="17"/>
      <c r="G991" s="101"/>
      <c r="H991" s="102"/>
      <c r="I991" s="102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spans="1:29" ht="21" customHeight="1">
      <c r="A992" s="17"/>
      <c r="B992" s="17"/>
      <c r="C992" s="17"/>
      <c r="D992" s="17"/>
      <c r="E992" s="17"/>
      <c r="F992" s="17"/>
      <c r="G992" s="101"/>
      <c r="H992" s="102"/>
      <c r="I992" s="102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spans="1:29" ht="21" customHeight="1">
      <c r="A993" s="17"/>
      <c r="B993" s="17"/>
      <c r="C993" s="17"/>
      <c r="D993" s="17"/>
      <c r="E993" s="17"/>
      <c r="F993" s="17"/>
      <c r="G993" s="101"/>
      <c r="H993" s="102"/>
      <c r="I993" s="102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spans="1:29" ht="21" customHeight="1">
      <c r="A994" s="17"/>
      <c r="B994" s="17"/>
      <c r="C994" s="17"/>
      <c r="D994" s="17"/>
      <c r="E994" s="17"/>
      <c r="F994" s="17"/>
      <c r="G994" s="101"/>
      <c r="H994" s="102"/>
      <c r="I994" s="102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spans="1:29" ht="21" customHeight="1">
      <c r="A995" s="17"/>
      <c r="B995" s="17"/>
      <c r="C995" s="17"/>
      <c r="D995" s="17"/>
      <c r="E995" s="17"/>
      <c r="F995" s="17"/>
      <c r="G995" s="101"/>
      <c r="H995" s="102"/>
      <c r="I995" s="102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spans="1:29" ht="21" customHeight="1">
      <c r="A996" s="17"/>
      <c r="B996" s="17"/>
      <c r="C996" s="17"/>
      <c r="D996" s="17"/>
      <c r="E996" s="17"/>
      <c r="F996" s="17"/>
      <c r="G996" s="101"/>
      <c r="H996" s="102"/>
      <c r="I996" s="102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spans="1:29" ht="21" customHeight="1">
      <c r="A997" s="17"/>
      <c r="B997" s="17"/>
      <c r="C997" s="17"/>
      <c r="D997" s="17"/>
      <c r="E997" s="17"/>
      <c r="F997" s="17"/>
      <c r="G997" s="101"/>
      <c r="H997" s="102"/>
      <c r="I997" s="102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spans="1:29" ht="21" customHeight="1">
      <c r="A998" s="17"/>
      <c r="B998" s="17"/>
      <c r="C998" s="17"/>
      <c r="D998" s="17"/>
      <c r="E998" s="17"/>
      <c r="F998" s="17"/>
      <c r="G998" s="101"/>
      <c r="H998" s="102"/>
      <c r="I998" s="102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spans="1:29" ht="21" customHeight="1">
      <c r="A999" s="17"/>
      <c r="B999" s="17"/>
      <c r="C999" s="17"/>
      <c r="D999" s="17"/>
      <c r="E999" s="17"/>
      <c r="F999" s="17"/>
      <c r="G999" s="101"/>
      <c r="H999" s="102"/>
      <c r="I999" s="102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spans="1:29" ht="21" customHeight="1">
      <c r="A1000" s="17"/>
      <c r="B1000" s="17"/>
      <c r="C1000" s="17"/>
      <c r="D1000" s="17"/>
      <c r="E1000" s="17"/>
      <c r="F1000" s="17"/>
      <c r="G1000" s="101"/>
      <c r="H1000" s="102"/>
      <c r="I1000" s="102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  <row r="1001" spans="1:29" ht="21" customHeight="1">
      <c r="A1001" s="17"/>
      <c r="B1001" s="17"/>
      <c r="C1001" s="17"/>
      <c r="D1001" s="17"/>
      <c r="E1001" s="17"/>
      <c r="F1001" s="17"/>
      <c r="G1001" s="101"/>
      <c r="H1001" s="102"/>
      <c r="I1001" s="102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ht="21" customHeight="1">
      <c r="A1002" s="17"/>
      <c r="B1002" s="17"/>
      <c r="C1002" s="17"/>
      <c r="D1002" s="17"/>
      <c r="E1002" s="17"/>
      <c r="F1002" s="17"/>
      <c r="G1002" s="101"/>
      <c r="H1002" s="102"/>
      <c r="I1002" s="102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 ht="21" customHeight="1">
      <c r="A1003" s="17"/>
      <c r="B1003" s="17"/>
      <c r="C1003" s="17"/>
      <c r="D1003" s="17"/>
      <c r="E1003" s="17"/>
      <c r="F1003" s="17"/>
      <c r="G1003" s="101"/>
      <c r="H1003" s="102"/>
      <c r="I1003" s="102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 ht="21" customHeight="1">
      <c r="A1004" s="17"/>
      <c r="B1004" s="17"/>
      <c r="C1004" s="17"/>
      <c r="D1004" s="17"/>
      <c r="E1004" s="17"/>
      <c r="F1004" s="17"/>
      <c r="G1004" s="101"/>
      <c r="H1004" s="102"/>
      <c r="I1004" s="102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</row>
    <row r="1005" spans="1:29" ht="21" customHeight="1">
      <c r="A1005" s="17"/>
      <c r="B1005" s="17"/>
      <c r="C1005" s="17"/>
      <c r="D1005" s="17"/>
      <c r="E1005" s="17"/>
      <c r="F1005" s="17"/>
      <c r="G1005" s="101"/>
      <c r="H1005" s="102"/>
      <c r="I1005" s="102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 spans="1:29" ht="21" customHeight="1">
      <c r="A1006" s="17"/>
      <c r="B1006" s="17"/>
      <c r="C1006" s="17"/>
      <c r="D1006" s="17"/>
      <c r="E1006" s="17"/>
      <c r="F1006" s="17"/>
      <c r="G1006" s="101"/>
      <c r="H1006" s="102"/>
      <c r="I1006" s="102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</row>
    <row r="1007" spans="1:29" ht="21" customHeight="1">
      <c r="A1007" s="17"/>
      <c r="B1007" s="17"/>
      <c r="C1007" s="17"/>
      <c r="D1007" s="17"/>
      <c r="E1007" s="17"/>
      <c r="F1007" s="17"/>
      <c r="G1007" s="101"/>
      <c r="H1007" s="102"/>
      <c r="I1007" s="102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 spans="1:29" ht="21" customHeight="1">
      <c r="A1008" s="17"/>
      <c r="B1008" s="17"/>
      <c r="C1008" s="17"/>
      <c r="D1008" s="17"/>
      <c r="E1008" s="17"/>
      <c r="F1008" s="17"/>
      <c r="G1008" s="101"/>
      <c r="H1008" s="102"/>
      <c r="I1008" s="102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</row>
    <row r="1009" spans="1:29" ht="21" customHeight="1">
      <c r="A1009" s="17"/>
      <c r="B1009" s="17"/>
      <c r="C1009" s="17"/>
      <c r="D1009" s="17"/>
      <c r="E1009" s="17"/>
      <c r="F1009" s="17"/>
      <c r="G1009" s="101"/>
      <c r="H1009" s="102"/>
      <c r="I1009" s="102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 ht="21" customHeight="1">
      <c r="A1010" s="17"/>
      <c r="B1010" s="17"/>
      <c r="C1010" s="17"/>
      <c r="D1010" s="17"/>
      <c r="E1010" s="17"/>
      <c r="F1010" s="17"/>
      <c r="G1010" s="101"/>
      <c r="H1010" s="102"/>
      <c r="I1010" s="102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</row>
    <row r="1011" spans="1:29" ht="21" customHeight="1">
      <c r="A1011" s="17"/>
      <c r="B1011" s="17"/>
      <c r="C1011" s="17"/>
      <c r="D1011" s="17"/>
      <c r="E1011" s="17"/>
      <c r="F1011" s="17"/>
      <c r="G1011" s="101"/>
      <c r="H1011" s="102"/>
      <c r="I1011" s="102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</row>
    <row r="1012" spans="1:29" ht="21" customHeight="1">
      <c r="A1012" s="17"/>
      <c r="B1012" s="17"/>
      <c r="C1012" s="17"/>
      <c r="D1012" s="17"/>
      <c r="E1012" s="17"/>
      <c r="F1012" s="17"/>
      <c r="G1012" s="101"/>
      <c r="H1012" s="102"/>
      <c r="I1012" s="102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</row>
    <row r="1013" spans="1:29" ht="21" customHeight="1">
      <c r="A1013" s="17"/>
      <c r="B1013" s="17"/>
      <c r="C1013" s="17"/>
      <c r="D1013" s="17"/>
      <c r="E1013" s="17"/>
      <c r="F1013" s="17"/>
      <c r="G1013" s="101"/>
      <c r="H1013" s="102"/>
      <c r="I1013" s="102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</row>
    <row r="1014" spans="1:29" ht="21" customHeight="1">
      <c r="A1014" s="17"/>
      <c r="B1014" s="17"/>
      <c r="C1014" s="17"/>
      <c r="D1014" s="17"/>
      <c r="E1014" s="17"/>
      <c r="F1014" s="17"/>
      <c r="G1014" s="101"/>
      <c r="H1014" s="102"/>
      <c r="I1014" s="102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</row>
    <row r="1015" spans="1:29" ht="21" customHeight="1">
      <c r="A1015" s="17"/>
      <c r="B1015" s="17"/>
      <c r="C1015" s="17"/>
      <c r="D1015" s="17"/>
      <c r="E1015" s="17"/>
      <c r="F1015" s="17"/>
      <c r="G1015" s="101"/>
      <c r="H1015" s="102"/>
      <c r="I1015" s="102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</row>
    <row r="1016" spans="1:29" ht="21" customHeight="1">
      <c r="A1016" s="17"/>
      <c r="B1016" s="17"/>
      <c r="C1016" s="17"/>
      <c r="D1016" s="17"/>
      <c r="E1016" s="17"/>
      <c r="F1016" s="17"/>
      <c r="G1016" s="101"/>
      <c r="H1016" s="102"/>
      <c r="I1016" s="102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</row>
    <row r="1017" spans="1:29" ht="21" customHeight="1">
      <c r="A1017" s="17"/>
      <c r="B1017" s="17"/>
      <c r="C1017" s="17"/>
      <c r="D1017" s="17"/>
      <c r="E1017" s="17"/>
      <c r="F1017" s="17"/>
      <c r="G1017" s="101"/>
      <c r="H1017" s="102"/>
      <c r="I1017" s="102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 spans="1:29" ht="21" customHeight="1">
      <c r="A1018" s="17"/>
      <c r="B1018" s="17"/>
      <c r="C1018" s="17"/>
      <c r="D1018" s="17"/>
      <c r="E1018" s="17"/>
      <c r="F1018" s="17"/>
      <c r="G1018" s="101"/>
      <c r="H1018" s="102"/>
      <c r="I1018" s="102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</row>
    <row r="1019" spans="1:29" ht="21" customHeight="1">
      <c r="A1019" s="17"/>
      <c r="B1019" s="17"/>
      <c r="C1019" s="17"/>
      <c r="D1019" s="17"/>
      <c r="E1019" s="17"/>
      <c r="F1019" s="17"/>
      <c r="G1019" s="101"/>
      <c r="H1019" s="102"/>
      <c r="I1019" s="102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</row>
    <row r="1020" spans="1:29" ht="21" customHeight="1">
      <c r="A1020" s="17"/>
      <c r="B1020" s="17"/>
      <c r="C1020" s="17"/>
      <c r="D1020" s="17"/>
      <c r="E1020" s="17"/>
      <c r="F1020" s="17"/>
      <c r="G1020" s="101"/>
      <c r="H1020" s="102"/>
      <c r="I1020" s="102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</row>
    <row r="1021" spans="1:29" ht="21" customHeight="1">
      <c r="A1021" s="17"/>
      <c r="B1021" s="17"/>
      <c r="C1021" s="17"/>
      <c r="D1021" s="17"/>
      <c r="E1021" s="17"/>
      <c r="F1021" s="17"/>
      <c r="G1021" s="101"/>
      <c r="H1021" s="102"/>
      <c r="I1021" s="102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 spans="1:29" ht="21" customHeight="1">
      <c r="A1022" s="17"/>
      <c r="B1022" s="17"/>
      <c r="C1022" s="17"/>
      <c r="D1022" s="17"/>
      <c r="E1022" s="17"/>
      <c r="F1022" s="17"/>
      <c r="G1022" s="101"/>
      <c r="H1022" s="102"/>
      <c r="I1022" s="102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</row>
    <row r="1023" spans="1:29" ht="21" customHeight="1">
      <c r="A1023" s="17"/>
      <c r="B1023" s="17"/>
      <c r="C1023" s="17"/>
      <c r="D1023" s="17"/>
      <c r="E1023" s="17"/>
      <c r="F1023" s="17"/>
      <c r="G1023" s="101"/>
      <c r="H1023" s="102"/>
      <c r="I1023" s="102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</row>
    <row r="1024" spans="1:29" ht="21" customHeight="1">
      <c r="A1024" s="17"/>
      <c r="B1024" s="17"/>
      <c r="C1024" s="17"/>
      <c r="D1024" s="17"/>
      <c r="E1024" s="17"/>
      <c r="F1024" s="17"/>
      <c r="G1024" s="101"/>
      <c r="H1024" s="102"/>
      <c r="I1024" s="102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</row>
    <row r="1025" spans="1:29" ht="21" customHeight="1">
      <c r="A1025" s="17"/>
      <c r="B1025" s="17"/>
      <c r="C1025" s="17"/>
      <c r="D1025" s="17"/>
      <c r="E1025" s="17"/>
      <c r="F1025" s="17"/>
      <c r="G1025" s="101"/>
      <c r="H1025" s="102"/>
      <c r="I1025" s="102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</row>
    <row r="1026" spans="1:29" ht="21" customHeight="1">
      <c r="A1026" s="17"/>
      <c r="B1026" s="17"/>
      <c r="C1026" s="17"/>
      <c r="D1026" s="17"/>
      <c r="E1026" s="17"/>
      <c r="F1026" s="17"/>
      <c r="G1026" s="101"/>
      <c r="H1026" s="102"/>
      <c r="I1026" s="102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</row>
    <row r="1027" spans="1:29" ht="21" customHeight="1">
      <c r="A1027" s="17"/>
      <c r="B1027" s="17"/>
      <c r="C1027" s="17"/>
      <c r="D1027" s="17"/>
      <c r="E1027" s="17"/>
      <c r="F1027" s="17"/>
      <c r="G1027" s="101"/>
      <c r="H1027" s="102"/>
      <c r="I1027" s="102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</row>
    <row r="1028" spans="1:29" ht="21" customHeight="1">
      <c r="A1028" s="17"/>
      <c r="B1028" s="17"/>
      <c r="C1028" s="17"/>
      <c r="D1028" s="17"/>
      <c r="E1028" s="17"/>
      <c r="F1028" s="17"/>
      <c r="G1028" s="101"/>
      <c r="H1028" s="102"/>
      <c r="I1028" s="102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</row>
    <row r="1029" spans="1:29" ht="21" customHeight="1">
      <c r="A1029" s="17"/>
      <c r="B1029" s="17"/>
      <c r="C1029" s="17"/>
      <c r="D1029" s="17"/>
      <c r="E1029" s="17"/>
      <c r="F1029" s="17"/>
      <c r="G1029" s="101"/>
      <c r="H1029" s="102"/>
      <c r="I1029" s="102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spans="1:29" ht="21" customHeight="1">
      <c r="A1030" s="17"/>
      <c r="B1030" s="17"/>
      <c r="C1030" s="17"/>
      <c r="D1030" s="17"/>
      <c r="E1030" s="17"/>
      <c r="F1030" s="17"/>
      <c r="G1030" s="101"/>
      <c r="H1030" s="102"/>
      <c r="I1030" s="102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</row>
    <row r="1031" spans="1:29" ht="21" customHeight="1">
      <c r="A1031" s="17"/>
      <c r="B1031" s="17"/>
      <c r="C1031" s="17"/>
      <c r="D1031" s="17"/>
      <c r="E1031" s="17"/>
      <c r="F1031" s="17"/>
      <c r="G1031" s="101"/>
      <c r="H1031" s="102"/>
      <c r="I1031" s="102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</row>
    <row r="1032" spans="1:29" ht="21" customHeight="1">
      <c r="A1032" s="17"/>
      <c r="B1032" s="17"/>
      <c r="C1032" s="17"/>
      <c r="D1032" s="17"/>
      <c r="E1032" s="17"/>
      <c r="F1032" s="17"/>
      <c r="G1032" s="101"/>
      <c r="H1032" s="102"/>
      <c r="I1032" s="102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</row>
    <row r="1033" spans="1:29" ht="21" customHeight="1">
      <c r="A1033" s="17"/>
      <c r="B1033" s="17"/>
      <c r="C1033" s="17"/>
      <c r="D1033" s="17"/>
      <c r="E1033" s="17"/>
      <c r="F1033" s="17"/>
      <c r="G1033" s="101"/>
      <c r="H1033" s="102"/>
      <c r="I1033" s="102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</row>
    <row r="1034" spans="1:29" ht="21" customHeight="1">
      <c r="A1034" s="17"/>
      <c r="B1034" s="17"/>
      <c r="C1034" s="17"/>
      <c r="D1034" s="17"/>
      <c r="E1034" s="17"/>
      <c r="F1034" s="17"/>
      <c r="G1034" s="101"/>
      <c r="H1034" s="102"/>
      <c r="I1034" s="102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</row>
    <row r="1035" spans="1:29" ht="21" customHeight="1">
      <c r="A1035" s="17"/>
      <c r="B1035" s="17"/>
      <c r="C1035" s="17"/>
      <c r="D1035" s="17"/>
      <c r="E1035" s="17"/>
      <c r="F1035" s="17"/>
      <c r="G1035" s="101"/>
      <c r="H1035" s="102"/>
      <c r="I1035" s="102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</row>
    <row r="1036" spans="1:29" ht="21" customHeight="1">
      <c r="A1036" s="17"/>
      <c r="B1036" s="17"/>
      <c r="C1036" s="17"/>
      <c r="D1036" s="17"/>
      <c r="E1036" s="17"/>
      <c r="F1036" s="17"/>
      <c r="G1036" s="101"/>
      <c r="H1036" s="102"/>
      <c r="I1036" s="102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</row>
    <row r="1037" spans="1:29" ht="21" customHeight="1">
      <c r="A1037" s="17"/>
      <c r="B1037" s="17"/>
      <c r="C1037" s="17"/>
      <c r="D1037" s="17"/>
      <c r="E1037" s="17"/>
      <c r="F1037" s="17"/>
      <c r="G1037" s="101"/>
      <c r="H1037" s="102"/>
      <c r="I1037" s="102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</row>
    <row r="1038" spans="1:29" ht="21" customHeight="1">
      <c r="A1038" s="17"/>
      <c r="B1038" s="17"/>
      <c r="C1038" s="17"/>
      <c r="D1038" s="17"/>
      <c r="E1038" s="17"/>
      <c r="F1038" s="17"/>
      <c r="G1038" s="101"/>
      <c r="H1038" s="102"/>
      <c r="I1038" s="102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</row>
    <row r="1039" spans="1:29" ht="21" customHeight="1">
      <c r="A1039" s="17"/>
      <c r="B1039" s="17"/>
      <c r="C1039" s="17"/>
      <c r="D1039" s="17"/>
      <c r="E1039" s="17"/>
      <c r="F1039" s="17"/>
      <c r="G1039" s="101"/>
      <c r="H1039" s="102"/>
      <c r="I1039" s="102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</row>
    <row r="1040" spans="1:29" ht="21" customHeight="1">
      <c r="A1040" s="17"/>
      <c r="B1040" s="17"/>
      <c r="C1040" s="17"/>
      <c r="D1040" s="17"/>
      <c r="E1040" s="17"/>
      <c r="F1040" s="17"/>
      <c r="G1040" s="101"/>
      <c r="H1040" s="102"/>
      <c r="I1040" s="102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</row>
    <row r="1041" spans="1:29" ht="21" customHeight="1">
      <c r="A1041" s="17"/>
      <c r="B1041" s="17"/>
      <c r="C1041" s="17"/>
      <c r="D1041" s="17"/>
      <c r="E1041" s="17"/>
      <c r="F1041" s="17"/>
      <c r="G1041" s="101"/>
      <c r="H1041" s="102"/>
      <c r="I1041" s="102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</row>
    <row r="1042" spans="1:29" ht="21" customHeight="1">
      <c r="A1042" s="17"/>
      <c r="B1042" s="17"/>
      <c r="C1042" s="17"/>
      <c r="D1042" s="17"/>
      <c r="E1042" s="17"/>
      <c r="F1042" s="17"/>
      <c r="G1042" s="101"/>
      <c r="H1042" s="102"/>
      <c r="I1042" s="102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</row>
    <row r="1043" spans="1:29" ht="21" customHeight="1">
      <c r="A1043" s="17"/>
      <c r="B1043" s="17"/>
      <c r="C1043" s="17"/>
      <c r="D1043" s="17"/>
      <c r="E1043" s="17"/>
      <c r="F1043" s="17"/>
      <c r="G1043" s="101"/>
      <c r="H1043" s="102"/>
      <c r="I1043" s="102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</row>
    <row r="1044" spans="1:29" ht="21" customHeight="1">
      <c r="A1044" s="17"/>
      <c r="B1044" s="17"/>
      <c r="C1044" s="17"/>
      <c r="D1044" s="17"/>
      <c r="E1044" s="17"/>
      <c r="F1044" s="17"/>
      <c r="G1044" s="101"/>
      <c r="H1044" s="102"/>
      <c r="I1044" s="102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</row>
    <row r="1045" spans="1:29" ht="21" customHeight="1">
      <c r="A1045" s="17"/>
      <c r="B1045" s="17"/>
      <c r="C1045" s="17"/>
      <c r="D1045" s="17"/>
      <c r="E1045" s="17"/>
      <c r="F1045" s="17"/>
      <c r="G1045" s="101"/>
      <c r="H1045" s="102"/>
      <c r="I1045" s="102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</row>
    <row r="1046" spans="1:29" ht="21" customHeight="1">
      <c r="A1046" s="17"/>
      <c r="B1046" s="17"/>
      <c r="C1046" s="17"/>
      <c r="D1046" s="17"/>
      <c r="E1046" s="17"/>
      <c r="F1046" s="17"/>
      <c r="G1046" s="101"/>
      <c r="H1046" s="102"/>
      <c r="I1046" s="102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</row>
    <row r="1047" spans="1:29" ht="21" customHeight="1">
      <c r="A1047" s="17"/>
      <c r="B1047" s="17"/>
      <c r="C1047" s="17"/>
      <c r="D1047" s="17"/>
      <c r="E1047" s="17"/>
      <c r="F1047" s="17"/>
      <c r="G1047" s="101"/>
      <c r="H1047" s="102"/>
      <c r="I1047" s="102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</row>
    <row r="1048" spans="1:29" ht="21" customHeight="1">
      <c r="A1048" s="17"/>
      <c r="B1048" s="17"/>
      <c r="C1048" s="17"/>
      <c r="D1048" s="17"/>
      <c r="E1048" s="17"/>
      <c r="F1048" s="17"/>
      <c r="G1048" s="101"/>
      <c r="H1048" s="102"/>
      <c r="I1048" s="102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</row>
    <row r="1049" spans="1:29" ht="21" customHeight="1">
      <c r="A1049" s="17"/>
      <c r="B1049" s="17"/>
      <c r="C1049" s="17"/>
      <c r="D1049" s="17"/>
      <c r="E1049" s="17"/>
      <c r="F1049" s="17"/>
      <c r="G1049" s="101"/>
      <c r="H1049" s="102"/>
      <c r="I1049" s="102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</row>
    <row r="1050" spans="1:29" ht="21" customHeight="1">
      <c r="A1050" s="17"/>
      <c r="B1050" s="17"/>
      <c r="C1050" s="17"/>
      <c r="D1050" s="17"/>
      <c r="E1050" s="17"/>
      <c r="F1050" s="17"/>
      <c r="G1050" s="101"/>
      <c r="H1050" s="102"/>
      <c r="I1050" s="102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</row>
    <row r="1051" spans="1:29" ht="21" customHeight="1">
      <c r="A1051" s="17"/>
      <c r="B1051" s="17"/>
      <c r="C1051" s="17"/>
      <c r="D1051" s="17"/>
      <c r="E1051" s="17"/>
      <c r="F1051" s="17"/>
      <c r="G1051" s="101"/>
      <c r="H1051" s="102"/>
      <c r="I1051" s="102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spans="1:29" ht="21" customHeight="1">
      <c r="A1052" s="17"/>
      <c r="B1052" s="17"/>
      <c r="C1052" s="17"/>
      <c r="D1052" s="17"/>
      <c r="E1052" s="17"/>
      <c r="F1052" s="17"/>
      <c r="G1052" s="101"/>
      <c r="H1052" s="102"/>
      <c r="I1052" s="102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</row>
    <row r="1053" spans="1:29" ht="21" customHeight="1">
      <c r="A1053" s="17"/>
      <c r="B1053" s="17"/>
      <c r="C1053" s="17"/>
      <c r="D1053" s="17"/>
      <c r="E1053" s="17"/>
      <c r="F1053" s="17"/>
      <c r="G1053" s="101"/>
      <c r="H1053" s="102"/>
      <c r="I1053" s="102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</row>
    <row r="1054" spans="1:29" ht="21" customHeight="1">
      <c r="A1054" s="17"/>
      <c r="B1054" s="17"/>
      <c r="C1054" s="17"/>
      <c r="D1054" s="17"/>
      <c r="E1054" s="17"/>
      <c r="F1054" s="17"/>
      <c r="G1054" s="101"/>
      <c r="H1054" s="102"/>
      <c r="I1054" s="102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</row>
    <row r="1055" spans="1:29" ht="21" customHeight="1">
      <c r="A1055" s="17"/>
      <c r="B1055" s="17"/>
      <c r="C1055" s="17"/>
      <c r="D1055" s="17"/>
      <c r="E1055" s="17"/>
      <c r="F1055" s="17"/>
      <c r="G1055" s="101"/>
      <c r="H1055" s="102"/>
      <c r="I1055" s="102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</row>
    <row r="1056" spans="1:29" ht="21" customHeight="1">
      <c r="A1056" s="17"/>
      <c r="B1056" s="17"/>
      <c r="C1056" s="17"/>
      <c r="D1056" s="17"/>
      <c r="E1056" s="17"/>
      <c r="F1056" s="17"/>
      <c r="G1056" s="101"/>
      <c r="H1056" s="102"/>
      <c r="I1056" s="102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</row>
    <row r="1057" spans="1:29" ht="21" customHeight="1">
      <c r="A1057" s="17"/>
      <c r="B1057" s="17"/>
      <c r="C1057" s="17"/>
      <c r="D1057" s="17"/>
      <c r="E1057" s="17"/>
      <c r="F1057" s="17"/>
      <c r="G1057" s="101"/>
      <c r="H1057" s="102"/>
      <c r="I1057" s="102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</row>
    <row r="1058" spans="1:29" ht="21" customHeight="1">
      <c r="A1058" s="17"/>
      <c r="B1058" s="17"/>
      <c r="C1058" s="17"/>
      <c r="D1058" s="17"/>
      <c r="E1058" s="17"/>
      <c r="F1058" s="17"/>
      <c r="G1058" s="101"/>
      <c r="H1058" s="102"/>
      <c r="I1058" s="102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spans="1:29" ht="21" customHeight="1">
      <c r="A1059" s="17"/>
      <c r="B1059" s="17"/>
      <c r="C1059" s="17"/>
      <c r="D1059" s="17"/>
      <c r="E1059" s="17"/>
      <c r="F1059" s="17"/>
      <c r="G1059" s="101"/>
      <c r="H1059" s="102"/>
      <c r="I1059" s="102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</row>
    <row r="1060" spans="1:29" ht="21" customHeight="1">
      <c r="A1060" s="17"/>
      <c r="B1060" s="17"/>
      <c r="C1060" s="17"/>
      <c r="D1060" s="17"/>
      <c r="E1060" s="17"/>
      <c r="F1060" s="17"/>
      <c r="G1060" s="101"/>
      <c r="H1060" s="102"/>
      <c r="I1060" s="102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</row>
    <row r="1061" spans="1:29" ht="21" customHeight="1">
      <c r="A1061" s="17"/>
      <c r="B1061" s="17"/>
      <c r="C1061" s="17"/>
      <c r="D1061" s="17"/>
      <c r="E1061" s="17"/>
      <c r="F1061" s="17"/>
      <c r="G1061" s="101"/>
      <c r="H1061" s="102"/>
      <c r="I1061" s="102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</row>
    <row r="1062" spans="1:29" ht="21" customHeight="1">
      <c r="A1062" s="17"/>
      <c r="B1062" s="17"/>
      <c r="C1062" s="17"/>
      <c r="D1062" s="17"/>
      <c r="E1062" s="17"/>
      <c r="F1062" s="17"/>
      <c r="G1062" s="101"/>
      <c r="H1062" s="102"/>
      <c r="I1062" s="102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</row>
    <row r="1063" spans="1:29" ht="21" customHeight="1">
      <c r="A1063" s="17"/>
      <c r="B1063" s="17"/>
      <c r="C1063" s="17"/>
      <c r="D1063" s="17"/>
      <c r="E1063" s="17"/>
      <c r="F1063" s="17"/>
      <c r="G1063" s="101"/>
      <c r="H1063" s="102"/>
      <c r="I1063" s="102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</row>
    <row r="1064" spans="1:29" ht="21" customHeight="1">
      <c r="A1064" s="17"/>
      <c r="B1064" s="17"/>
      <c r="C1064" s="17"/>
      <c r="D1064" s="17"/>
      <c r="E1064" s="17"/>
      <c r="F1064" s="17"/>
      <c r="G1064" s="101"/>
      <c r="H1064" s="102"/>
      <c r="I1064" s="102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</row>
    <row r="1065" spans="1:29" ht="21" customHeight="1">
      <c r="A1065" s="17"/>
      <c r="B1065" s="17"/>
      <c r="C1065" s="17"/>
      <c r="D1065" s="17"/>
      <c r="E1065" s="17"/>
      <c r="F1065" s="17"/>
      <c r="G1065" s="101"/>
      <c r="H1065" s="102"/>
      <c r="I1065" s="102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</row>
    <row r="1066" spans="1:29" ht="21" customHeight="1">
      <c r="A1066" s="17"/>
      <c r="B1066" s="17"/>
      <c r="C1066" s="17"/>
      <c r="D1066" s="17"/>
      <c r="E1066" s="17"/>
      <c r="F1066" s="17"/>
      <c r="G1066" s="101"/>
      <c r="H1066" s="102"/>
      <c r="I1066" s="102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</row>
    <row r="1067" spans="1:29" ht="21" customHeight="1">
      <c r="A1067" s="17"/>
      <c r="B1067" s="17"/>
      <c r="C1067" s="17"/>
      <c r="D1067" s="17"/>
      <c r="E1067" s="17"/>
      <c r="F1067" s="17"/>
      <c r="G1067" s="101"/>
      <c r="H1067" s="102"/>
      <c r="I1067" s="102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</row>
    <row r="1068" spans="1:29" ht="21" customHeight="1">
      <c r="A1068" s="17"/>
      <c r="B1068" s="17"/>
      <c r="C1068" s="17"/>
      <c r="D1068" s="17"/>
      <c r="E1068" s="17"/>
      <c r="F1068" s="17"/>
      <c r="G1068" s="101"/>
      <c r="H1068" s="102"/>
      <c r="I1068" s="102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spans="1:29" ht="21" customHeight="1">
      <c r="A1069" s="17"/>
      <c r="B1069" s="17"/>
      <c r="C1069" s="17"/>
      <c r="D1069" s="17"/>
      <c r="E1069" s="17"/>
      <c r="F1069" s="17"/>
      <c r="G1069" s="101"/>
      <c r="H1069" s="102"/>
      <c r="I1069" s="102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</row>
    <row r="1070" spans="1:29" ht="21" customHeight="1">
      <c r="A1070" s="17"/>
      <c r="B1070" s="17"/>
      <c r="C1070" s="17"/>
      <c r="D1070" s="17"/>
      <c r="E1070" s="17"/>
      <c r="F1070" s="17"/>
      <c r="G1070" s="101"/>
      <c r="H1070" s="102"/>
      <c r="I1070" s="102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</row>
    <row r="1071" spans="1:29" ht="21" customHeight="1">
      <c r="A1071" s="17"/>
      <c r="B1071" s="17"/>
      <c r="C1071" s="17"/>
      <c r="D1071" s="17"/>
      <c r="E1071" s="17"/>
      <c r="F1071" s="17"/>
      <c r="G1071" s="101"/>
      <c r="H1071" s="102"/>
      <c r="I1071" s="102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</row>
    <row r="1072" spans="1:29" ht="21" customHeight="1">
      <c r="A1072" s="17"/>
      <c r="B1072" s="17"/>
      <c r="C1072" s="17"/>
      <c r="D1072" s="17"/>
      <c r="E1072" s="17"/>
      <c r="F1072" s="17"/>
      <c r="G1072" s="101"/>
      <c r="H1072" s="102"/>
      <c r="I1072" s="102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</row>
    <row r="1073" spans="1:29" ht="21" customHeight="1">
      <c r="A1073" s="17"/>
      <c r="B1073" s="17"/>
      <c r="C1073" s="17"/>
      <c r="D1073" s="17"/>
      <c r="E1073" s="17"/>
      <c r="F1073" s="17"/>
      <c r="G1073" s="101"/>
      <c r="H1073" s="102"/>
      <c r="I1073" s="102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</row>
    <row r="1074" spans="1:29" ht="21" customHeight="1">
      <c r="A1074" s="17"/>
      <c r="B1074" s="17"/>
      <c r="C1074" s="17"/>
      <c r="D1074" s="17"/>
      <c r="E1074" s="17"/>
      <c r="F1074" s="17"/>
      <c r="G1074" s="101"/>
      <c r="H1074" s="102"/>
      <c r="I1074" s="102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</row>
    <row r="1075" spans="1:29" ht="21" customHeight="1">
      <c r="A1075" s="17"/>
      <c r="B1075" s="17"/>
      <c r="C1075" s="17"/>
      <c r="D1075" s="17"/>
      <c r="E1075" s="17"/>
      <c r="F1075" s="17"/>
      <c r="G1075" s="101"/>
      <c r="H1075" s="102"/>
      <c r="I1075" s="102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</row>
    <row r="1076" spans="1:29" ht="21" customHeight="1">
      <c r="A1076" s="17"/>
      <c r="B1076" s="17"/>
      <c r="C1076" s="17"/>
      <c r="D1076" s="17"/>
      <c r="E1076" s="17"/>
      <c r="F1076" s="17"/>
      <c r="G1076" s="101"/>
      <c r="H1076" s="102"/>
      <c r="I1076" s="102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</row>
    <row r="1077" spans="1:29" ht="21" customHeight="1">
      <c r="A1077" s="17"/>
      <c r="B1077" s="17"/>
      <c r="C1077" s="17"/>
      <c r="D1077" s="17"/>
      <c r="E1077" s="17"/>
      <c r="F1077" s="17"/>
      <c r="G1077" s="101"/>
      <c r="H1077" s="102"/>
      <c r="I1077" s="102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</row>
    <row r="1078" spans="1:29" ht="21" customHeight="1">
      <c r="A1078" s="17"/>
      <c r="B1078" s="17"/>
      <c r="C1078" s="17"/>
      <c r="D1078" s="17"/>
      <c r="E1078" s="17"/>
      <c r="F1078" s="17"/>
      <c r="G1078" s="101"/>
      <c r="H1078" s="102"/>
      <c r="I1078" s="102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</row>
    <row r="1079" spans="1:29" ht="21" customHeight="1">
      <c r="A1079" s="17"/>
      <c r="B1079" s="17"/>
      <c r="C1079" s="17"/>
      <c r="D1079" s="17"/>
      <c r="E1079" s="17"/>
      <c r="F1079" s="17"/>
      <c r="G1079" s="101"/>
      <c r="H1079" s="102"/>
      <c r="I1079" s="102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</row>
    <row r="1080" spans="1:29" ht="21" customHeight="1">
      <c r="A1080" s="17"/>
      <c r="B1080" s="17"/>
      <c r="C1080" s="17"/>
      <c r="D1080" s="17"/>
      <c r="E1080" s="17"/>
      <c r="F1080" s="17"/>
      <c r="G1080" s="101"/>
      <c r="H1080" s="102"/>
      <c r="I1080" s="102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</row>
    <row r="1081" spans="1:29" ht="21" customHeight="1">
      <c r="A1081" s="17"/>
      <c r="B1081" s="17"/>
      <c r="C1081" s="17"/>
      <c r="D1081" s="17"/>
      <c r="E1081" s="17"/>
      <c r="F1081" s="17"/>
      <c r="G1081" s="101"/>
      <c r="H1081" s="102"/>
      <c r="I1081" s="102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</row>
    <row r="1082" spans="1:29" ht="21" customHeight="1">
      <c r="A1082" s="17"/>
      <c r="B1082" s="17"/>
      <c r="C1082" s="17"/>
      <c r="D1082" s="17"/>
      <c r="E1082" s="17"/>
      <c r="F1082" s="17"/>
      <c r="G1082" s="101"/>
      <c r="H1082" s="102"/>
      <c r="I1082" s="102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</row>
    <row r="1083" spans="1:29" ht="21" customHeight="1">
      <c r="A1083" s="17"/>
      <c r="B1083" s="17"/>
      <c r="C1083" s="17"/>
      <c r="D1083" s="17"/>
      <c r="E1083" s="17"/>
      <c r="F1083" s="17"/>
      <c r="G1083" s="101"/>
      <c r="H1083" s="102"/>
      <c r="I1083" s="102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spans="1:29" ht="21" customHeight="1">
      <c r="A1084" s="17"/>
      <c r="B1084" s="17"/>
      <c r="C1084" s="17"/>
      <c r="D1084" s="17"/>
      <c r="E1084" s="17"/>
      <c r="F1084" s="17"/>
      <c r="G1084" s="101"/>
      <c r="H1084" s="102"/>
      <c r="I1084" s="102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</row>
    <row r="1085" spans="1:29" ht="21" customHeight="1">
      <c r="A1085" s="17"/>
      <c r="B1085" s="17"/>
      <c r="C1085" s="17"/>
      <c r="D1085" s="17"/>
      <c r="E1085" s="17"/>
      <c r="F1085" s="17"/>
      <c r="G1085" s="101"/>
      <c r="H1085" s="102"/>
      <c r="I1085" s="102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</row>
    <row r="1086" spans="1:29" ht="21" customHeight="1">
      <c r="A1086" s="17"/>
      <c r="B1086" s="17"/>
      <c r="C1086" s="17"/>
      <c r="D1086" s="17"/>
      <c r="E1086" s="17"/>
      <c r="F1086" s="17"/>
      <c r="G1086" s="101"/>
      <c r="H1086" s="102"/>
      <c r="I1086" s="102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</row>
    <row r="1087" spans="1:29" ht="21" customHeight="1">
      <c r="A1087" s="17"/>
      <c r="B1087" s="17"/>
      <c r="C1087" s="17"/>
      <c r="D1087" s="17"/>
      <c r="E1087" s="17"/>
      <c r="F1087" s="17"/>
      <c r="G1087" s="101"/>
      <c r="H1087" s="102"/>
      <c r="I1087" s="102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</row>
    <row r="1088" spans="1:29" ht="21" customHeight="1">
      <c r="A1088" s="17"/>
      <c r="B1088" s="17"/>
      <c r="C1088" s="17"/>
      <c r="D1088" s="17"/>
      <c r="E1088" s="17"/>
      <c r="F1088" s="17"/>
      <c r="G1088" s="101"/>
      <c r="H1088" s="102"/>
      <c r="I1088" s="102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</row>
    <row r="1089" spans="1:29" ht="21" customHeight="1">
      <c r="A1089" s="17"/>
      <c r="B1089" s="17"/>
      <c r="C1089" s="17"/>
      <c r="D1089" s="17"/>
      <c r="E1089" s="17"/>
      <c r="F1089" s="17"/>
      <c r="G1089" s="101"/>
      <c r="H1089" s="102"/>
      <c r="I1089" s="102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</row>
    <row r="1090" spans="1:29" ht="21" customHeight="1">
      <c r="A1090" s="17"/>
      <c r="B1090" s="17"/>
      <c r="C1090" s="17"/>
      <c r="D1090" s="17"/>
      <c r="E1090" s="17"/>
      <c r="F1090" s="17"/>
      <c r="G1090" s="101"/>
      <c r="H1090" s="102"/>
      <c r="I1090" s="102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spans="1:29" ht="21" customHeight="1">
      <c r="A1091" s="17"/>
      <c r="B1091" s="17"/>
      <c r="C1091" s="17"/>
      <c r="D1091" s="17"/>
      <c r="E1091" s="17"/>
      <c r="F1091" s="17"/>
      <c r="G1091" s="101"/>
      <c r="H1091" s="102"/>
      <c r="I1091" s="102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</row>
    <row r="1092" spans="1:29" ht="21" customHeight="1">
      <c r="A1092" s="17"/>
      <c r="B1092" s="17"/>
      <c r="C1092" s="17"/>
      <c r="D1092" s="17"/>
      <c r="E1092" s="17"/>
      <c r="F1092" s="17"/>
      <c r="G1092" s="101"/>
      <c r="H1092" s="102"/>
      <c r="I1092" s="102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</row>
    <row r="1093" spans="1:29" ht="21" customHeight="1">
      <c r="A1093" s="17"/>
      <c r="B1093" s="17"/>
      <c r="C1093" s="17"/>
      <c r="D1093" s="17"/>
      <c r="E1093" s="17"/>
      <c r="F1093" s="17"/>
      <c r="G1093" s="101"/>
      <c r="H1093" s="102"/>
      <c r="I1093" s="102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</row>
    <row r="1094" spans="1:29" ht="21" customHeight="1">
      <c r="A1094" s="17"/>
      <c r="B1094" s="17"/>
      <c r="C1094" s="17"/>
      <c r="D1094" s="17"/>
      <c r="E1094" s="17"/>
      <c r="F1094" s="17"/>
      <c r="G1094" s="101"/>
      <c r="H1094" s="102"/>
      <c r="I1094" s="102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spans="1:29" ht="21" customHeight="1">
      <c r="A1095" s="17"/>
      <c r="B1095" s="17"/>
      <c r="C1095" s="17"/>
      <c r="D1095" s="17"/>
      <c r="E1095" s="17"/>
      <c r="F1095" s="17"/>
      <c r="G1095" s="101"/>
      <c r="H1095" s="102"/>
      <c r="I1095" s="102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</row>
    <row r="1096" spans="1:29" ht="21" customHeight="1">
      <c r="A1096" s="17"/>
      <c r="B1096" s="17"/>
      <c r="C1096" s="17"/>
      <c r="D1096" s="17"/>
      <c r="E1096" s="17"/>
      <c r="F1096" s="17"/>
      <c r="G1096" s="101"/>
      <c r="H1096" s="102"/>
      <c r="I1096" s="102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</row>
    <row r="1097" spans="1:29" ht="21" customHeight="1">
      <c r="A1097" s="17"/>
      <c r="B1097" s="17"/>
      <c r="C1097" s="17"/>
      <c r="D1097" s="17"/>
      <c r="E1097" s="17"/>
      <c r="F1097" s="17"/>
      <c r="G1097" s="101"/>
      <c r="H1097" s="102"/>
      <c r="I1097" s="102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</row>
    <row r="1098" spans="1:29" ht="21" customHeight="1">
      <c r="A1098" s="17"/>
      <c r="B1098" s="17"/>
      <c r="C1098" s="17"/>
      <c r="D1098" s="17"/>
      <c r="E1098" s="17"/>
      <c r="F1098" s="17"/>
      <c r="G1098" s="101"/>
      <c r="H1098" s="102"/>
      <c r="I1098" s="102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</row>
    <row r="1099" spans="1:29" ht="21" customHeight="1">
      <c r="A1099" s="17"/>
      <c r="B1099" s="17"/>
      <c r="C1099" s="17"/>
      <c r="D1099" s="17"/>
      <c r="E1099" s="17"/>
      <c r="F1099" s="17"/>
      <c r="G1099" s="101"/>
      <c r="H1099" s="102"/>
      <c r="I1099" s="102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</row>
    <row r="1100" spans="1:29" ht="21" customHeight="1">
      <c r="A1100" s="17"/>
      <c r="B1100" s="17"/>
      <c r="C1100" s="17"/>
      <c r="D1100" s="17"/>
      <c r="E1100" s="17"/>
      <c r="F1100" s="17"/>
      <c r="G1100" s="101"/>
      <c r="H1100" s="102"/>
      <c r="I1100" s="102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</row>
    <row r="1101" spans="1:29" ht="21" customHeight="1">
      <c r="A1101" s="17"/>
      <c r="B1101" s="17"/>
      <c r="C1101" s="17"/>
      <c r="D1101" s="17"/>
      <c r="E1101" s="17"/>
      <c r="F1101" s="17"/>
      <c r="G1101" s="101"/>
      <c r="H1101" s="102"/>
      <c r="I1101" s="102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</row>
    <row r="1102" spans="1:29" ht="21" customHeight="1">
      <c r="A1102" s="17"/>
      <c r="B1102" s="17"/>
      <c r="C1102" s="17"/>
      <c r="D1102" s="17"/>
      <c r="E1102" s="17"/>
      <c r="F1102" s="17"/>
      <c r="G1102" s="101"/>
      <c r="H1102" s="102"/>
      <c r="I1102" s="102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spans="1:29" ht="21" customHeight="1">
      <c r="A1103" s="17"/>
      <c r="B1103" s="17"/>
      <c r="C1103" s="17"/>
      <c r="D1103" s="17"/>
      <c r="E1103" s="17"/>
      <c r="F1103" s="17"/>
      <c r="G1103" s="101"/>
      <c r="H1103" s="102"/>
      <c r="I1103" s="102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</row>
    <row r="1104" spans="1:29" ht="21" customHeight="1">
      <c r="A1104" s="17"/>
      <c r="B1104" s="17"/>
      <c r="C1104" s="17"/>
      <c r="D1104" s="17"/>
      <c r="E1104" s="17"/>
      <c r="F1104" s="17"/>
      <c r="G1104" s="101"/>
      <c r="H1104" s="102"/>
      <c r="I1104" s="102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</row>
    <row r="1105" spans="1:29" ht="21" customHeight="1">
      <c r="A1105" s="17"/>
      <c r="B1105" s="17"/>
      <c r="C1105" s="17"/>
      <c r="D1105" s="17"/>
      <c r="E1105" s="17"/>
      <c r="F1105" s="17"/>
      <c r="G1105" s="101"/>
      <c r="H1105" s="102"/>
      <c r="I1105" s="102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</row>
    <row r="1106" spans="1:29" ht="21" customHeight="1">
      <c r="A1106" s="17"/>
      <c r="B1106" s="17"/>
      <c r="C1106" s="17"/>
      <c r="D1106" s="17"/>
      <c r="E1106" s="17"/>
      <c r="F1106" s="17"/>
      <c r="G1106" s="101"/>
      <c r="H1106" s="102"/>
      <c r="I1106" s="102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</row>
    <row r="1107" spans="1:29" ht="21" customHeight="1">
      <c r="A1107" s="17"/>
      <c r="B1107" s="17"/>
      <c r="C1107" s="17"/>
      <c r="D1107" s="17"/>
      <c r="E1107" s="17"/>
      <c r="F1107" s="17"/>
      <c r="G1107" s="101"/>
      <c r="H1107" s="102"/>
      <c r="I1107" s="102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</row>
    <row r="1108" spans="1:29" ht="21" customHeight="1">
      <c r="A1108" s="17"/>
      <c r="B1108" s="17"/>
      <c r="C1108" s="17"/>
      <c r="D1108" s="17"/>
      <c r="E1108" s="17"/>
      <c r="F1108" s="17"/>
      <c r="G1108" s="101"/>
      <c r="H1108" s="102"/>
      <c r="I1108" s="102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spans="1:29" ht="21" customHeight="1">
      <c r="A1109" s="17"/>
      <c r="B1109" s="17"/>
      <c r="C1109" s="17"/>
      <c r="D1109" s="17"/>
      <c r="E1109" s="17"/>
      <c r="F1109" s="17"/>
      <c r="G1109" s="101"/>
      <c r="H1109" s="102"/>
      <c r="I1109" s="102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</row>
    <row r="1110" spans="1:29" ht="21" customHeight="1">
      <c r="A1110" s="17"/>
      <c r="B1110" s="17"/>
      <c r="C1110" s="17"/>
      <c r="D1110" s="17"/>
      <c r="E1110" s="17"/>
      <c r="F1110" s="17"/>
      <c r="G1110" s="101"/>
      <c r="H1110" s="102"/>
      <c r="I1110" s="102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</row>
    <row r="1111" spans="1:29" ht="21" customHeight="1">
      <c r="A1111" s="17"/>
      <c r="B1111" s="17"/>
      <c r="C1111" s="17"/>
      <c r="D1111" s="17"/>
      <c r="E1111" s="17"/>
      <c r="F1111" s="17"/>
      <c r="G1111" s="101"/>
      <c r="H1111" s="102"/>
      <c r="I1111" s="102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</row>
    <row r="1112" spans="1:29" ht="21" customHeight="1">
      <c r="A1112" s="17"/>
      <c r="B1112" s="17"/>
      <c r="C1112" s="17"/>
      <c r="D1112" s="17"/>
      <c r="E1112" s="17"/>
      <c r="F1112" s="17"/>
      <c r="G1112" s="101"/>
      <c r="H1112" s="102"/>
      <c r="I1112" s="102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</row>
    <row r="1113" spans="1:29" ht="21" customHeight="1">
      <c r="A1113" s="17"/>
      <c r="B1113" s="17"/>
      <c r="C1113" s="17"/>
      <c r="D1113" s="17"/>
      <c r="E1113" s="17"/>
      <c r="F1113" s="17"/>
      <c r="G1113" s="101"/>
      <c r="H1113" s="102"/>
      <c r="I1113" s="102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</row>
    <row r="1114" spans="1:29" ht="21" customHeight="1">
      <c r="A1114" s="17"/>
      <c r="B1114" s="17"/>
      <c r="C1114" s="17"/>
      <c r="D1114" s="17"/>
      <c r="E1114" s="17"/>
      <c r="F1114" s="17"/>
      <c r="G1114" s="101"/>
      <c r="H1114" s="102"/>
      <c r="I1114" s="102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</row>
    <row r="1115" spans="1:29" ht="21" customHeight="1">
      <c r="A1115" s="17"/>
      <c r="B1115" s="17"/>
      <c r="C1115" s="17"/>
      <c r="D1115" s="17"/>
      <c r="E1115" s="17"/>
      <c r="F1115" s="17"/>
      <c r="G1115" s="101"/>
      <c r="H1115" s="102"/>
      <c r="I1115" s="102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</row>
    <row r="1116" spans="1:29" ht="21" customHeight="1">
      <c r="A1116" s="17"/>
      <c r="B1116" s="17"/>
      <c r="C1116" s="17"/>
      <c r="D1116" s="17"/>
      <c r="E1116" s="17"/>
      <c r="F1116" s="17"/>
      <c r="G1116" s="101"/>
      <c r="H1116" s="102"/>
      <c r="I1116" s="102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</row>
    <row r="1117" spans="1:29" ht="21" customHeight="1">
      <c r="A1117" s="17"/>
      <c r="B1117" s="17"/>
      <c r="C1117" s="17"/>
      <c r="D1117" s="17"/>
      <c r="E1117" s="17"/>
      <c r="F1117" s="17"/>
      <c r="G1117" s="101"/>
      <c r="H1117" s="102"/>
      <c r="I1117" s="102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</row>
    <row r="1118" spans="1:29" ht="21" customHeight="1">
      <c r="A1118" s="17"/>
      <c r="B1118" s="17"/>
      <c r="C1118" s="17"/>
      <c r="D1118" s="17"/>
      <c r="E1118" s="17"/>
      <c r="F1118" s="17"/>
      <c r="G1118" s="101"/>
      <c r="H1118" s="102"/>
      <c r="I1118" s="102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</row>
    <row r="1119" spans="1:29" ht="21" customHeight="1">
      <c r="A1119" s="17"/>
      <c r="B1119" s="17"/>
      <c r="C1119" s="17"/>
      <c r="D1119" s="17"/>
      <c r="E1119" s="17"/>
      <c r="F1119" s="17"/>
      <c r="G1119" s="101"/>
      <c r="H1119" s="102"/>
      <c r="I1119" s="102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</row>
    <row r="1120" spans="1:29" ht="21" customHeight="1">
      <c r="A1120" s="17"/>
      <c r="B1120" s="17"/>
      <c r="C1120" s="17"/>
      <c r="D1120" s="17"/>
      <c r="E1120" s="17"/>
      <c r="F1120" s="17"/>
      <c r="G1120" s="101"/>
      <c r="H1120" s="102"/>
      <c r="I1120" s="102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</row>
    <row r="1121" spans="1:29" ht="21" customHeight="1">
      <c r="A1121" s="17"/>
      <c r="B1121" s="17"/>
      <c r="C1121" s="17"/>
      <c r="D1121" s="17"/>
      <c r="E1121" s="17"/>
      <c r="F1121" s="17"/>
      <c r="G1121" s="101"/>
      <c r="H1121" s="102"/>
      <c r="I1121" s="102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</row>
    <row r="1122" spans="1:29" ht="21" customHeight="1">
      <c r="A1122" s="17"/>
      <c r="B1122" s="17"/>
      <c r="C1122" s="17"/>
      <c r="D1122" s="17"/>
      <c r="E1122" s="17"/>
      <c r="F1122" s="17"/>
      <c r="G1122" s="101"/>
      <c r="H1122" s="102"/>
      <c r="I1122" s="102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</row>
    <row r="1123" spans="1:29" ht="21" customHeight="1">
      <c r="A1123" s="17"/>
      <c r="B1123" s="17"/>
      <c r="C1123" s="17"/>
      <c r="D1123" s="17"/>
      <c r="E1123" s="17"/>
      <c r="F1123" s="17"/>
      <c r="G1123" s="101"/>
      <c r="H1123" s="102"/>
      <c r="I1123" s="102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</row>
    <row r="1124" spans="1:29" ht="21" customHeight="1">
      <c r="A1124" s="17"/>
      <c r="B1124" s="17"/>
      <c r="C1124" s="17"/>
      <c r="D1124" s="17"/>
      <c r="E1124" s="17"/>
      <c r="F1124" s="17"/>
      <c r="G1124" s="101"/>
      <c r="H1124" s="102"/>
      <c r="I1124" s="102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</row>
    <row r="1125" spans="1:29" ht="21" customHeight="1">
      <c r="A1125" s="17"/>
      <c r="B1125" s="17"/>
      <c r="C1125" s="17"/>
      <c r="D1125" s="17"/>
      <c r="E1125" s="17"/>
      <c r="F1125" s="17"/>
      <c r="G1125" s="101"/>
      <c r="H1125" s="102"/>
      <c r="I1125" s="102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</row>
    <row r="1126" spans="1:29" ht="21" customHeight="1">
      <c r="A1126" s="17"/>
      <c r="B1126" s="17"/>
      <c r="C1126" s="17"/>
      <c r="D1126" s="17"/>
      <c r="E1126" s="17"/>
      <c r="F1126" s="17"/>
      <c r="G1126" s="101"/>
      <c r="H1126" s="102"/>
      <c r="I1126" s="102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</row>
    <row r="1127" spans="1:29" ht="21" customHeight="1">
      <c r="A1127" s="17"/>
      <c r="B1127" s="17"/>
      <c r="C1127" s="17"/>
      <c r="D1127" s="17"/>
      <c r="E1127" s="17"/>
      <c r="F1127" s="17"/>
      <c r="G1127" s="101"/>
      <c r="H1127" s="102"/>
      <c r="I1127" s="102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</row>
    <row r="1128" spans="1:29" ht="21" customHeight="1">
      <c r="A1128" s="17"/>
      <c r="B1128" s="17"/>
      <c r="C1128" s="17"/>
      <c r="D1128" s="17"/>
      <c r="E1128" s="17"/>
      <c r="F1128" s="17"/>
      <c r="G1128" s="101"/>
      <c r="H1128" s="102"/>
      <c r="I1128" s="102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</row>
    <row r="1129" spans="1:29" ht="21" customHeight="1">
      <c r="A1129" s="17"/>
      <c r="B1129" s="17"/>
      <c r="C1129" s="17"/>
      <c r="D1129" s="17"/>
      <c r="E1129" s="17"/>
      <c r="F1129" s="17"/>
      <c r="G1129" s="101"/>
      <c r="H1129" s="102"/>
      <c r="I1129" s="102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spans="1:29" ht="21" customHeight="1">
      <c r="A1130" s="17"/>
      <c r="B1130" s="17"/>
      <c r="C1130" s="17"/>
      <c r="D1130" s="17"/>
      <c r="E1130" s="17"/>
      <c r="F1130" s="17"/>
      <c r="G1130" s="101"/>
      <c r="H1130" s="102"/>
      <c r="I1130" s="102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</row>
    <row r="1131" spans="1:29" ht="21" customHeight="1">
      <c r="A1131" s="17"/>
      <c r="B1131" s="17"/>
      <c r="C1131" s="17"/>
      <c r="D1131" s="17"/>
      <c r="E1131" s="17"/>
      <c r="F1131" s="17"/>
      <c r="G1131" s="101"/>
      <c r="H1131" s="102"/>
      <c r="I1131" s="102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spans="1:29" ht="21" customHeight="1">
      <c r="A1132" s="17"/>
      <c r="B1132" s="17"/>
      <c r="C1132" s="17"/>
      <c r="D1132" s="17"/>
      <c r="E1132" s="17"/>
      <c r="F1132" s="17"/>
      <c r="G1132" s="101"/>
      <c r="H1132" s="102"/>
      <c r="I1132" s="102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</row>
    <row r="1133" spans="1:29" ht="21" customHeight="1">
      <c r="A1133" s="17"/>
      <c r="B1133" s="17"/>
      <c r="C1133" s="17"/>
      <c r="D1133" s="17"/>
      <c r="E1133" s="17"/>
      <c r="F1133" s="17"/>
      <c r="G1133" s="101"/>
      <c r="H1133" s="102"/>
      <c r="I1133" s="102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</row>
    <row r="1134" spans="1:29" ht="21" customHeight="1">
      <c r="A1134" s="17"/>
      <c r="B1134" s="17"/>
      <c r="C1134" s="17"/>
      <c r="D1134" s="17"/>
      <c r="E1134" s="17"/>
      <c r="F1134" s="17"/>
      <c r="G1134" s="101"/>
      <c r="H1134" s="102"/>
      <c r="I1134" s="102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</row>
    <row r="1135" spans="1:29" ht="21" customHeight="1">
      <c r="A1135" s="17"/>
      <c r="B1135" s="17"/>
      <c r="C1135" s="17"/>
      <c r="D1135" s="17"/>
      <c r="E1135" s="17"/>
      <c r="F1135" s="17"/>
      <c r="G1135" s="101"/>
      <c r="H1135" s="102"/>
      <c r="I1135" s="102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</row>
    <row r="1136" spans="1:29" ht="21" customHeight="1">
      <c r="A1136" s="17"/>
      <c r="B1136" s="17"/>
      <c r="C1136" s="17"/>
      <c r="D1136" s="17"/>
      <c r="E1136" s="17"/>
      <c r="F1136" s="17"/>
      <c r="G1136" s="101"/>
      <c r="H1136" s="102"/>
      <c r="I1136" s="102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spans="1:29" ht="21" customHeight="1">
      <c r="A1137" s="17"/>
      <c r="B1137" s="17"/>
      <c r="C1137" s="17"/>
      <c r="D1137" s="17"/>
      <c r="E1137" s="17"/>
      <c r="F1137" s="17"/>
      <c r="G1137" s="101"/>
      <c r="H1137" s="102"/>
      <c r="I1137" s="102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</row>
    <row r="1138" spans="1:29" ht="21" customHeight="1">
      <c r="A1138" s="17"/>
      <c r="B1138" s="17"/>
      <c r="C1138" s="17"/>
      <c r="D1138" s="17"/>
      <c r="E1138" s="17"/>
      <c r="F1138" s="17"/>
      <c r="G1138" s="101"/>
      <c r="H1138" s="102"/>
      <c r="I1138" s="102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</row>
    <row r="1139" spans="1:29" ht="21" customHeight="1">
      <c r="A1139" s="17"/>
      <c r="B1139" s="17"/>
      <c r="C1139" s="17"/>
      <c r="D1139" s="17"/>
      <c r="E1139" s="17"/>
      <c r="F1139" s="17"/>
      <c r="G1139" s="101"/>
      <c r="H1139" s="102"/>
      <c r="I1139" s="102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</row>
    <row r="1140" spans="1:29" ht="21" customHeight="1">
      <c r="A1140" s="17"/>
      <c r="B1140" s="17"/>
      <c r="C1140" s="17"/>
      <c r="D1140" s="17"/>
      <c r="E1140" s="17"/>
      <c r="F1140" s="17"/>
      <c r="G1140" s="101"/>
      <c r="H1140" s="102"/>
      <c r="I1140" s="102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</row>
    <row r="1141" spans="1:29" ht="21" customHeight="1">
      <c r="A1141" s="17"/>
      <c r="B1141" s="17"/>
      <c r="C1141" s="17"/>
      <c r="D1141" s="17"/>
      <c r="E1141" s="17"/>
      <c r="F1141" s="17"/>
      <c r="G1141" s="101"/>
      <c r="H1141" s="102"/>
      <c r="I1141" s="102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</row>
    <row r="1142" spans="1:29" ht="21" customHeight="1">
      <c r="A1142" s="17"/>
      <c r="B1142" s="17"/>
      <c r="C1142" s="17"/>
      <c r="D1142" s="17"/>
      <c r="E1142" s="17"/>
      <c r="F1142" s="17"/>
      <c r="G1142" s="101"/>
      <c r="H1142" s="102"/>
      <c r="I1142" s="102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</row>
    <row r="1143" spans="1:29" ht="21" customHeight="1">
      <c r="A1143" s="17"/>
      <c r="B1143" s="17"/>
      <c r="C1143" s="17"/>
      <c r="D1143" s="17"/>
      <c r="E1143" s="17"/>
      <c r="F1143" s="17"/>
      <c r="G1143" s="101"/>
      <c r="H1143" s="102"/>
      <c r="I1143" s="102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</row>
    <row r="1144" spans="1:29" ht="21" customHeight="1">
      <c r="A1144" s="17"/>
      <c r="B1144" s="17"/>
      <c r="C1144" s="17"/>
      <c r="D1144" s="17"/>
      <c r="E1144" s="17"/>
      <c r="F1144" s="17"/>
      <c r="G1144" s="101"/>
      <c r="H1144" s="102"/>
      <c r="I1144" s="102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</row>
    <row r="1145" spans="1:29" ht="21" customHeight="1">
      <c r="A1145" s="17"/>
      <c r="B1145" s="17"/>
      <c r="C1145" s="17"/>
      <c r="D1145" s="17"/>
      <c r="E1145" s="17"/>
      <c r="F1145" s="17"/>
      <c r="G1145" s="101"/>
      <c r="H1145" s="102"/>
      <c r="I1145" s="102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</row>
    <row r="1146" spans="1:29" ht="21" customHeight="1">
      <c r="A1146" s="17"/>
      <c r="B1146" s="17"/>
      <c r="C1146" s="17"/>
      <c r="D1146" s="17"/>
      <c r="E1146" s="17"/>
      <c r="F1146" s="17"/>
      <c r="G1146" s="101"/>
      <c r="H1146" s="102"/>
      <c r="I1146" s="102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</row>
    <row r="1147" spans="1:29" ht="21" customHeight="1">
      <c r="A1147" s="17"/>
      <c r="B1147" s="17"/>
      <c r="C1147" s="17"/>
      <c r="D1147" s="17"/>
      <c r="E1147" s="17"/>
      <c r="F1147" s="17"/>
      <c r="G1147" s="101"/>
      <c r="H1147" s="102"/>
      <c r="I1147" s="102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</row>
    <row r="1148" spans="1:29" ht="21" customHeight="1">
      <c r="A1148" s="17"/>
      <c r="B1148" s="17"/>
      <c r="C1148" s="17"/>
      <c r="D1148" s="17"/>
      <c r="E1148" s="17"/>
      <c r="F1148" s="17"/>
      <c r="G1148" s="101"/>
      <c r="H1148" s="102"/>
      <c r="I1148" s="102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</row>
    <row r="1149" spans="1:29" ht="21" customHeight="1">
      <c r="A1149" s="17"/>
      <c r="B1149" s="17"/>
      <c r="C1149" s="17"/>
      <c r="D1149" s="17"/>
      <c r="E1149" s="17"/>
      <c r="F1149" s="17"/>
      <c r="G1149" s="101"/>
      <c r="H1149" s="102"/>
      <c r="I1149" s="102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</row>
    <row r="1150" spans="1:29" ht="21" customHeight="1">
      <c r="A1150" s="17"/>
      <c r="B1150" s="17"/>
      <c r="C1150" s="17"/>
      <c r="D1150" s="17"/>
      <c r="E1150" s="17"/>
      <c r="F1150" s="17"/>
      <c r="G1150" s="101"/>
      <c r="H1150" s="102"/>
      <c r="I1150" s="102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</row>
    <row r="1151" spans="1:29" ht="21" customHeight="1">
      <c r="A1151" s="17"/>
      <c r="B1151" s="17"/>
      <c r="C1151" s="17"/>
      <c r="D1151" s="17"/>
      <c r="E1151" s="17"/>
      <c r="F1151" s="17"/>
      <c r="G1151" s="101"/>
      <c r="H1151" s="102"/>
      <c r="I1151" s="102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</row>
    <row r="1152" spans="1:29" ht="21" customHeight="1">
      <c r="A1152" s="17"/>
      <c r="B1152" s="17"/>
      <c r="C1152" s="17"/>
      <c r="D1152" s="17"/>
      <c r="E1152" s="17"/>
      <c r="F1152" s="17"/>
      <c r="G1152" s="101"/>
      <c r="H1152" s="102"/>
      <c r="I1152" s="102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</row>
    <row r="1153" spans="1:29" ht="21" customHeight="1">
      <c r="A1153" s="17"/>
      <c r="B1153" s="17"/>
      <c r="C1153" s="17"/>
      <c r="D1153" s="17"/>
      <c r="E1153" s="17"/>
      <c r="F1153" s="17"/>
      <c r="G1153" s="101"/>
      <c r="H1153" s="102"/>
      <c r="I1153" s="102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</row>
    <row r="1154" spans="1:29" ht="21" customHeight="1">
      <c r="A1154" s="17"/>
      <c r="B1154" s="17"/>
      <c r="C1154" s="17"/>
      <c r="D1154" s="17"/>
      <c r="E1154" s="17"/>
      <c r="F1154" s="17"/>
      <c r="G1154" s="101"/>
      <c r="H1154" s="102"/>
      <c r="I1154" s="102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</row>
    <row r="1155" spans="1:29" ht="21" customHeight="1">
      <c r="A1155" s="17"/>
      <c r="B1155" s="17"/>
      <c r="C1155" s="17"/>
      <c r="D1155" s="17"/>
      <c r="E1155" s="17"/>
      <c r="F1155" s="17"/>
      <c r="G1155" s="101"/>
      <c r="H1155" s="102"/>
      <c r="I1155" s="102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</row>
    <row r="1156" spans="1:29" ht="21" customHeight="1">
      <c r="A1156" s="17"/>
      <c r="B1156" s="17"/>
      <c r="C1156" s="17"/>
      <c r="D1156" s="17"/>
      <c r="E1156" s="17"/>
      <c r="F1156" s="17"/>
      <c r="G1156" s="101"/>
      <c r="H1156" s="102"/>
      <c r="I1156" s="102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</row>
    <row r="1157" spans="1:29" ht="21" customHeight="1">
      <c r="A1157" s="17"/>
      <c r="B1157" s="17"/>
      <c r="C1157" s="17"/>
      <c r="D1157" s="17"/>
      <c r="E1157" s="17"/>
      <c r="F1157" s="17"/>
      <c r="G1157" s="101"/>
      <c r="H1157" s="102"/>
      <c r="I1157" s="102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</row>
    <row r="1158" spans="1:29" ht="21" customHeight="1">
      <c r="A1158" s="17"/>
      <c r="B1158" s="17"/>
      <c r="C1158" s="17"/>
      <c r="D1158" s="17"/>
      <c r="E1158" s="17"/>
      <c r="F1158" s="17"/>
      <c r="G1158" s="101"/>
      <c r="H1158" s="102"/>
      <c r="I1158" s="102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</row>
    <row r="1159" spans="1:29" ht="21" customHeight="1">
      <c r="A1159" s="17"/>
      <c r="B1159" s="17"/>
      <c r="C1159" s="17"/>
      <c r="D1159" s="17"/>
      <c r="E1159" s="17"/>
      <c r="F1159" s="17"/>
      <c r="G1159" s="101"/>
      <c r="H1159" s="102"/>
      <c r="I1159" s="102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</row>
    <row r="1160" spans="1:29" ht="21" customHeight="1">
      <c r="A1160" s="17"/>
      <c r="B1160" s="17"/>
      <c r="C1160" s="17"/>
      <c r="D1160" s="17"/>
      <c r="E1160" s="17"/>
      <c r="F1160" s="17"/>
      <c r="G1160" s="101"/>
      <c r="H1160" s="102"/>
      <c r="I1160" s="102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</row>
    <row r="1161" spans="1:29" ht="21" customHeight="1">
      <c r="A1161" s="17"/>
      <c r="B1161" s="17"/>
      <c r="C1161" s="17"/>
      <c r="D1161" s="17"/>
      <c r="E1161" s="17"/>
      <c r="F1161" s="17"/>
      <c r="G1161" s="101"/>
      <c r="H1161" s="102"/>
      <c r="I1161" s="102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</row>
    <row r="1162" spans="1:29" ht="21" customHeight="1">
      <c r="A1162" s="17"/>
      <c r="B1162" s="17"/>
      <c r="C1162" s="17"/>
      <c r="D1162" s="17"/>
      <c r="E1162" s="17"/>
      <c r="F1162" s="17"/>
      <c r="G1162" s="101"/>
      <c r="H1162" s="102"/>
      <c r="I1162" s="102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</row>
    <row r="1163" spans="1:29" ht="21" customHeight="1">
      <c r="A1163" s="17"/>
      <c r="B1163" s="17"/>
      <c r="C1163" s="17"/>
      <c r="D1163" s="17"/>
      <c r="E1163" s="17"/>
      <c r="F1163" s="17"/>
      <c r="G1163" s="101"/>
      <c r="H1163" s="102"/>
      <c r="I1163" s="102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</row>
    <row r="1164" spans="1:29" ht="21" customHeight="1">
      <c r="A1164" s="17"/>
      <c r="B1164" s="17"/>
      <c r="C1164" s="17"/>
      <c r="D1164" s="17"/>
      <c r="E1164" s="17"/>
      <c r="F1164" s="17"/>
      <c r="G1164" s="101"/>
      <c r="H1164" s="102"/>
      <c r="I1164" s="102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</row>
    <row r="1165" spans="1:29" ht="21" customHeight="1">
      <c r="A1165" s="17"/>
      <c r="B1165" s="17"/>
      <c r="C1165" s="17"/>
      <c r="D1165" s="17"/>
      <c r="E1165" s="17"/>
      <c r="F1165" s="17"/>
      <c r="G1165" s="101"/>
      <c r="H1165" s="102"/>
      <c r="I1165" s="102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spans="1:29" ht="21" customHeight="1">
      <c r="A1166" s="17"/>
      <c r="B1166" s="17"/>
      <c r="C1166" s="17"/>
      <c r="D1166" s="17"/>
      <c r="E1166" s="17"/>
      <c r="F1166" s="17"/>
      <c r="G1166" s="101"/>
      <c r="H1166" s="102"/>
      <c r="I1166" s="102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spans="1:29" ht="21" customHeight="1">
      <c r="A1167" s="17"/>
      <c r="B1167" s="17"/>
      <c r="C1167" s="17"/>
      <c r="D1167" s="17"/>
      <c r="E1167" s="17"/>
      <c r="F1167" s="17"/>
      <c r="G1167" s="101"/>
      <c r="H1167" s="102"/>
      <c r="I1167" s="102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</row>
    <row r="1168" spans="1:29" ht="21" customHeight="1">
      <c r="A1168" s="17"/>
      <c r="B1168" s="17"/>
      <c r="C1168" s="17"/>
      <c r="D1168" s="17"/>
      <c r="E1168" s="17"/>
      <c r="F1168" s="17"/>
      <c r="G1168" s="101"/>
      <c r="H1168" s="102"/>
      <c r="I1168" s="102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</row>
    <row r="1169" spans="1:29" ht="21" customHeight="1">
      <c r="A1169" s="17"/>
      <c r="B1169" s="17"/>
      <c r="C1169" s="17"/>
      <c r="D1169" s="17"/>
      <c r="E1169" s="17"/>
      <c r="F1169" s="17"/>
      <c r="G1169" s="101"/>
      <c r="H1169" s="102"/>
      <c r="I1169" s="102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</row>
    <row r="1170" spans="1:29" ht="21" customHeight="1">
      <c r="A1170" s="17"/>
      <c r="B1170" s="17"/>
      <c r="C1170" s="17"/>
      <c r="D1170" s="17"/>
      <c r="E1170" s="17"/>
      <c r="F1170" s="17"/>
      <c r="G1170" s="101"/>
      <c r="H1170" s="102"/>
      <c r="I1170" s="102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</row>
    <row r="1171" spans="1:29" ht="21" customHeight="1">
      <c r="A1171" s="17"/>
      <c r="B1171" s="17"/>
      <c r="C1171" s="17"/>
      <c r="D1171" s="17"/>
      <c r="E1171" s="17"/>
      <c r="F1171" s="17"/>
      <c r="G1171" s="101"/>
      <c r="H1171" s="102"/>
      <c r="I1171" s="102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</row>
    <row r="1172" spans="1:29" ht="21" customHeight="1">
      <c r="A1172" s="17"/>
      <c r="B1172" s="17"/>
      <c r="C1172" s="17"/>
      <c r="D1172" s="17"/>
      <c r="E1172" s="17"/>
      <c r="F1172" s="17"/>
      <c r="G1172" s="101"/>
      <c r="H1172" s="102"/>
      <c r="I1172" s="102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</row>
    <row r="1173" spans="1:29" ht="21" customHeight="1">
      <c r="A1173" s="17"/>
      <c r="B1173" s="17"/>
      <c r="C1173" s="17"/>
      <c r="D1173" s="17"/>
      <c r="E1173" s="17"/>
      <c r="F1173" s="17"/>
      <c r="G1173" s="101"/>
      <c r="H1173" s="102"/>
      <c r="I1173" s="102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</row>
    <row r="1174" spans="1:29" ht="21" customHeight="1">
      <c r="A1174" s="17"/>
      <c r="B1174" s="17"/>
      <c r="C1174" s="17"/>
      <c r="D1174" s="17"/>
      <c r="E1174" s="17"/>
      <c r="F1174" s="17"/>
      <c r="G1174" s="101"/>
      <c r="H1174" s="102"/>
      <c r="I1174" s="102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</row>
    <row r="1175" spans="1:29" ht="21" customHeight="1">
      <c r="A1175" s="17"/>
      <c r="B1175" s="17"/>
      <c r="C1175" s="17"/>
      <c r="D1175" s="17"/>
      <c r="E1175" s="17"/>
      <c r="F1175" s="17"/>
      <c r="G1175" s="101"/>
      <c r="H1175" s="102"/>
      <c r="I1175" s="102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</row>
    <row r="1176" spans="1:29" ht="21" customHeight="1">
      <c r="A1176" s="17"/>
      <c r="B1176" s="17"/>
      <c r="C1176" s="17"/>
      <c r="D1176" s="17"/>
      <c r="E1176" s="17"/>
      <c r="F1176" s="17"/>
      <c r="G1176" s="101"/>
      <c r="H1176" s="102"/>
      <c r="I1176" s="102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</row>
    <row r="1177" spans="1:29" ht="21" customHeight="1">
      <c r="A1177" s="17"/>
      <c r="B1177" s="17"/>
      <c r="C1177" s="17"/>
      <c r="D1177" s="17"/>
      <c r="E1177" s="17"/>
      <c r="F1177" s="17"/>
      <c r="G1177" s="101"/>
      <c r="H1177" s="102"/>
      <c r="I1177" s="102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</row>
    <row r="1178" spans="1:29" ht="21" customHeight="1">
      <c r="A1178" s="17"/>
      <c r="B1178" s="17"/>
      <c r="C1178" s="17"/>
      <c r="D1178" s="17"/>
      <c r="E1178" s="17"/>
      <c r="F1178" s="17"/>
      <c r="G1178" s="101"/>
      <c r="H1178" s="102"/>
      <c r="I1178" s="102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</row>
    <row r="1179" spans="1:29" ht="21" customHeight="1">
      <c r="A1179" s="17"/>
      <c r="B1179" s="17"/>
      <c r="C1179" s="17"/>
      <c r="D1179" s="17"/>
      <c r="E1179" s="17"/>
      <c r="F1179" s="17"/>
      <c r="G1179" s="101"/>
      <c r="H1179" s="102"/>
      <c r="I1179" s="102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</row>
    <row r="1180" spans="1:29" ht="21" customHeight="1">
      <c r="A1180" s="17"/>
      <c r="B1180" s="17"/>
      <c r="C1180" s="17"/>
      <c r="D1180" s="17"/>
      <c r="E1180" s="17"/>
      <c r="F1180" s="17"/>
      <c r="G1180" s="101"/>
      <c r="H1180" s="102"/>
      <c r="I1180" s="102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</row>
    <row r="1181" spans="1:29" ht="21" customHeight="1">
      <c r="A1181" s="17"/>
      <c r="B1181" s="17"/>
      <c r="C1181" s="17"/>
      <c r="D1181" s="17"/>
      <c r="E1181" s="17"/>
      <c r="F1181" s="17"/>
      <c r="G1181" s="101"/>
      <c r="H1181" s="102"/>
      <c r="I1181" s="102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</row>
  </sheetData>
  <dataValidations count="7">
    <dataValidation type="list" allowBlank="1" sqref="A59:A392" xr:uid="{00000000-0002-0000-0100-000000000000}">
      <formula1>"Sopa Acelga con espinaca,Sopa Zanahoria &amp; Jengibre,Sopa Ahuyama &amp; hiebabuena,Sopa Tomate &amp; Albahaca,Sopa Lentejas &amp; Curry,Sopa Brócoli &amp; Parmesano,Sopa Verduras,Proteina Albóndigas Italinas,Proteina Cerdo Agridulce,Proteina Pulled Pork,Proteina Carne Desm"&amp;"echada,Salsa Bolognesa 250gr,Sopa Mexicana,Salsa Napolitana 400gr,Proteina pollo al Curry,Salsa Napolitana 250gr,Proteina Cerdo Teriyaki,Salsa Bolognesa 400gr,Arepas,Salsa Napolitana,Costillas de Cerdo BBQ 300Gr,Hogao,Sopa Alcachofa Tradicional,Pollo Desm"&amp;"echado,Pollo en Salsa Criolla "</formula1>
    </dataValidation>
    <dataValidation type="list" allowBlank="1" showErrorMessage="1" sqref="B59:B392" xr:uid="{00000000-0002-0000-0100-000001000000}">
      <formula1>"50,100,150,200,60,102,30,40,80,90"</formula1>
    </dataValidation>
    <dataValidation type="list" allowBlank="1" showErrorMessage="1" sqref="D2:D392" xr:uid="{00000000-0002-0000-0100-000002000000}">
      <formula1>"90,180"</formula1>
    </dataValidation>
    <dataValidation type="custom" allowBlank="1" showDropDown="1" sqref="C2:C58" xr:uid="{00000000-0002-0000-0100-000003000000}">
      <formula1>OR(NOT(ISERROR(DATEVALUE(C2))), AND(ISNUMBER(C2), LEFT(CELL("format", C2))="D"))</formula1>
    </dataValidation>
    <dataValidation type="list" allowBlank="1" sqref="A2:A58" xr:uid="{00000000-0002-0000-0100-000004000000}">
      <formula1>"Sopa Acelga con espinaca,Sopa Zanahoria &amp; Jengibre,Sopa Ahuyama &amp; hiebabuena,Sopa Tomate &amp; Albahaca,Sopa Lentejas &amp; Curry,Sopa Brócoli &amp; Parmesano,Sopa Verduras,Proteina Albóndigas Italinas,Proteina Cerdo Agridulce,Proteina Pulled Pork,Proteina Carne Desm"&amp;"echada,Salsa Bolognesa 250gr,Sopa Mexicana,Salsa Napolitana 400gr,Proteina pollo al Curry,Salsa Napolitana 250gr,Proteina Cerdo Teriyaki,Salsa Bolognesa 400gr,Arepas"</formula1>
    </dataValidation>
    <dataValidation type="list" allowBlank="1" sqref="B2:B58" xr:uid="{00000000-0002-0000-0100-000005000000}">
      <formula1>"50,100,150,200,60,102,30"</formula1>
    </dataValidation>
    <dataValidation type="custom" allowBlank="1" showDropDown="1" sqref="G2:G58" xr:uid="{00000000-0002-0000-0100-000006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5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" customWidth="1"/>
    <col min="2" max="2" width="27.5" customWidth="1"/>
    <col min="3" max="3" width="14.1640625" customWidth="1"/>
    <col min="4" max="4" width="14" customWidth="1"/>
    <col min="5" max="5" width="18.6640625" hidden="1" customWidth="1"/>
    <col min="6" max="6" width="21" customWidth="1"/>
    <col min="7" max="7" width="20.6640625" customWidth="1"/>
  </cols>
  <sheetData>
    <row r="1" spans="1:8" ht="22.5" customHeight="1">
      <c r="A1" s="103" t="s">
        <v>225</v>
      </c>
      <c r="B1" s="2" t="s">
        <v>1</v>
      </c>
      <c r="C1" s="1" t="s">
        <v>2</v>
      </c>
      <c r="D1" s="3" t="s">
        <v>3</v>
      </c>
      <c r="E1" s="2" t="s">
        <v>4</v>
      </c>
      <c r="F1" s="1" t="s">
        <v>5</v>
      </c>
      <c r="G1" s="1" t="s">
        <v>226</v>
      </c>
    </row>
    <row r="2" spans="1:8" ht="22.5" customHeight="1">
      <c r="A2" s="104">
        <v>45901</v>
      </c>
      <c r="B2" s="105" t="s">
        <v>227</v>
      </c>
      <c r="C2" s="6" t="s">
        <v>228</v>
      </c>
      <c r="D2" s="106">
        <v>101100</v>
      </c>
      <c r="E2" s="107"/>
      <c r="F2" s="108" t="s">
        <v>10</v>
      </c>
      <c r="G2" s="109"/>
    </row>
    <row r="3" spans="1:8" ht="22.5" customHeight="1">
      <c r="A3" s="104">
        <v>45901</v>
      </c>
      <c r="B3" s="110" t="s">
        <v>229</v>
      </c>
      <c r="C3" s="6" t="s">
        <v>230</v>
      </c>
      <c r="D3" s="106">
        <v>94500</v>
      </c>
      <c r="E3" s="107"/>
      <c r="F3" s="111" t="s">
        <v>16</v>
      </c>
      <c r="G3" s="109"/>
    </row>
    <row r="4" spans="1:8" ht="22.5" customHeight="1">
      <c r="A4" s="104">
        <v>45901</v>
      </c>
      <c r="B4" s="112" t="s">
        <v>231</v>
      </c>
      <c r="C4" s="6" t="s">
        <v>232</v>
      </c>
      <c r="D4" s="106">
        <v>136440</v>
      </c>
      <c r="E4" s="107"/>
      <c r="F4" s="108" t="s">
        <v>10</v>
      </c>
      <c r="G4" s="109"/>
    </row>
    <row r="5" spans="1:8" ht="22.5" customHeight="1">
      <c r="A5" s="104">
        <v>45901</v>
      </c>
      <c r="B5" s="105" t="s">
        <v>46</v>
      </c>
      <c r="C5" s="6" t="s">
        <v>233</v>
      </c>
      <c r="D5" s="106">
        <v>137000</v>
      </c>
      <c r="E5" s="107"/>
      <c r="F5" s="108" t="s">
        <v>7</v>
      </c>
      <c r="G5" s="109"/>
      <c r="H5" s="113"/>
    </row>
    <row r="6" spans="1:8" ht="22.5" customHeight="1">
      <c r="A6" s="104">
        <v>45901</v>
      </c>
      <c r="B6" s="110" t="s">
        <v>12</v>
      </c>
      <c r="C6" s="6" t="s">
        <v>234</v>
      </c>
      <c r="D6" s="106">
        <v>210690</v>
      </c>
      <c r="E6" s="107"/>
      <c r="F6" s="108" t="s">
        <v>10</v>
      </c>
      <c r="G6" s="109"/>
    </row>
    <row r="7" spans="1:8" ht="22.5" customHeight="1">
      <c r="A7" s="104">
        <v>45901</v>
      </c>
      <c r="B7" s="112" t="s">
        <v>235</v>
      </c>
      <c r="C7" s="6" t="s">
        <v>236</v>
      </c>
      <c r="D7" s="106">
        <v>185400</v>
      </c>
      <c r="E7" s="107"/>
      <c r="F7" s="108" t="s">
        <v>7</v>
      </c>
      <c r="G7" s="109"/>
    </row>
    <row r="8" spans="1:8" ht="22.5" customHeight="1">
      <c r="A8" s="104">
        <v>45901</v>
      </c>
      <c r="B8" s="112" t="s">
        <v>237</v>
      </c>
      <c r="C8" s="6" t="s">
        <v>238</v>
      </c>
      <c r="D8" s="106">
        <v>94500</v>
      </c>
      <c r="E8" s="107"/>
      <c r="F8" s="108" t="s">
        <v>7</v>
      </c>
      <c r="G8" s="109"/>
    </row>
    <row r="9" spans="1:8" ht="22.5" customHeight="1">
      <c r="A9" s="104">
        <v>45901</v>
      </c>
      <c r="B9" s="105" t="s">
        <v>239</v>
      </c>
      <c r="C9" s="6" t="s">
        <v>240</v>
      </c>
      <c r="D9" s="106">
        <v>134226</v>
      </c>
      <c r="E9" s="107"/>
      <c r="F9" s="108" t="s">
        <v>7</v>
      </c>
      <c r="G9" s="109"/>
    </row>
    <row r="10" spans="1:8" ht="22.5" customHeight="1">
      <c r="A10" s="104">
        <v>45902</v>
      </c>
      <c r="B10" s="112" t="s">
        <v>241</v>
      </c>
      <c r="C10" s="6" t="s">
        <v>242</v>
      </c>
      <c r="D10" s="106">
        <v>147000</v>
      </c>
      <c r="E10" s="107"/>
      <c r="F10" s="108" t="s">
        <v>7</v>
      </c>
      <c r="G10" s="109"/>
    </row>
    <row r="11" spans="1:8" ht="22.5" customHeight="1">
      <c r="A11" s="104">
        <v>45902</v>
      </c>
      <c r="B11" s="105" t="s">
        <v>243</v>
      </c>
      <c r="C11" s="6" t="s">
        <v>244</v>
      </c>
      <c r="D11" s="106">
        <v>242820</v>
      </c>
      <c r="E11" s="107"/>
      <c r="F11" s="108" t="s">
        <v>21</v>
      </c>
      <c r="G11" s="109"/>
    </row>
    <row r="12" spans="1:8" ht="22.5" customHeight="1">
      <c r="A12" s="104">
        <v>45902</v>
      </c>
      <c r="B12" s="110" t="s">
        <v>115</v>
      </c>
      <c r="C12" s="6" t="s">
        <v>245</v>
      </c>
      <c r="D12" s="106">
        <v>248568</v>
      </c>
      <c r="E12" s="107"/>
      <c r="F12" s="108" t="s">
        <v>7</v>
      </c>
      <c r="G12" s="109"/>
    </row>
    <row r="13" spans="1:8" ht="22.5" customHeight="1">
      <c r="A13" s="104">
        <v>45902</v>
      </c>
      <c r="B13" s="110" t="s">
        <v>34</v>
      </c>
      <c r="C13" s="6" t="s">
        <v>246</v>
      </c>
      <c r="D13" s="106">
        <v>136500</v>
      </c>
      <c r="E13" s="107"/>
      <c r="F13" s="108" t="s">
        <v>7</v>
      </c>
      <c r="G13" s="109"/>
    </row>
    <row r="14" spans="1:8" ht="22.5" customHeight="1">
      <c r="A14" s="104">
        <v>45902</v>
      </c>
      <c r="B14" s="110" t="s">
        <v>247</v>
      </c>
      <c r="C14" s="6" t="s">
        <v>248</v>
      </c>
      <c r="D14" s="106">
        <v>463900</v>
      </c>
      <c r="E14" s="107"/>
      <c r="F14" s="108" t="s">
        <v>7</v>
      </c>
      <c r="G14" s="109"/>
    </row>
    <row r="15" spans="1:8" ht="22.5" customHeight="1">
      <c r="A15" s="104">
        <v>45902</v>
      </c>
      <c r="B15" s="110" t="s">
        <v>249</v>
      </c>
      <c r="C15" s="6" t="s">
        <v>250</v>
      </c>
      <c r="D15" s="106">
        <v>136000</v>
      </c>
      <c r="E15" s="107"/>
      <c r="F15" s="108" t="s">
        <v>10</v>
      </c>
      <c r="G15" s="109"/>
    </row>
    <row r="16" spans="1:8" ht="26.25" customHeight="1">
      <c r="A16" s="104">
        <v>45902</v>
      </c>
      <c r="B16" s="110" t="s">
        <v>251</v>
      </c>
      <c r="C16" s="6" t="s">
        <v>252</v>
      </c>
      <c r="D16" s="106">
        <v>136500</v>
      </c>
      <c r="E16" s="107"/>
      <c r="F16" s="108" t="s">
        <v>7</v>
      </c>
      <c r="G16" s="109"/>
    </row>
    <row r="17" spans="1:7" ht="22.5" customHeight="1">
      <c r="A17" s="104">
        <v>45902</v>
      </c>
      <c r="B17" s="110" t="s">
        <v>33</v>
      </c>
      <c r="C17" s="6" t="s">
        <v>253</v>
      </c>
      <c r="D17" s="106">
        <v>157500</v>
      </c>
      <c r="E17" s="107"/>
      <c r="F17" s="108" t="s">
        <v>7</v>
      </c>
      <c r="G17" s="109"/>
    </row>
    <row r="18" spans="1:7" ht="22.5" customHeight="1">
      <c r="A18" s="104">
        <v>45902</v>
      </c>
      <c r="B18" s="110" t="s">
        <v>254</v>
      </c>
      <c r="C18" s="6" t="s">
        <v>255</v>
      </c>
      <c r="D18" s="106">
        <v>146000</v>
      </c>
      <c r="E18" s="107"/>
      <c r="F18" s="108" t="s">
        <v>7</v>
      </c>
      <c r="G18" s="109"/>
    </row>
    <row r="19" spans="1:7" ht="24" customHeight="1">
      <c r="A19" s="104">
        <v>45902</v>
      </c>
      <c r="B19" s="105" t="s">
        <v>256</v>
      </c>
      <c r="C19" s="6" t="s">
        <v>257</v>
      </c>
      <c r="D19" s="106">
        <v>108500</v>
      </c>
      <c r="E19" s="107"/>
      <c r="F19" s="108" t="s">
        <v>21</v>
      </c>
      <c r="G19" s="109"/>
    </row>
    <row r="20" spans="1:7" ht="22.5" customHeight="1">
      <c r="A20" s="104">
        <v>45902</v>
      </c>
      <c r="B20" s="105" t="s">
        <v>258</v>
      </c>
      <c r="C20" s="6" t="s">
        <v>259</v>
      </c>
      <c r="D20" s="106">
        <v>154500</v>
      </c>
      <c r="E20" s="107"/>
      <c r="F20" s="108" t="s">
        <v>10</v>
      </c>
      <c r="G20" s="109"/>
    </row>
    <row r="21" spans="1:7" ht="22.5" customHeight="1">
      <c r="A21" s="104">
        <v>45902</v>
      </c>
      <c r="B21" s="105" t="s">
        <v>142</v>
      </c>
      <c r="C21" s="6" t="s">
        <v>260</v>
      </c>
      <c r="D21" s="106">
        <v>131500</v>
      </c>
      <c r="E21" s="107"/>
      <c r="F21" s="108" t="s">
        <v>7</v>
      </c>
      <c r="G21" s="109"/>
    </row>
    <row r="22" spans="1:7" ht="22.5" customHeight="1">
      <c r="A22" s="104">
        <v>45902</v>
      </c>
      <c r="B22" s="105" t="s">
        <v>243</v>
      </c>
      <c r="C22" s="6" t="s">
        <v>261</v>
      </c>
      <c r="D22" s="106">
        <v>31500</v>
      </c>
      <c r="E22" s="107"/>
      <c r="F22" s="108" t="s">
        <v>7</v>
      </c>
      <c r="G22" s="109"/>
    </row>
    <row r="23" spans="1:7" ht="22.5" customHeight="1">
      <c r="A23" s="104">
        <v>45903</v>
      </c>
      <c r="B23" s="112" t="s">
        <v>124</v>
      </c>
      <c r="C23" s="6" t="s">
        <v>262</v>
      </c>
      <c r="D23" s="106">
        <v>104000</v>
      </c>
      <c r="E23" s="107"/>
      <c r="F23" s="108" t="s">
        <v>7</v>
      </c>
      <c r="G23" s="109"/>
    </row>
    <row r="24" spans="1:7" ht="22.5" customHeight="1">
      <c r="A24" s="104">
        <v>45903</v>
      </c>
      <c r="B24" s="110" t="s">
        <v>78</v>
      </c>
      <c r="C24" s="6" t="s">
        <v>263</v>
      </c>
      <c r="D24" s="106">
        <v>126000</v>
      </c>
      <c r="E24" s="107"/>
      <c r="F24" s="108" t="s">
        <v>10</v>
      </c>
      <c r="G24" s="109"/>
    </row>
    <row r="25" spans="1:7" ht="22.5" customHeight="1">
      <c r="A25" s="104">
        <v>45903</v>
      </c>
      <c r="B25" s="112" t="s">
        <v>264</v>
      </c>
      <c r="C25" s="6" t="s">
        <v>265</v>
      </c>
      <c r="D25" s="106">
        <v>74600</v>
      </c>
      <c r="E25" s="107"/>
      <c r="F25" s="108" t="s">
        <v>7</v>
      </c>
      <c r="G25" s="109"/>
    </row>
    <row r="26" spans="1:7" ht="22.5" customHeight="1">
      <c r="A26" s="104">
        <v>45903</v>
      </c>
      <c r="B26" s="105" t="s">
        <v>266</v>
      </c>
      <c r="C26" s="6" t="s">
        <v>267</v>
      </c>
      <c r="D26" s="106">
        <v>100000</v>
      </c>
      <c r="E26" s="107"/>
      <c r="F26" s="108" t="s">
        <v>10</v>
      </c>
      <c r="G26" s="109"/>
    </row>
    <row r="27" spans="1:7" ht="22.5" customHeight="1">
      <c r="A27" s="104">
        <v>45903</v>
      </c>
      <c r="B27" s="112" t="s">
        <v>268</v>
      </c>
      <c r="C27" s="6" t="s">
        <v>269</v>
      </c>
      <c r="D27" s="106">
        <v>105000</v>
      </c>
      <c r="E27" s="107"/>
      <c r="F27" s="108" t="s">
        <v>7</v>
      </c>
      <c r="G27" s="109"/>
    </row>
    <row r="28" spans="1:7" ht="22.5" customHeight="1">
      <c r="A28" s="104">
        <v>45903</v>
      </c>
      <c r="B28" s="110" t="s">
        <v>130</v>
      </c>
      <c r="C28" s="6" t="s">
        <v>270</v>
      </c>
      <c r="D28" s="106">
        <v>119100</v>
      </c>
      <c r="E28" s="107"/>
      <c r="F28" s="108" t="s">
        <v>10</v>
      </c>
      <c r="G28" s="109"/>
    </row>
    <row r="29" spans="1:7" ht="23.25" customHeight="1">
      <c r="A29" s="104">
        <v>45903</v>
      </c>
      <c r="B29" s="105" t="s">
        <v>271</v>
      </c>
      <c r="C29" s="6" t="s">
        <v>272</v>
      </c>
      <c r="D29" s="106">
        <v>102900</v>
      </c>
      <c r="E29" s="107"/>
      <c r="F29" s="108" t="s">
        <v>10</v>
      </c>
      <c r="G29" s="109"/>
    </row>
    <row r="30" spans="1:7" ht="22.5" customHeight="1">
      <c r="A30" s="104">
        <v>45904</v>
      </c>
      <c r="B30" s="112" t="s">
        <v>273</v>
      </c>
      <c r="C30" s="6" t="s">
        <v>274</v>
      </c>
      <c r="D30" s="106">
        <v>94500</v>
      </c>
      <c r="E30" s="107"/>
      <c r="F30" s="108" t="s">
        <v>7</v>
      </c>
      <c r="G30" s="109"/>
    </row>
    <row r="31" spans="1:7" ht="22.5" customHeight="1">
      <c r="A31" s="104">
        <v>45904</v>
      </c>
      <c r="B31" s="112" t="s">
        <v>275</v>
      </c>
      <c r="C31" s="6" t="s">
        <v>276</v>
      </c>
      <c r="D31" s="106">
        <v>95300</v>
      </c>
      <c r="E31" s="107"/>
      <c r="F31" s="108" t="s">
        <v>7</v>
      </c>
      <c r="G31" s="109"/>
    </row>
    <row r="32" spans="1:7" ht="22.5" customHeight="1">
      <c r="A32" s="104">
        <v>45904</v>
      </c>
      <c r="B32" s="112" t="s">
        <v>277</v>
      </c>
      <c r="C32" s="6" t="s">
        <v>278</v>
      </c>
      <c r="D32" s="106">
        <v>98550</v>
      </c>
      <c r="E32" s="107"/>
      <c r="F32" s="108" t="s">
        <v>7</v>
      </c>
      <c r="G32" s="109"/>
    </row>
    <row r="33" spans="1:7" ht="20.25" customHeight="1">
      <c r="A33" s="104">
        <v>45904</v>
      </c>
      <c r="B33" s="105" t="s">
        <v>279</v>
      </c>
      <c r="C33" s="6" t="s">
        <v>280</v>
      </c>
      <c r="D33" s="106">
        <v>96600</v>
      </c>
      <c r="E33" s="107"/>
      <c r="F33" s="108" t="s">
        <v>7</v>
      </c>
      <c r="G33" s="109"/>
    </row>
    <row r="34" spans="1:7" ht="22.5" customHeight="1">
      <c r="A34" s="104">
        <v>45904</v>
      </c>
      <c r="B34" s="112" t="s">
        <v>281</v>
      </c>
      <c r="C34" s="6" t="s">
        <v>282</v>
      </c>
      <c r="D34" s="106">
        <v>99000</v>
      </c>
      <c r="E34" s="107"/>
      <c r="F34" s="108" t="s">
        <v>10</v>
      </c>
      <c r="G34" s="109"/>
    </row>
    <row r="35" spans="1:7" ht="22.5" customHeight="1">
      <c r="A35" s="104">
        <v>45904</v>
      </c>
      <c r="B35" s="105" t="s">
        <v>283</v>
      </c>
      <c r="C35" s="6" t="s">
        <v>284</v>
      </c>
      <c r="D35" s="106">
        <v>117900</v>
      </c>
      <c r="E35" s="107"/>
      <c r="F35" s="108" t="s">
        <v>10</v>
      </c>
      <c r="G35" s="109"/>
    </row>
    <row r="36" spans="1:7" ht="22.5" customHeight="1">
      <c r="A36" s="104">
        <v>45904</v>
      </c>
      <c r="B36" s="105" t="s">
        <v>285</v>
      </c>
      <c r="C36" s="6" t="s">
        <v>286</v>
      </c>
      <c r="D36" s="106">
        <v>104500</v>
      </c>
      <c r="E36" s="107"/>
      <c r="F36" s="108" t="s">
        <v>7</v>
      </c>
      <c r="G36" s="109"/>
    </row>
    <row r="37" spans="1:7" ht="22.5" customHeight="1">
      <c r="A37" s="104">
        <v>45904</v>
      </c>
      <c r="B37" s="112" t="s">
        <v>91</v>
      </c>
      <c r="C37" s="6" t="s">
        <v>287</v>
      </c>
      <c r="D37" s="106">
        <v>115000</v>
      </c>
      <c r="E37" s="107"/>
      <c r="F37" s="108" t="s">
        <v>10</v>
      </c>
      <c r="G37" s="109"/>
    </row>
    <row r="38" spans="1:7" ht="22.5" customHeight="1">
      <c r="A38" s="104">
        <v>45904</v>
      </c>
      <c r="B38" s="105" t="s">
        <v>288</v>
      </c>
      <c r="C38" s="6" t="s">
        <v>289</v>
      </c>
      <c r="D38" s="106">
        <v>139500</v>
      </c>
      <c r="E38" s="107"/>
      <c r="F38" s="111" t="s">
        <v>16</v>
      </c>
      <c r="G38" s="114"/>
    </row>
    <row r="39" spans="1:7" ht="22.5" customHeight="1">
      <c r="A39" s="104">
        <v>45904</v>
      </c>
      <c r="B39" s="105" t="s">
        <v>290</v>
      </c>
      <c r="C39" s="6" t="s">
        <v>291</v>
      </c>
      <c r="D39" s="106">
        <v>236100</v>
      </c>
      <c r="E39" s="107"/>
      <c r="F39" s="108" t="s">
        <v>10</v>
      </c>
      <c r="G39" s="109"/>
    </row>
    <row r="40" spans="1:7" ht="22.5" customHeight="1">
      <c r="A40" s="104">
        <v>45904</v>
      </c>
      <c r="B40" s="105" t="s">
        <v>14</v>
      </c>
      <c r="C40" s="6" t="s">
        <v>292</v>
      </c>
      <c r="D40" s="106">
        <v>103500</v>
      </c>
      <c r="E40" s="107"/>
      <c r="F40" s="108" t="s">
        <v>10</v>
      </c>
      <c r="G40" s="109"/>
    </row>
    <row r="41" spans="1:7" ht="22.5" customHeight="1">
      <c r="A41" s="104">
        <v>45905</v>
      </c>
      <c r="B41" s="105" t="s">
        <v>293</v>
      </c>
      <c r="C41" s="6" t="s">
        <v>294</v>
      </c>
      <c r="D41" s="106">
        <v>126000</v>
      </c>
      <c r="E41" s="107"/>
      <c r="F41" s="108" t="s">
        <v>10</v>
      </c>
      <c r="G41" s="109"/>
    </row>
    <row r="42" spans="1:7" ht="22.5" customHeight="1">
      <c r="A42" s="104">
        <v>45905</v>
      </c>
      <c r="B42" s="112" t="s">
        <v>295</v>
      </c>
      <c r="C42" s="6" t="s">
        <v>296</v>
      </c>
      <c r="D42" s="106">
        <v>140200</v>
      </c>
      <c r="E42" s="107"/>
      <c r="F42" s="108" t="s">
        <v>10</v>
      </c>
      <c r="G42" s="109"/>
    </row>
    <row r="43" spans="1:7" ht="24" customHeight="1">
      <c r="A43" s="104">
        <v>45905</v>
      </c>
      <c r="B43" s="105" t="s">
        <v>31</v>
      </c>
      <c r="C43" s="6" t="s">
        <v>297</v>
      </c>
      <c r="D43" s="106">
        <v>182500</v>
      </c>
      <c r="E43" s="107"/>
      <c r="F43" s="108" t="s">
        <v>10</v>
      </c>
      <c r="G43" s="109"/>
    </row>
    <row r="44" spans="1:7" ht="20.25" customHeight="1">
      <c r="A44" s="104">
        <v>45905</v>
      </c>
      <c r="B44" s="105" t="s">
        <v>298</v>
      </c>
      <c r="C44" s="6" t="s">
        <v>299</v>
      </c>
      <c r="D44" s="106">
        <v>71500</v>
      </c>
      <c r="E44" s="107"/>
      <c r="F44" s="108" t="s">
        <v>7</v>
      </c>
      <c r="G44" s="109"/>
    </row>
    <row r="45" spans="1:7" ht="22.5" customHeight="1">
      <c r="A45" s="104">
        <v>45905</v>
      </c>
      <c r="B45" s="112" t="s">
        <v>300</v>
      </c>
      <c r="C45" s="6" t="s">
        <v>301</v>
      </c>
      <c r="D45" s="106">
        <v>83000</v>
      </c>
      <c r="E45" s="107"/>
      <c r="F45" s="108" t="s">
        <v>7</v>
      </c>
      <c r="G45" s="109"/>
    </row>
    <row r="46" spans="1:7" ht="22.5" customHeight="1">
      <c r="A46" s="104">
        <v>45905</v>
      </c>
      <c r="B46" s="112" t="s">
        <v>302</v>
      </c>
      <c r="C46" s="6" t="s">
        <v>303</v>
      </c>
      <c r="D46" s="106">
        <v>112590</v>
      </c>
      <c r="E46" s="107"/>
      <c r="F46" s="108" t="s">
        <v>7</v>
      </c>
      <c r="G46" s="109"/>
    </row>
    <row r="47" spans="1:7" ht="20.25" customHeight="1">
      <c r="A47" s="104">
        <v>45905</v>
      </c>
      <c r="B47" s="105" t="s">
        <v>304</v>
      </c>
      <c r="C47" s="6" t="s">
        <v>305</v>
      </c>
      <c r="D47" s="106">
        <v>144600</v>
      </c>
      <c r="E47" s="107"/>
      <c r="F47" s="108" t="s">
        <v>7</v>
      </c>
      <c r="G47" s="109"/>
    </row>
    <row r="48" spans="1:7" ht="22.5" customHeight="1">
      <c r="A48" s="104">
        <v>45905</v>
      </c>
      <c r="B48" s="115" t="s">
        <v>306</v>
      </c>
      <c r="C48" s="6" t="s">
        <v>307</v>
      </c>
      <c r="D48" s="106">
        <v>76100</v>
      </c>
      <c r="E48" s="107"/>
      <c r="F48" s="111" t="s">
        <v>16</v>
      </c>
      <c r="G48" s="114"/>
    </row>
    <row r="49" spans="1:7" ht="22.5" customHeight="1">
      <c r="A49" s="104">
        <v>45905</v>
      </c>
      <c r="B49" s="105" t="s">
        <v>25</v>
      </c>
      <c r="C49" s="6" t="s">
        <v>308</v>
      </c>
      <c r="D49" s="106">
        <v>769400</v>
      </c>
      <c r="E49" s="107"/>
      <c r="F49" s="108" t="s">
        <v>10</v>
      </c>
      <c r="G49" s="109"/>
    </row>
    <row r="50" spans="1:7" ht="22.5" customHeight="1">
      <c r="A50" s="104">
        <v>45906</v>
      </c>
      <c r="B50" s="112" t="s">
        <v>309</v>
      </c>
      <c r="C50" s="6" t="s">
        <v>310</v>
      </c>
      <c r="D50" s="106">
        <v>110000</v>
      </c>
      <c r="E50" s="107"/>
      <c r="F50" s="108" t="s">
        <v>10</v>
      </c>
      <c r="G50" s="109"/>
    </row>
    <row r="51" spans="1:7" ht="22.5" customHeight="1">
      <c r="A51" s="104">
        <v>45906</v>
      </c>
      <c r="B51" s="112" t="s">
        <v>311</v>
      </c>
      <c r="C51" s="6" t="s">
        <v>312</v>
      </c>
      <c r="D51" s="106">
        <v>55700</v>
      </c>
      <c r="E51" s="107"/>
      <c r="F51" s="108" t="s">
        <v>10</v>
      </c>
      <c r="G51" s="109"/>
    </row>
    <row r="52" spans="1:7" ht="22.5" customHeight="1">
      <c r="A52" s="104">
        <v>45906</v>
      </c>
      <c r="B52" s="112" t="s">
        <v>313</v>
      </c>
      <c r="C52" s="6" t="s">
        <v>314</v>
      </c>
      <c r="D52" s="106">
        <v>122850</v>
      </c>
      <c r="E52" s="107"/>
      <c r="F52" s="108" t="s">
        <v>10</v>
      </c>
      <c r="G52" s="109"/>
    </row>
    <row r="53" spans="1:7" ht="21.75" customHeight="1">
      <c r="A53" s="104">
        <v>45906</v>
      </c>
      <c r="B53" s="112" t="s">
        <v>8</v>
      </c>
      <c r="C53" s="6" t="s">
        <v>315</v>
      </c>
      <c r="D53" s="106">
        <v>124000</v>
      </c>
      <c r="E53" s="107"/>
      <c r="F53" s="108" t="s">
        <v>10</v>
      </c>
      <c r="G53" s="109"/>
    </row>
    <row r="54" spans="1:7" ht="22.5" customHeight="1">
      <c r="A54" s="104">
        <v>45906</v>
      </c>
      <c r="B54" s="105" t="s">
        <v>316</v>
      </c>
      <c r="C54" s="6" t="s">
        <v>317</v>
      </c>
      <c r="D54" s="106">
        <v>109000</v>
      </c>
      <c r="E54" s="107"/>
      <c r="F54" s="108" t="s">
        <v>7</v>
      </c>
      <c r="G54" s="109"/>
    </row>
    <row r="55" spans="1:7" ht="22.5" customHeight="1">
      <c r="A55" s="104">
        <v>45908</v>
      </c>
      <c r="B55" s="105" t="s">
        <v>163</v>
      </c>
      <c r="C55" s="6" t="s">
        <v>318</v>
      </c>
      <c r="D55" s="106">
        <v>112000</v>
      </c>
      <c r="E55" s="107"/>
      <c r="F55" s="108" t="s">
        <v>10</v>
      </c>
      <c r="G55" s="109"/>
    </row>
    <row r="56" spans="1:7" ht="21" customHeight="1">
      <c r="A56" s="104">
        <v>45908</v>
      </c>
      <c r="B56" s="105" t="s">
        <v>319</v>
      </c>
      <c r="C56" s="6" t="s">
        <v>320</v>
      </c>
      <c r="D56" s="106">
        <v>78000</v>
      </c>
      <c r="E56" s="107"/>
      <c r="F56" s="108" t="s">
        <v>10</v>
      </c>
      <c r="G56" s="109"/>
    </row>
    <row r="57" spans="1:7" ht="22.5" customHeight="1">
      <c r="A57" s="104">
        <v>45908</v>
      </c>
      <c r="B57" s="105" t="s">
        <v>288</v>
      </c>
      <c r="C57" s="6" t="s">
        <v>321</v>
      </c>
      <c r="D57" s="106">
        <v>105500</v>
      </c>
      <c r="E57" s="107"/>
      <c r="F57" s="111" t="s">
        <v>16</v>
      </c>
      <c r="G57" s="114"/>
    </row>
    <row r="58" spans="1:7" ht="22.5" customHeight="1">
      <c r="A58" s="104">
        <v>45908</v>
      </c>
      <c r="B58" s="105" t="s">
        <v>67</v>
      </c>
      <c r="C58" s="6" t="s">
        <v>322</v>
      </c>
      <c r="D58" s="106">
        <v>140648</v>
      </c>
      <c r="E58" s="107"/>
      <c r="F58" s="108" t="s">
        <v>7</v>
      </c>
      <c r="G58" s="109"/>
    </row>
    <row r="59" spans="1:7" ht="22.5" customHeight="1">
      <c r="A59" s="104">
        <v>45908</v>
      </c>
      <c r="B59" s="112" t="s">
        <v>323</v>
      </c>
      <c r="C59" s="6" t="s">
        <v>324</v>
      </c>
      <c r="D59" s="106">
        <v>155000</v>
      </c>
      <c r="E59" s="107"/>
      <c r="F59" s="108" t="s">
        <v>21</v>
      </c>
      <c r="G59" s="109"/>
    </row>
    <row r="60" spans="1:7" ht="22.5" customHeight="1">
      <c r="A60" s="104">
        <v>45908</v>
      </c>
      <c r="B60" s="112" t="s">
        <v>325</v>
      </c>
      <c r="C60" s="6" t="s">
        <v>326</v>
      </c>
      <c r="D60" s="106">
        <v>105000</v>
      </c>
      <c r="E60" s="107"/>
      <c r="F60" s="108" t="s">
        <v>7</v>
      </c>
      <c r="G60" s="109"/>
    </row>
    <row r="61" spans="1:7" ht="22.5" customHeight="1">
      <c r="A61" s="104">
        <v>45908</v>
      </c>
      <c r="B61" s="112" t="s">
        <v>327</v>
      </c>
      <c r="C61" s="6" t="s">
        <v>328</v>
      </c>
      <c r="D61" s="106">
        <v>105000</v>
      </c>
      <c r="E61" s="107"/>
      <c r="F61" s="108" t="s">
        <v>7</v>
      </c>
      <c r="G61" s="109"/>
    </row>
    <row r="62" spans="1:7" ht="22.5" customHeight="1">
      <c r="A62" s="104">
        <v>45908</v>
      </c>
      <c r="B62" s="112" t="s">
        <v>28</v>
      </c>
      <c r="C62" s="6" t="s">
        <v>329</v>
      </c>
      <c r="D62" s="106">
        <v>184495</v>
      </c>
      <c r="E62" s="107"/>
      <c r="F62" s="108" t="s">
        <v>7</v>
      </c>
      <c r="G62" s="109"/>
    </row>
    <row r="63" spans="1:7" ht="22.5" customHeight="1">
      <c r="A63" s="104">
        <v>45908</v>
      </c>
      <c r="B63" s="112" t="s">
        <v>330</v>
      </c>
      <c r="C63" s="6" t="s">
        <v>331</v>
      </c>
      <c r="D63" s="106">
        <v>159840</v>
      </c>
      <c r="E63" s="107"/>
      <c r="F63" s="108" t="s">
        <v>7</v>
      </c>
      <c r="G63" s="109"/>
    </row>
    <row r="64" spans="1:7" ht="26.25" customHeight="1">
      <c r="A64" s="104">
        <v>45909</v>
      </c>
      <c r="B64" s="105" t="s">
        <v>332</v>
      </c>
      <c r="C64" s="6" t="s">
        <v>333</v>
      </c>
      <c r="D64" s="106">
        <v>72000</v>
      </c>
      <c r="E64" s="107"/>
      <c r="F64" s="108" t="s">
        <v>10</v>
      </c>
      <c r="G64" s="109"/>
    </row>
    <row r="65" spans="1:7" ht="21.75" customHeight="1">
      <c r="A65" s="104">
        <v>45909</v>
      </c>
      <c r="B65" s="112" t="s">
        <v>334</v>
      </c>
      <c r="C65" s="6" t="s">
        <v>335</v>
      </c>
      <c r="D65" s="106">
        <v>207895</v>
      </c>
      <c r="E65" s="107"/>
      <c r="F65" s="108" t="s">
        <v>7</v>
      </c>
      <c r="G65" s="109"/>
    </row>
    <row r="66" spans="1:7" ht="19.5" customHeight="1">
      <c r="A66" s="104">
        <v>45909</v>
      </c>
      <c r="B66" s="105" t="s">
        <v>336</v>
      </c>
      <c r="C66" s="6" t="s">
        <v>337</v>
      </c>
      <c r="D66" s="106">
        <v>100080</v>
      </c>
      <c r="E66" s="107"/>
      <c r="F66" s="108" t="s">
        <v>10</v>
      </c>
      <c r="G66" s="109"/>
    </row>
    <row r="67" spans="1:7" ht="20.25" customHeight="1">
      <c r="A67" s="104">
        <v>45909</v>
      </c>
      <c r="B67" s="105" t="s">
        <v>338</v>
      </c>
      <c r="C67" s="6" t="s">
        <v>339</v>
      </c>
      <c r="D67" s="106">
        <v>62500</v>
      </c>
      <c r="E67" s="107"/>
      <c r="F67" s="111" t="s">
        <v>16</v>
      </c>
      <c r="G67" s="114"/>
    </row>
    <row r="68" spans="1:7" ht="22.5" customHeight="1">
      <c r="A68" s="104">
        <v>45909</v>
      </c>
      <c r="B68" s="105" t="s">
        <v>340</v>
      </c>
      <c r="C68" s="6" t="s">
        <v>341</v>
      </c>
      <c r="D68" s="106">
        <v>159600</v>
      </c>
      <c r="E68" s="107"/>
      <c r="F68" s="108" t="s">
        <v>10</v>
      </c>
      <c r="G68" s="109"/>
    </row>
    <row r="69" spans="1:7" ht="27" customHeight="1">
      <c r="A69" s="104">
        <v>45909</v>
      </c>
      <c r="B69" s="105" t="s">
        <v>342</v>
      </c>
      <c r="C69" s="6" t="s">
        <v>343</v>
      </c>
      <c r="D69" s="106">
        <v>150000</v>
      </c>
      <c r="E69" s="107"/>
      <c r="F69" s="111" t="s">
        <v>16</v>
      </c>
      <c r="G69" s="114"/>
    </row>
    <row r="70" spans="1:7" ht="22.5" customHeight="1">
      <c r="A70" s="104">
        <v>45909</v>
      </c>
      <c r="B70" s="105" t="s">
        <v>129</v>
      </c>
      <c r="C70" s="6" t="s">
        <v>344</v>
      </c>
      <c r="D70" s="106">
        <v>256800</v>
      </c>
      <c r="E70" s="107"/>
      <c r="F70" s="108" t="s">
        <v>7</v>
      </c>
      <c r="G70" s="109"/>
    </row>
    <row r="71" spans="1:7" ht="22.5" customHeight="1">
      <c r="A71" s="104">
        <v>45909</v>
      </c>
      <c r="B71" s="105" t="s">
        <v>345</v>
      </c>
      <c r="C71" s="6" t="s">
        <v>346</v>
      </c>
      <c r="D71" s="106">
        <v>211600</v>
      </c>
      <c r="E71" s="107"/>
      <c r="F71" s="108" t="s">
        <v>7</v>
      </c>
      <c r="G71" s="109"/>
    </row>
    <row r="72" spans="1:7" ht="22.5" customHeight="1">
      <c r="A72" s="104">
        <v>45909</v>
      </c>
      <c r="B72" s="112" t="s">
        <v>347</v>
      </c>
      <c r="C72" s="6" t="s">
        <v>348</v>
      </c>
      <c r="D72" s="106">
        <v>83000</v>
      </c>
      <c r="E72" s="107"/>
      <c r="F72" s="108" t="s">
        <v>7</v>
      </c>
      <c r="G72" s="109"/>
    </row>
    <row r="73" spans="1:7" ht="22.5" customHeight="1">
      <c r="A73" s="104">
        <v>45909</v>
      </c>
      <c r="B73" s="112" t="s">
        <v>349</v>
      </c>
      <c r="C73" s="6" t="s">
        <v>350</v>
      </c>
      <c r="D73" s="106">
        <v>94500</v>
      </c>
      <c r="E73" s="107"/>
      <c r="F73" s="108" t="s">
        <v>21</v>
      </c>
      <c r="G73" s="109"/>
    </row>
    <row r="74" spans="1:7" ht="22.5" customHeight="1">
      <c r="A74" s="104">
        <v>45909</v>
      </c>
      <c r="B74" s="105" t="s">
        <v>23</v>
      </c>
      <c r="C74" s="6" t="s">
        <v>351</v>
      </c>
      <c r="D74" s="106">
        <v>62000</v>
      </c>
      <c r="E74" s="107"/>
      <c r="F74" s="108" t="s">
        <v>7</v>
      </c>
      <c r="G74" s="109"/>
    </row>
    <row r="75" spans="1:7" ht="23.25" customHeight="1">
      <c r="A75" s="104">
        <v>45910</v>
      </c>
      <c r="B75" s="112" t="s">
        <v>352</v>
      </c>
      <c r="C75" s="6" t="s">
        <v>353</v>
      </c>
      <c r="D75" s="106">
        <v>230500</v>
      </c>
      <c r="E75" s="107"/>
      <c r="F75" s="108" t="s">
        <v>10</v>
      </c>
      <c r="G75" s="109"/>
    </row>
    <row r="76" spans="1:7" ht="22.5" customHeight="1">
      <c r="A76" s="104">
        <v>45910</v>
      </c>
      <c r="B76" s="112" t="s">
        <v>354</v>
      </c>
      <c r="C76" s="6" t="s">
        <v>355</v>
      </c>
      <c r="D76" s="106">
        <v>116550</v>
      </c>
      <c r="E76" s="107"/>
      <c r="F76" s="108" t="s">
        <v>7</v>
      </c>
      <c r="G76" s="109"/>
    </row>
    <row r="77" spans="1:7" ht="22.5" customHeight="1">
      <c r="A77" s="104">
        <v>45910</v>
      </c>
      <c r="B77" s="112" t="s">
        <v>356</v>
      </c>
      <c r="C77" s="6" t="s">
        <v>357</v>
      </c>
      <c r="D77" s="106">
        <v>149392</v>
      </c>
      <c r="E77" s="107"/>
      <c r="F77" s="111" t="s">
        <v>358</v>
      </c>
      <c r="G77" s="114"/>
    </row>
    <row r="78" spans="1:7" ht="20.25" customHeight="1">
      <c r="A78" s="104">
        <v>45910</v>
      </c>
      <c r="B78" s="105" t="s">
        <v>359</v>
      </c>
      <c r="C78" s="6" t="s">
        <v>360</v>
      </c>
      <c r="D78" s="106">
        <v>82000</v>
      </c>
      <c r="E78" s="107"/>
      <c r="F78" s="111" t="s">
        <v>16</v>
      </c>
      <c r="G78" s="114"/>
    </row>
    <row r="79" spans="1:7" ht="23.25" customHeight="1">
      <c r="A79" s="104">
        <v>45910</v>
      </c>
      <c r="B79" s="112" t="s">
        <v>361</v>
      </c>
      <c r="C79" s="6" t="s">
        <v>362</v>
      </c>
      <c r="D79" s="106">
        <v>113400</v>
      </c>
      <c r="E79" s="107"/>
      <c r="F79" s="111" t="s">
        <v>16</v>
      </c>
      <c r="G79" s="114"/>
    </row>
    <row r="80" spans="1:7" ht="22.5" customHeight="1">
      <c r="A80" s="104">
        <v>45910</v>
      </c>
      <c r="B80" s="112" t="s">
        <v>40</v>
      </c>
      <c r="C80" s="6" t="s">
        <v>363</v>
      </c>
      <c r="D80" s="106">
        <v>94500</v>
      </c>
      <c r="E80" s="107"/>
      <c r="F80" s="108" t="s">
        <v>7</v>
      </c>
      <c r="G80" s="109"/>
    </row>
    <row r="81" spans="1:7" ht="22.5" customHeight="1">
      <c r="A81" s="104">
        <v>45910</v>
      </c>
      <c r="B81" s="112" t="s">
        <v>364</v>
      </c>
      <c r="C81" s="6" t="s">
        <v>365</v>
      </c>
      <c r="D81" s="106">
        <v>98280</v>
      </c>
      <c r="E81" s="107"/>
      <c r="F81" s="108" t="s">
        <v>7</v>
      </c>
      <c r="G81" s="109"/>
    </row>
    <row r="82" spans="1:7" ht="22.5" customHeight="1">
      <c r="A82" s="104">
        <v>45910</v>
      </c>
      <c r="B82" s="112" t="s">
        <v>114</v>
      </c>
      <c r="C82" s="6" t="s">
        <v>366</v>
      </c>
      <c r="D82" s="106">
        <v>98500</v>
      </c>
      <c r="E82" s="107"/>
      <c r="F82" s="108" t="s">
        <v>10</v>
      </c>
      <c r="G82" s="109"/>
    </row>
    <row r="83" spans="1:7" ht="22.5" customHeight="1">
      <c r="A83" s="104">
        <v>45910</v>
      </c>
      <c r="B83" s="10" t="s">
        <v>103</v>
      </c>
      <c r="C83" s="14" t="s">
        <v>367</v>
      </c>
      <c r="D83" s="116">
        <v>90000</v>
      </c>
      <c r="E83" s="117"/>
      <c r="F83" s="118" t="s">
        <v>368</v>
      </c>
      <c r="G83" s="119"/>
    </row>
    <row r="84" spans="1:7" ht="22.5" customHeight="1">
      <c r="A84" s="104">
        <v>45911</v>
      </c>
      <c r="B84" s="112" t="s">
        <v>369</v>
      </c>
      <c r="C84" s="6" t="s">
        <v>370</v>
      </c>
      <c r="D84" s="106">
        <v>228600</v>
      </c>
      <c r="E84" s="107"/>
      <c r="F84" s="108" t="s">
        <v>10</v>
      </c>
      <c r="G84" s="109" t="s">
        <v>371</v>
      </c>
    </row>
    <row r="85" spans="1:7" ht="25.5" customHeight="1">
      <c r="A85" s="104">
        <v>45911</v>
      </c>
      <c r="B85" s="105" t="s">
        <v>12</v>
      </c>
      <c r="C85" s="6" t="s">
        <v>372</v>
      </c>
      <c r="D85" s="106">
        <v>223900</v>
      </c>
      <c r="E85" s="107"/>
      <c r="F85" s="108" t="s">
        <v>10</v>
      </c>
      <c r="G85" s="109" t="s">
        <v>371</v>
      </c>
    </row>
    <row r="86" spans="1:7" ht="22.5" customHeight="1">
      <c r="A86" s="104">
        <v>45911</v>
      </c>
      <c r="B86" s="112" t="s">
        <v>55</v>
      </c>
      <c r="C86" s="6" t="s">
        <v>373</v>
      </c>
      <c r="D86" s="106">
        <v>111000</v>
      </c>
      <c r="E86" s="107"/>
      <c r="F86" s="108" t="s">
        <v>7</v>
      </c>
      <c r="G86" s="109" t="s">
        <v>371</v>
      </c>
    </row>
    <row r="87" spans="1:7" ht="22.5" customHeight="1">
      <c r="A87" s="104">
        <v>45911</v>
      </c>
      <c r="B87" s="112" t="s">
        <v>374</v>
      </c>
      <c r="C87" s="6" t="s">
        <v>375</v>
      </c>
      <c r="D87" s="106">
        <v>113940</v>
      </c>
      <c r="E87" s="107"/>
      <c r="F87" s="108" t="s">
        <v>7</v>
      </c>
      <c r="G87" s="109" t="s">
        <v>371</v>
      </c>
    </row>
    <row r="88" spans="1:7" ht="22.5" customHeight="1">
      <c r="A88" s="104">
        <v>45911</v>
      </c>
      <c r="B88" s="112" t="s">
        <v>376</v>
      </c>
      <c r="C88" s="6" t="s">
        <v>377</v>
      </c>
      <c r="D88" s="106">
        <v>72500</v>
      </c>
      <c r="E88" s="107"/>
      <c r="F88" s="108" t="s">
        <v>10</v>
      </c>
      <c r="G88" s="109" t="s">
        <v>371</v>
      </c>
    </row>
    <row r="89" spans="1:7" ht="22.5" customHeight="1">
      <c r="A89" s="104">
        <v>45911</v>
      </c>
      <c r="B89" s="105" t="s">
        <v>378</v>
      </c>
      <c r="C89" s="6" t="s">
        <v>379</v>
      </c>
      <c r="D89" s="106">
        <v>87000</v>
      </c>
      <c r="E89" s="107"/>
      <c r="F89" s="111" t="s">
        <v>16</v>
      </c>
      <c r="G89" s="114" t="s">
        <v>371</v>
      </c>
    </row>
    <row r="90" spans="1:7" ht="22.5" customHeight="1">
      <c r="A90" s="104">
        <v>45911</v>
      </c>
      <c r="B90" s="112" t="s">
        <v>70</v>
      </c>
      <c r="C90" s="6" t="s">
        <v>380</v>
      </c>
      <c r="D90" s="106">
        <v>148100</v>
      </c>
      <c r="E90" s="107"/>
      <c r="F90" s="108" t="s">
        <v>7</v>
      </c>
      <c r="G90" s="109" t="s">
        <v>371</v>
      </c>
    </row>
    <row r="91" spans="1:7" ht="22.5" customHeight="1">
      <c r="A91" s="104">
        <v>45911</v>
      </c>
      <c r="B91" s="112" t="s">
        <v>381</v>
      </c>
      <c r="C91" s="6" t="s">
        <v>382</v>
      </c>
      <c r="D91" s="106">
        <v>98100</v>
      </c>
      <c r="E91" s="107"/>
      <c r="F91" s="108" t="s">
        <v>21</v>
      </c>
      <c r="G91" s="109" t="s">
        <v>371</v>
      </c>
    </row>
    <row r="92" spans="1:7" ht="27.75" customHeight="1">
      <c r="A92" s="104">
        <v>45911</v>
      </c>
      <c r="B92" s="105" t="s">
        <v>383</v>
      </c>
      <c r="C92" s="6" t="s">
        <v>384</v>
      </c>
      <c r="D92" s="106">
        <v>157000</v>
      </c>
      <c r="E92" s="107"/>
      <c r="F92" s="108" t="s">
        <v>10</v>
      </c>
      <c r="G92" s="109" t="s">
        <v>371</v>
      </c>
    </row>
    <row r="93" spans="1:7" ht="26.25" customHeight="1">
      <c r="A93" s="104">
        <v>45911</v>
      </c>
      <c r="B93" s="105" t="s">
        <v>385</v>
      </c>
      <c r="C93" s="6" t="s">
        <v>386</v>
      </c>
      <c r="D93" s="106">
        <v>164400</v>
      </c>
      <c r="E93" s="107"/>
      <c r="F93" s="108" t="s">
        <v>10</v>
      </c>
      <c r="G93" s="109" t="s">
        <v>371</v>
      </c>
    </row>
    <row r="94" spans="1:7" ht="22.5" customHeight="1">
      <c r="A94" s="104">
        <v>45911</v>
      </c>
      <c r="B94" s="112" t="s">
        <v>387</v>
      </c>
      <c r="C94" s="6" t="s">
        <v>388</v>
      </c>
      <c r="D94" s="106">
        <v>139500</v>
      </c>
      <c r="E94" s="107"/>
      <c r="F94" s="108" t="s">
        <v>10</v>
      </c>
      <c r="G94" s="109" t="s">
        <v>371</v>
      </c>
    </row>
    <row r="95" spans="1:7" ht="22.5" customHeight="1">
      <c r="A95" s="104">
        <v>45912</v>
      </c>
      <c r="B95" s="112" t="s">
        <v>105</v>
      </c>
      <c r="C95" s="6" t="s">
        <v>389</v>
      </c>
      <c r="D95" s="106">
        <v>225900</v>
      </c>
      <c r="E95" s="107"/>
      <c r="F95" s="108" t="s">
        <v>10</v>
      </c>
      <c r="G95" s="109" t="s">
        <v>371</v>
      </c>
    </row>
    <row r="96" spans="1:7" ht="22.5" customHeight="1">
      <c r="A96" s="104">
        <v>45912</v>
      </c>
      <c r="B96" s="105" t="s">
        <v>13</v>
      </c>
      <c r="C96" s="6" t="s">
        <v>390</v>
      </c>
      <c r="D96" s="106">
        <v>146200</v>
      </c>
      <c r="E96" s="107"/>
      <c r="F96" s="108" t="s">
        <v>10</v>
      </c>
      <c r="G96" s="109" t="s">
        <v>371</v>
      </c>
    </row>
    <row r="97" spans="1:7" ht="22.5" customHeight="1">
      <c r="A97" s="104">
        <v>45912</v>
      </c>
      <c r="B97" s="105" t="s">
        <v>37</v>
      </c>
      <c r="C97" s="6" t="s">
        <v>391</v>
      </c>
      <c r="D97" s="106">
        <v>135500</v>
      </c>
      <c r="E97" s="107"/>
      <c r="F97" s="108" t="s">
        <v>10</v>
      </c>
      <c r="G97" s="109" t="s">
        <v>371</v>
      </c>
    </row>
    <row r="98" spans="1:7" ht="22.5" customHeight="1">
      <c r="A98" s="104">
        <v>45912</v>
      </c>
      <c r="B98" s="112" t="s">
        <v>56</v>
      </c>
      <c r="C98" s="6" t="s">
        <v>392</v>
      </c>
      <c r="D98" s="106">
        <v>208260</v>
      </c>
      <c r="E98" s="107"/>
      <c r="F98" s="108" t="s">
        <v>7</v>
      </c>
      <c r="G98" s="109" t="s">
        <v>371</v>
      </c>
    </row>
    <row r="99" spans="1:7" ht="22.5" customHeight="1">
      <c r="A99" s="104">
        <v>45912</v>
      </c>
      <c r="B99" s="105" t="s">
        <v>393</v>
      </c>
      <c r="C99" s="6" t="s">
        <v>394</v>
      </c>
      <c r="D99" s="106">
        <v>111100</v>
      </c>
      <c r="E99" s="107"/>
      <c r="F99" s="108" t="s">
        <v>7</v>
      </c>
      <c r="G99" s="109" t="s">
        <v>371</v>
      </c>
    </row>
    <row r="100" spans="1:7" ht="22.5" customHeight="1">
      <c r="A100" s="104">
        <v>45912</v>
      </c>
      <c r="B100" s="105" t="s">
        <v>395</v>
      </c>
      <c r="C100" s="6" t="s">
        <v>396</v>
      </c>
      <c r="D100" s="106">
        <v>88000</v>
      </c>
      <c r="E100" s="107"/>
      <c r="F100" s="108" t="s">
        <v>10</v>
      </c>
      <c r="G100" s="109" t="s">
        <v>371</v>
      </c>
    </row>
    <row r="101" spans="1:7" ht="24" customHeight="1">
      <c r="A101" s="104">
        <v>45913</v>
      </c>
      <c r="B101" s="105" t="s">
        <v>397</v>
      </c>
      <c r="C101" s="6" t="s">
        <v>398</v>
      </c>
      <c r="D101" s="106">
        <v>259600</v>
      </c>
      <c r="E101" s="107"/>
      <c r="F101" s="111" t="s">
        <v>16</v>
      </c>
      <c r="G101" s="114" t="s">
        <v>371</v>
      </c>
    </row>
    <row r="102" spans="1:7" ht="22.5" customHeight="1">
      <c r="A102" s="104">
        <v>45913</v>
      </c>
      <c r="B102" s="112" t="s">
        <v>399</v>
      </c>
      <c r="C102" s="6" t="s">
        <v>400</v>
      </c>
      <c r="D102" s="106">
        <v>128100</v>
      </c>
      <c r="E102" s="107"/>
      <c r="F102" s="108" t="s">
        <v>7</v>
      </c>
      <c r="G102" s="109" t="s">
        <v>371</v>
      </c>
    </row>
    <row r="103" spans="1:7" ht="22.5" customHeight="1">
      <c r="A103" s="104">
        <v>45913</v>
      </c>
      <c r="B103" s="105" t="s">
        <v>401</v>
      </c>
      <c r="C103" s="6" t="s">
        <v>402</v>
      </c>
      <c r="D103" s="106">
        <v>160100</v>
      </c>
      <c r="E103" s="107"/>
      <c r="F103" s="108" t="s">
        <v>7</v>
      </c>
      <c r="G103" s="109" t="s">
        <v>371</v>
      </c>
    </row>
    <row r="104" spans="1:7" ht="22.5" customHeight="1">
      <c r="A104" s="104">
        <v>45913</v>
      </c>
      <c r="B104" s="120" t="s">
        <v>403</v>
      </c>
      <c r="C104" s="6" t="s">
        <v>404</v>
      </c>
      <c r="D104" s="106">
        <v>142000</v>
      </c>
      <c r="E104" s="107"/>
      <c r="F104" s="108" t="s">
        <v>10</v>
      </c>
      <c r="G104" s="109" t="s">
        <v>371</v>
      </c>
    </row>
    <row r="105" spans="1:7" ht="22.5" customHeight="1">
      <c r="A105" s="104">
        <v>45913</v>
      </c>
      <c r="B105" s="112" t="s">
        <v>405</v>
      </c>
      <c r="C105" s="6" t="s">
        <v>406</v>
      </c>
      <c r="D105" s="106">
        <v>120600</v>
      </c>
      <c r="E105" s="107"/>
      <c r="F105" s="108" t="s">
        <v>7</v>
      </c>
      <c r="G105" s="109" t="s">
        <v>371</v>
      </c>
    </row>
    <row r="106" spans="1:7" ht="22.5" customHeight="1">
      <c r="A106" s="104">
        <v>45913</v>
      </c>
      <c r="B106" s="105" t="s">
        <v>407</v>
      </c>
      <c r="C106" s="6" t="s">
        <v>408</v>
      </c>
      <c r="D106" s="106">
        <v>136100</v>
      </c>
      <c r="E106" s="107"/>
      <c r="F106" s="108" t="s">
        <v>7</v>
      </c>
      <c r="G106" s="109" t="s">
        <v>371</v>
      </c>
    </row>
    <row r="107" spans="1:7" ht="22.5" customHeight="1">
      <c r="A107" s="104">
        <v>45913</v>
      </c>
      <c r="B107" s="112" t="s">
        <v>409</v>
      </c>
      <c r="C107" s="6" t="s">
        <v>410</v>
      </c>
      <c r="D107" s="106">
        <v>122100</v>
      </c>
      <c r="E107" s="107"/>
      <c r="F107" s="108" t="s">
        <v>10</v>
      </c>
      <c r="G107" s="109" t="s">
        <v>371</v>
      </c>
    </row>
    <row r="108" spans="1:7" ht="22.5" customHeight="1">
      <c r="A108" s="104">
        <v>45915</v>
      </c>
      <c r="B108" s="105" t="s">
        <v>411</v>
      </c>
      <c r="C108" s="121" t="s">
        <v>412</v>
      </c>
      <c r="D108" s="106">
        <v>104000</v>
      </c>
      <c r="E108" s="107"/>
      <c r="F108" s="108" t="s">
        <v>10</v>
      </c>
      <c r="G108" s="109" t="s">
        <v>371</v>
      </c>
    </row>
    <row r="109" spans="1:7" ht="22.5" customHeight="1">
      <c r="A109" s="104">
        <v>45915</v>
      </c>
      <c r="B109" s="122" t="s">
        <v>413</v>
      </c>
      <c r="C109" s="6" t="s">
        <v>414</v>
      </c>
      <c r="D109" s="106">
        <v>139500</v>
      </c>
      <c r="E109" s="107"/>
      <c r="F109" s="108" t="s">
        <v>10</v>
      </c>
      <c r="G109" s="109" t="s">
        <v>371</v>
      </c>
    </row>
    <row r="110" spans="1:7" ht="24.75" customHeight="1">
      <c r="A110" s="104">
        <v>45915</v>
      </c>
      <c r="B110" s="112" t="s">
        <v>76</v>
      </c>
      <c r="C110" s="6" t="s">
        <v>415</v>
      </c>
      <c r="D110" s="106">
        <v>232000</v>
      </c>
      <c r="E110" s="107"/>
      <c r="F110" s="108" t="s">
        <v>7</v>
      </c>
      <c r="G110" s="109" t="s">
        <v>371</v>
      </c>
    </row>
    <row r="111" spans="1:7" ht="27" customHeight="1">
      <c r="A111" s="104">
        <v>45915</v>
      </c>
      <c r="B111" s="122" t="s">
        <v>342</v>
      </c>
      <c r="C111" s="6" t="s">
        <v>416</v>
      </c>
      <c r="D111" s="106">
        <v>340700</v>
      </c>
      <c r="E111" s="107"/>
      <c r="F111" s="111" t="s">
        <v>16</v>
      </c>
      <c r="G111" s="114" t="s">
        <v>371</v>
      </c>
    </row>
    <row r="112" spans="1:7" ht="22.5" customHeight="1">
      <c r="A112" s="104">
        <v>45915</v>
      </c>
      <c r="B112" s="112" t="s">
        <v>170</v>
      </c>
      <c r="C112" s="6" t="s">
        <v>417</v>
      </c>
      <c r="D112" s="106">
        <v>78800</v>
      </c>
      <c r="E112" s="107"/>
      <c r="F112" s="108" t="s">
        <v>10</v>
      </c>
      <c r="G112" s="109" t="s">
        <v>371</v>
      </c>
    </row>
    <row r="113" spans="1:7" ht="22.5" customHeight="1">
      <c r="A113" s="104">
        <v>45915</v>
      </c>
      <c r="B113" s="122" t="s">
        <v>93</v>
      </c>
      <c r="C113" s="6" t="s">
        <v>418</v>
      </c>
      <c r="D113" s="106">
        <v>115500</v>
      </c>
      <c r="E113" s="107"/>
      <c r="F113" s="108" t="s">
        <v>10</v>
      </c>
      <c r="G113" s="109" t="s">
        <v>371</v>
      </c>
    </row>
    <row r="114" spans="1:7" ht="22.5" customHeight="1">
      <c r="A114" s="104">
        <v>45915</v>
      </c>
      <c r="B114" s="105" t="s">
        <v>419</v>
      </c>
      <c r="C114" s="6" t="s">
        <v>420</v>
      </c>
      <c r="D114" s="106">
        <v>63600</v>
      </c>
      <c r="E114" s="107"/>
      <c r="F114" s="108" t="s">
        <v>10</v>
      </c>
      <c r="G114" s="109" t="s">
        <v>421</v>
      </c>
    </row>
    <row r="115" spans="1:7" ht="22.5" customHeight="1">
      <c r="A115" s="104">
        <v>45915</v>
      </c>
      <c r="B115" s="105" t="s">
        <v>422</v>
      </c>
      <c r="C115" s="6" t="s">
        <v>423</v>
      </c>
      <c r="D115" s="106">
        <v>173500</v>
      </c>
      <c r="E115" s="107"/>
      <c r="F115" s="108" t="s">
        <v>7</v>
      </c>
      <c r="G115" s="109" t="s">
        <v>371</v>
      </c>
    </row>
    <row r="116" spans="1:7" ht="22.5" customHeight="1">
      <c r="A116" s="104">
        <v>45916</v>
      </c>
      <c r="B116" s="112" t="s">
        <v>68</v>
      </c>
      <c r="C116" s="6" t="s">
        <v>424</v>
      </c>
      <c r="D116" s="106">
        <v>94600</v>
      </c>
      <c r="E116" s="107"/>
      <c r="F116" s="108" t="s">
        <v>7</v>
      </c>
      <c r="G116" s="109" t="s">
        <v>371</v>
      </c>
    </row>
    <row r="117" spans="1:7" ht="26.25" customHeight="1">
      <c r="A117" s="104">
        <v>45916</v>
      </c>
      <c r="B117" s="105" t="s">
        <v>99</v>
      </c>
      <c r="C117" s="6" t="s">
        <v>425</v>
      </c>
      <c r="D117" s="106">
        <v>98000</v>
      </c>
      <c r="E117" s="107"/>
      <c r="F117" s="108" t="s">
        <v>10</v>
      </c>
      <c r="G117" s="109" t="s">
        <v>371</v>
      </c>
    </row>
    <row r="118" spans="1:7" ht="21" customHeight="1">
      <c r="A118" s="104">
        <v>45916</v>
      </c>
      <c r="B118" s="105" t="s">
        <v>426</v>
      </c>
      <c r="C118" s="6" t="s">
        <v>427</v>
      </c>
      <c r="D118" s="106">
        <v>67500</v>
      </c>
      <c r="E118" s="107"/>
      <c r="F118" s="108" t="s">
        <v>10</v>
      </c>
      <c r="G118" s="109" t="s">
        <v>371</v>
      </c>
    </row>
    <row r="119" spans="1:7" ht="22.5" customHeight="1">
      <c r="A119" s="104">
        <v>45916</v>
      </c>
      <c r="B119" s="105" t="s">
        <v>428</v>
      </c>
      <c r="C119" s="6" t="s">
        <v>429</v>
      </c>
      <c r="D119" s="106">
        <v>54500</v>
      </c>
      <c r="E119" s="107"/>
      <c r="F119" s="111" t="s">
        <v>16</v>
      </c>
      <c r="G119" s="114" t="s">
        <v>371</v>
      </c>
    </row>
    <row r="120" spans="1:7" ht="22.5" customHeight="1">
      <c r="A120" s="104">
        <v>45916</v>
      </c>
      <c r="B120" s="112" t="s">
        <v>430</v>
      </c>
      <c r="C120" s="6" t="s">
        <v>431</v>
      </c>
      <c r="D120" s="106">
        <v>109440</v>
      </c>
      <c r="E120" s="107"/>
      <c r="F120" s="108" t="s">
        <v>7</v>
      </c>
      <c r="G120" s="109" t="s">
        <v>371</v>
      </c>
    </row>
    <row r="121" spans="1:7" ht="22.5" customHeight="1">
      <c r="A121" s="104">
        <v>45916</v>
      </c>
      <c r="B121" s="112" t="s">
        <v>432</v>
      </c>
      <c r="C121" s="6" t="s">
        <v>433</v>
      </c>
      <c r="D121" s="106">
        <v>106500</v>
      </c>
      <c r="E121" s="107"/>
      <c r="F121" s="108" t="s">
        <v>10</v>
      </c>
      <c r="G121" s="109" t="s">
        <v>371</v>
      </c>
    </row>
    <row r="122" spans="1:7" ht="24" customHeight="1">
      <c r="A122" s="104">
        <v>45916</v>
      </c>
      <c r="B122" s="105" t="s">
        <v>14</v>
      </c>
      <c r="C122" s="6" t="s">
        <v>434</v>
      </c>
      <c r="D122" s="106">
        <v>119000</v>
      </c>
      <c r="E122" s="107"/>
      <c r="F122" s="108" t="s">
        <v>10</v>
      </c>
      <c r="G122" s="109" t="s">
        <v>371</v>
      </c>
    </row>
    <row r="123" spans="1:7" ht="22.5" customHeight="1">
      <c r="A123" s="104">
        <v>45916</v>
      </c>
      <c r="B123" s="105" t="s">
        <v>435</v>
      </c>
      <c r="C123" s="6" t="s">
        <v>436</v>
      </c>
      <c r="D123" s="106">
        <v>44600</v>
      </c>
      <c r="E123" s="107"/>
      <c r="F123" s="108" t="s">
        <v>10</v>
      </c>
      <c r="G123" s="109" t="s">
        <v>421</v>
      </c>
    </row>
    <row r="124" spans="1:7" ht="22.5" customHeight="1">
      <c r="A124" s="104">
        <v>45916</v>
      </c>
      <c r="B124" s="105" t="s">
        <v>437</v>
      </c>
      <c r="C124" s="6" t="s">
        <v>438</v>
      </c>
      <c r="D124" s="106">
        <v>110200</v>
      </c>
      <c r="E124" s="107"/>
      <c r="F124" s="108" t="s">
        <v>10</v>
      </c>
      <c r="G124" s="109" t="s">
        <v>421</v>
      </c>
    </row>
    <row r="125" spans="1:7" ht="22.5" customHeight="1">
      <c r="A125" s="104">
        <v>45916</v>
      </c>
      <c r="B125" s="112" t="s">
        <v>120</v>
      </c>
      <c r="C125" s="6" t="s">
        <v>439</v>
      </c>
      <c r="D125" s="106">
        <v>119500</v>
      </c>
      <c r="E125" s="107"/>
      <c r="F125" s="108" t="s">
        <v>7</v>
      </c>
      <c r="G125" s="109" t="s">
        <v>371</v>
      </c>
    </row>
    <row r="126" spans="1:7" ht="26.25" customHeight="1">
      <c r="A126" s="104">
        <v>45917</v>
      </c>
      <c r="B126" s="112" t="s">
        <v>440</v>
      </c>
      <c r="C126" s="6" t="s">
        <v>441</v>
      </c>
      <c r="D126" s="106">
        <v>135000</v>
      </c>
      <c r="E126" s="107"/>
      <c r="F126" s="108" t="s">
        <v>10</v>
      </c>
      <c r="G126" s="109" t="s">
        <v>371</v>
      </c>
    </row>
    <row r="127" spans="1:7" ht="22.5" customHeight="1">
      <c r="A127" s="104">
        <v>45917</v>
      </c>
      <c r="B127" s="105" t="s">
        <v>442</v>
      </c>
      <c r="C127" s="6" t="s">
        <v>443</v>
      </c>
      <c r="D127" s="106">
        <v>155000</v>
      </c>
      <c r="E127" s="107"/>
      <c r="F127" s="108" t="s">
        <v>21</v>
      </c>
      <c r="G127" s="109" t="s">
        <v>371</v>
      </c>
    </row>
    <row r="128" spans="1:7" ht="23.25" customHeight="1">
      <c r="A128" s="104">
        <v>45917</v>
      </c>
      <c r="B128" s="105" t="s">
        <v>444</v>
      </c>
      <c r="C128" s="6" t="s">
        <v>445</v>
      </c>
      <c r="D128" s="106">
        <v>131500</v>
      </c>
      <c r="E128" s="107"/>
      <c r="F128" s="108" t="s">
        <v>10</v>
      </c>
      <c r="G128" s="109" t="s">
        <v>421</v>
      </c>
    </row>
    <row r="129" spans="1:7" ht="22.5" customHeight="1">
      <c r="A129" s="104">
        <v>45917</v>
      </c>
      <c r="B129" s="105" t="s">
        <v>23</v>
      </c>
      <c r="C129" s="6" t="s">
        <v>446</v>
      </c>
      <c r="D129" s="106">
        <v>62000</v>
      </c>
      <c r="E129" s="107"/>
      <c r="F129" s="108" t="s">
        <v>7</v>
      </c>
      <c r="G129" s="109" t="s">
        <v>371</v>
      </c>
    </row>
    <row r="130" spans="1:7" ht="22.5" customHeight="1">
      <c r="A130" s="104">
        <v>45917</v>
      </c>
      <c r="B130" s="105" t="s">
        <v>144</v>
      </c>
      <c r="C130" s="6" t="s">
        <v>447</v>
      </c>
      <c r="D130" s="106">
        <v>82500</v>
      </c>
      <c r="E130" s="107"/>
      <c r="F130" s="108" t="s">
        <v>7</v>
      </c>
      <c r="G130" s="109" t="s">
        <v>371</v>
      </c>
    </row>
    <row r="131" spans="1:7" ht="22.5" customHeight="1">
      <c r="A131" s="104">
        <v>45917</v>
      </c>
      <c r="B131" s="112" t="s">
        <v>241</v>
      </c>
      <c r="C131" s="6" t="s">
        <v>448</v>
      </c>
      <c r="D131" s="106">
        <v>126000</v>
      </c>
      <c r="E131" s="107"/>
      <c r="F131" s="108" t="s">
        <v>7</v>
      </c>
      <c r="G131" s="109" t="s">
        <v>371</v>
      </c>
    </row>
    <row r="132" spans="1:7" ht="22.5" customHeight="1">
      <c r="A132" s="104">
        <v>45917</v>
      </c>
      <c r="B132" s="112" t="s">
        <v>33</v>
      </c>
      <c r="C132" s="6" t="s">
        <v>449</v>
      </c>
      <c r="D132" s="106">
        <v>281500</v>
      </c>
      <c r="E132" s="107"/>
      <c r="F132" s="108" t="s">
        <v>7</v>
      </c>
      <c r="G132" s="109" t="s">
        <v>371</v>
      </c>
    </row>
    <row r="133" spans="1:7" ht="26.25" customHeight="1">
      <c r="A133" s="104">
        <v>45917</v>
      </c>
      <c r="B133" s="112" t="s">
        <v>450</v>
      </c>
      <c r="C133" s="6" t="s">
        <v>451</v>
      </c>
      <c r="D133" s="106">
        <v>255500</v>
      </c>
      <c r="E133" s="107"/>
      <c r="F133" s="108" t="s">
        <v>10</v>
      </c>
      <c r="G133" s="109" t="s">
        <v>371</v>
      </c>
    </row>
    <row r="134" spans="1:7" ht="21.75" customHeight="1">
      <c r="A134" s="104">
        <v>45917</v>
      </c>
      <c r="B134" s="105" t="s">
        <v>452</v>
      </c>
      <c r="C134" s="6" t="s">
        <v>453</v>
      </c>
      <c r="D134" s="106">
        <v>84000</v>
      </c>
      <c r="E134" s="107"/>
      <c r="F134" s="108" t="s">
        <v>10</v>
      </c>
      <c r="G134" s="109" t="s">
        <v>421</v>
      </c>
    </row>
    <row r="135" spans="1:7" ht="22.5" customHeight="1">
      <c r="A135" s="104">
        <v>45917</v>
      </c>
      <c r="B135" s="123" t="s">
        <v>454</v>
      </c>
      <c r="C135" s="6" t="s">
        <v>455</v>
      </c>
      <c r="D135" s="106">
        <v>150600</v>
      </c>
      <c r="E135" s="107"/>
      <c r="F135" s="108" t="s">
        <v>10</v>
      </c>
      <c r="G135" s="109" t="s">
        <v>371</v>
      </c>
    </row>
    <row r="136" spans="1:7" ht="24" customHeight="1">
      <c r="A136" s="104">
        <v>45917</v>
      </c>
      <c r="B136" s="105" t="s">
        <v>456</v>
      </c>
      <c r="C136" s="6" t="s">
        <v>457</v>
      </c>
      <c r="D136" s="106">
        <v>155500</v>
      </c>
      <c r="E136" s="107"/>
      <c r="F136" s="108" t="s">
        <v>10</v>
      </c>
      <c r="G136" s="109"/>
    </row>
    <row r="137" spans="1:7" ht="22.5" customHeight="1">
      <c r="A137" s="104">
        <v>45917</v>
      </c>
      <c r="B137" s="112" t="s">
        <v>77</v>
      </c>
      <c r="C137" s="6" t="s">
        <v>458</v>
      </c>
      <c r="D137" s="106">
        <v>138000</v>
      </c>
      <c r="E137" s="107"/>
      <c r="F137" s="108" t="s">
        <v>10</v>
      </c>
      <c r="G137" s="109"/>
    </row>
    <row r="138" spans="1:7" ht="22.5" customHeight="1">
      <c r="A138" s="104">
        <v>45917</v>
      </c>
      <c r="B138" s="112" t="s">
        <v>71</v>
      </c>
      <c r="C138" s="6" t="s">
        <v>459</v>
      </c>
      <c r="D138" s="106">
        <v>732844</v>
      </c>
      <c r="E138" s="107"/>
      <c r="F138" s="111" t="s">
        <v>72</v>
      </c>
      <c r="G138" s="114"/>
    </row>
    <row r="139" spans="1:7" ht="22.5" customHeight="1">
      <c r="A139" s="104">
        <v>45918</v>
      </c>
      <c r="B139" s="105" t="s">
        <v>460</v>
      </c>
      <c r="C139" s="6" t="s">
        <v>461</v>
      </c>
      <c r="D139" s="106">
        <v>241700</v>
      </c>
      <c r="E139" s="107"/>
      <c r="F139" s="108" t="s">
        <v>10</v>
      </c>
      <c r="G139" s="109"/>
    </row>
    <row r="140" spans="1:7" ht="22.5" customHeight="1">
      <c r="A140" s="104">
        <v>45918</v>
      </c>
      <c r="B140" s="112" t="s">
        <v>462</v>
      </c>
      <c r="C140" s="6" t="s">
        <v>463</v>
      </c>
      <c r="D140" s="106">
        <v>169200</v>
      </c>
      <c r="E140" s="107"/>
      <c r="F140" s="108" t="s">
        <v>10</v>
      </c>
      <c r="G140" s="109"/>
    </row>
    <row r="141" spans="1:7" ht="22.5" customHeight="1">
      <c r="A141" s="104">
        <v>45918</v>
      </c>
      <c r="B141" s="112" t="s">
        <v>464</v>
      </c>
      <c r="C141" s="6" t="s">
        <v>465</v>
      </c>
      <c r="D141" s="106">
        <v>157000</v>
      </c>
      <c r="E141" s="107"/>
      <c r="F141" s="108" t="s">
        <v>7</v>
      </c>
      <c r="G141" s="109"/>
    </row>
    <row r="142" spans="1:7" ht="22.5" customHeight="1">
      <c r="A142" s="104">
        <v>45918</v>
      </c>
      <c r="B142" s="105" t="s">
        <v>466</v>
      </c>
      <c r="C142" s="6" t="s">
        <v>467</v>
      </c>
      <c r="D142" s="106">
        <v>75900</v>
      </c>
      <c r="E142" s="107"/>
      <c r="F142" s="108" t="s">
        <v>10</v>
      </c>
      <c r="G142" s="109"/>
    </row>
    <row r="143" spans="1:7" ht="22.5" customHeight="1">
      <c r="A143" s="104">
        <v>45918</v>
      </c>
      <c r="B143" s="122" t="s">
        <v>468</v>
      </c>
      <c r="C143" s="6" t="s">
        <v>469</v>
      </c>
      <c r="D143" s="106">
        <v>148300</v>
      </c>
      <c r="E143" s="107"/>
      <c r="F143" s="108" t="s">
        <v>7</v>
      </c>
      <c r="G143" s="109"/>
    </row>
    <row r="144" spans="1:7" ht="22.5" customHeight="1">
      <c r="A144" s="104">
        <v>45918</v>
      </c>
      <c r="B144" s="105" t="s">
        <v>470</v>
      </c>
      <c r="C144" s="6" t="s">
        <v>471</v>
      </c>
      <c r="D144" s="106">
        <v>103100</v>
      </c>
      <c r="E144" s="107"/>
      <c r="F144" s="108" t="s">
        <v>10</v>
      </c>
      <c r="G144" s="109"/>
    </row>
    <row r="145" spans="1:7" ht="22.5" customHeight="1">
      <c r="A145" s="104">
        <v>45918</v>
      </c>
      <c r="B145" s="112" t="s">
        <v>472</v>
      </c>
      <c r="C145" s="6" t="s">
        <v>473</v>
      </c>
      <c r="D145" s="106">
        <v>116000</v>
      </c>
      <c r="E145" s="107"/>
      <c r="F145" s="108" t="s">
        <v>10</v>
      </c>
      <c r="G145" s="109"/>
    </row>
    <row r="146" spans="1:7" ht="22.5" customHeight="1">
      <c r="A146" s="104">
        <v>45918</v>
      </c>
      <c r="B146" s="105" t="s">
        <v>63</v>
      </c>
      <c r="C146" s="6" t="s">
        <v>474</v>
      </c>
      <c r="D146" s="106">
        <v>268500</v>
      </c>
      <c r="E146" s="107"/>
      <c r="F146" s="108" t="s">
        <v>7</v>
      </c>
      <c r="G146" s="109"/>
    </row>
    <row r="147" spans="1:7" ht="22.5" customHeight="1">
      <c r="A147" s="104">
        <v>45918</v>
      </c>
      <c r="B147" s="110" t="s">
        <v>71</v>
      </c>
      <c r="C147" s="6" t="s">
        <v>475</v>
      </c>
      <c r="D147" s="106">
        <v>1617462</v>
      </c>
      <c r="E147" s="107"/>
      <c r="F147" s="111" t="s">
        <v>72</v>
      </c>
      <c r="G147" s="114"/>
    </row>
    <row r="148" spans="1:7" ht="22.5" customHeight="1">
      <c r="A148" s="104">
        <v>45919</v>
      </c>
      <c r="B148" s="122" t="s">
        <v>476</v>
      </c>
      <c r="C148" s="6" t="s">
        <v>477</v>
      </c>
      <c r="D148" s="106">
        <v>174000</v>
      </c>
      <c r="E148" s="107"/>
      <c r="F148" s="108" t="s">
        <v>7</v>
      </c>
      <c r="G148" s="109"/>
    </row>
    <row r="149" spans="1:7" ht="22.5" customHeight="1">
      <c r="A149" s="104">
        <v>45919</v>
      </c>
      <c r="B149" s="112" t="s">
        <v>478</v>
      </c>
      <c r="C149" s="6" t="s">
        <v>479</v>
      </c>
      <c r="D149" s="106">
        <v>99500</v>
      </c>
      <c r="E149" s="107"/>
      <c r="F149" s="108" t="s">
        <v>7</v>
      </c>
      <c r="G149" s="109"/>
    </row>
    <row r="150" spans="1:7" ht="24" customHeight="1">
      <c r="A150" s="104">
        <v>45919</v>
      </c>
      <c r="B150" s="112" t="s">
        <v>478</v>
      </c>
      <c r="C150" s="6" t="s">
        <v>480</v>
      </c>
      <c r="D150" s="106">
        <v>94000</v>
      </c>
      <c r="E150" s="107"/>
      <c r="F150" s="108" t="s">
        <v>7</v>
      </c>
      <c r="G150" s="109"/>
    </row>
    <row r="151" spans="1:7" ht="22.5" customHeight="1">
      <c r="A151" s="104">
        <v>45919</v>
      </c>
      <c r="B151" s="112" t="s">
        <v>309</v>
      </c>
      <c r="C151" s="6" t="s">
        <v>481</v>
      </c>
      <c r="D151" s="106">
        <v>131000</v>
      </c>
      <c r="E151" s="107"/>
      <c r="F151" s="108" t="s">
        <v>10</v>
      </c>
      <c r="G151" s="109"/>
    </row>
    <row r="152" spans="1:7" ht="22.5" customHeight="1">
      <c r="A152" s="104">
        <v>45919</v>
      </c>
      <c r="B152" s="105" t="s">
        <v>482</v>
      </c>
      <c r="C152" s="6" t="s">
        <v>483</v>
      </c>
      <c r="D152" s="106">
        <v>111500</v>
      </c>
      <c r="E152" s="107"/>
      <c r="F152" s="108" t="s">
        <v>10</v>
      </c>
      <c r="G152" s="109"/>
    </row>
    <row r="153" spans="1:7" ht="22.5" customHeight="1">
      <c r="A153" s="104">
        <v>45919</v>
      </c>
      <c r="B153" s="105" t="s">
        <v>484</v>
      </c>
      <c r="C153" s="6" t="s">
        <v>485</v>
      </c>
      <c r="D153" s="106">
        <v>61500</v>
      </c>
      <c r="E153" s="107"/>
      <c r="F153" s="108" t="s">
        <v>10</v>
      </c>
      <c r="G153" s="109"/>
    </row>
    <row r="154" spans="1:7" ht="22.5" customHeight="1">
      <c r="A154" s="104">
        <v>45919</v>
      </c>
      <c r="B154" s="105" t="s">
        <v>486</v>
      </c>
      <c r="C154" s="6" t="s">
        <v>487</v>
      </c>
      <c r="D154" s="106">
        <v>154400</v>
      </c>
      <c r="E154" s="107"/>
      <c r="F154" s="111" t="s">
        <v>16</v>
      </c>
      <c r="G154" s="114"/>
    </row>
    <row r="155" spans="1:7" ht="22.5" customHeight="1">
      <c r="A155" s="104">
        <v>45919</v>
      </c>
      <c r="B155" s="112" t="s">
        <v>58</v>
      </c>
      <c r="C155" s="6" t="s">
        <v>488</v>
      </c>
      <c r="D155" s="106">
        <v>26000</v>
      </c>
      <c r="E155" s="107"/>
      <c r="F155" s="108" t="s">
        <v>7</v>
      </c>
      <c r="G155" s="109"/>
    </row>
    <row r="156" spans="1:7" ht="22.5" customHeight="1">
      <c r="A156" s="104">
        <v>45919</v>
      </c>
      <c r="B156" s="105" t="s">
        <v>489</v>
      </c>
      <c r="C156" s="6" t="s">
        <v>490</v>
      </c>
      <c r="D156" s="106">
        <v>105200</v>
      </c>
      <c r="E156" s="107"/>
      <c r="F156" s="108" t="s">
        <v>10</v>
      </c>
      <c r="G156" s="109"/>
    </row>
    <row r="157" spans="1:7" ht="22.5" customHeight="1">
      <c r="A157" s="104">
        <v>45919</v>
      </c>
      <c r="B157" s="105" t="s">
        <v>491</v>
      </c>
      <c r="C157" s="6" t="s">
        <v>492</v>
      </c>
      <c r="D157" s="106">
        <v>41000</v>
      </c>
      <c r="E157" s="107"/>
      <c r="F157" s="108" t="s">
        <v>10</v>
      </c>
      <c r="G157" s="109"/>
    </row>
    <row r="158" spans="1:7" ht="24" customHeight="1">
      <c r="A158" s="104">
        <v>45920</v>
      </c>
      <c r="B158" s="105" t="s">
        <v>493</v>
      </c>
      <c r="C158" s="6" t="s">
        <v>494</v>
      </c>
      <c r="D158" s="106">
        <v>122000</v>
      </c>
      <c r="E158" s="107"/>
      <c r="F158" s="108" t="s">
        <v>10</v>
      </c>
      <c r="G158" s="109"/>
    </row>
    <row r="159" spans="1:7" ht="20.25" customHeight="1">
      <c r="A159" s="104">
        <v>45920</v>
      </c>
      <c r="B159" s="105" t="s">
        <v>495</v>
      </c>
      <c r="C159" s="6" t="s">
        <v>496</v>
      </c>
      <c r="D159" s="106">
        <v>112800</v>
      </c>
      <c r="E159" s="107"/>
      <c r="F159" s="108" t="s">
        <v>10</v>
      </c>
      <c r="G159" s="109"/>
    </row>
    <row r="160" spans="1:7" ht="24" customHeight="1">
      <c r="A160" s="104">
        <v>45920</v>
      </c>
      <c r="B160" s="105" t="s">
        <v>497</v>
      </c>
      <c r="C160" s="6" t="s">
        <v>498</v>
      </c>
      <c r="D160" s="106">
        <v>124000</v>
      </c>
      <c r="E160" s="107"/>
      <c r="F160" s="108" t="s">
        <v>10</v>
      </c>
      <c r="G160" s="109"/>
    </row>
    <row r="161" spans="1:7" ht="24" customHeight="1">
      <c r="A161" s="104">
        <v>45920</v>
      </c>
      <c r="B161" s="105" t="s">
        <v>499</v>
      </c>
      <c r="C161" s="6" t="s">
        <v>500</v>
      </c>
      <c r="D161" s="106">
        <v>121500</v>
      </c>
      <c r="E161" s="107"/>
      <c r="F161" s="108" t="s">
        <v>10</v>
      </c>
      <c r="G161" s="109"/>
    </row>
    <row r="162" spans="1:7" ht="22.5" customHeight="1">
      <c r="A162" s="104">
        <v>45922</v>
      </c>
      <c r="B162" s="105" t="s">
        <v>501</v>
      </c>
      <c r="C162" s="6" t="s">
        <v>502</v>
      </c>
      <c r="D162" s="106">
        <v>109500</v>
      </c>
      <c r="E162" s="107"/>
      <c r="F162" s="108" t="s">
        <v>10</v>
      </c>
      <c r="G162" s="109"/>
    </row>
    <row r="163" spans="1:7" ht="22.5" customHeight="1">
      <c r="A163" s="104">
        <v>45922</v>
      </c>
      <c r="B163" s="122" t="s">
        <v>503</v>
      </c>
      <c r="C163" s="6" t="s">
        <v>504</v>
      </c>
      <c r="D163" s="106">
        <v>142000</v>
      </c>
      <c r="E163" s="107"/>
      <c r="F163" s="108" t="s">
        <v>10</v>
      </c>
      <c r="G163" s="109"/>
    </row>
    <row r="164" spans="1:7" ht="24.75" customHeight="1">
      <c r="A164" s="104">
        <v>45922</v>
      </c>
      <c r="B164" s="112" t="s">
        <v>505</v>
      </c>
      <c r="C164" s="6" t="s">
        <v>506</v>
      </c>
      <c r="D164" s="106">
        <v>220950</v>
      </c>
      <c r="E164" s="107"/>
      <c r="F164" s="108" t="s">
        <v>7</v>
      </c>
      <c r="G164" s="109"/>
    </row>
    <row r="165" spans="1:7" ht="22.5" customHeight="1">
      <c r="A165" s="104">
        <v>45922</v>
      </c>
      <c r="B165" s="112" t="s">
        <v>507</v>
      </c>
      <c r="C165" s="6" t="s">
        <v>508</v>
      </c>
      <c r="D165" s="106">
        <v>151500</v>
      </c>
      <c r="E165" s="107"/>
      <c r="F165" s="108" t="s">
        <v>10</v>
      </c>
      <c r="G165" s="109"/>
    </row>
    <row r="166" spans="1:7" ht="25.5" customHeight="1">
      <c r="A166" s="104">
        <v>45923</v>
      </c>
      <c r="B166" s="105" t="s">
        <v>426</v>
      </c>
      <c r="C166" s="6" t="s">
        <v>509</v>
      </c>
      <c r="D166" s="106">
        <v>54000</v>
      </c>
      <c r="E166" s="107"/>
      <c r="F166" s="108" t="s">
        <v>10</v>
      </c>
      <c r="G166" s="109"/>
    </row>
    <row r="167" spans="1:7" ht="22.5" customHeight="1">
      <c r="A167" s="104">
        <v>45923</v>
      </c>
      <c r="B167" s="105" t="s">
        <v>173</v>
      </c>
      <c r="C167" s="6" t="s">
        <v>510</v>
      </c>
      <c r="D167" s="106">
        <v>175500</v>
      </c>
      <c r="E167" s="107"/>
      <c r="F167" s="108" t="s">
        <v>511</v>
      </c>
      <c r="G167" s="109"/>
    </row>
    <row r="168" spans="1:7" ht="22.5" customHeight="1">
      <c r="A168" s="104">
        <v>45923</v>
      </c>
      <c r="B168" s="112" t="s">
        <v>512</v>
      </c>
      <c r="C168" s="6" t="s">
        <v>513</v>
      </c>
      <c r="D168" s="106">
        <v>55700</v>
      </c>
      <c r="E168" s="107"/>
      <c r="F168" s="108" t="s">
        <v>7</v>
      </c>
      <c r="G168" s="109"/>
    </row>
    <row r="169" spans="1:7" ht="24.75" customHeight="1">
      <c r="A169" s="104">
        <v>45923</v>
      </c>
      <c r="B169" s="105" t="s">
        <v>168</v>
      </c>
      <c r="C169" s="6" t="s">
        <v>514</v>
      </c>
      <c r="D169" s="106">
        <v>86100</v>
      </c>
      <c r="E169" s="107"/>
      <c r="F169" s="108" t="s">
        <v>10</v>
      </c>
      <c r="G169" s="109"/>
    </row>
    <row r="170" spans="1:7" ht="22.5" customHeight="1">
      <c r="A170" s="104">
        <v>45923</v>
      </c>
      <c r="B170" s="112" t="s">
        <v>515</v>
      </c>
      <c r="C170" s="6" t="s">
        <v>516</v>
      </c>
      <c r="D170" s="106">
        <v>110000</v>
      </c>
      <c r="E170" s="107"/>
      <c r="F170" s="108" t="s">
        <v>7</v>
      </c>
      <c r="G170" s="109"/>
    </row>
    <row r="171" spans="1:7" ht="24.75" customHeight="1">
      <c r="A171" s="104">
        <v>45923</v>
      </c>
      <c r="B171" s="112" t="s">
        <v>29</v>
      </c>
      <c r="C171" s="6" t="s">
        <v>517</v>
      </c>
      <c r="D171" s="106">
        <v>253000</v>
      </c>
      <c r="E171" s="107"/>
      <c r="F171" s="108" t="s">
        <v>21</v>
      </c>
      <c r="G171" s="109"/>
    </row>
    <row r="172" spans="1:7" ht="21" customHeight="1">
      <c r="A172" s="104">
        <v>45923</v>
      </c>
      <c r="B172" s="105" t="s">
        <v>31</v>
      </c>
      <c r="C172" s="6" t="s">
        <v>518</v>
      </c>
      <c r="D172" s="106">
        <v>184000</v>
      </c>
      <c r="E172" s="107"/>
      <c r="F172" s="108" t="s">
        <v>10</v>
      </c>
      <c r="G172" s="109"/>
    </row>
    <row r="173" spans="1:7" ht="22.5" customHeight="1">
      <c r="A173" s="104">
        <v>45923</v>
      </c>
      <c r="B173" s="122" t="s">
        <v>30</v>
      </c>
      <c r="C173" s="6" t="s">
        <v>519</v>
      </c>
      <c r="D173" s="106">
        <v>99000</v>
      </c>
      <c r="E173" s="107"/>
      <c r="F173" s="108" t="s">
        <v>7</v>
      </c>
      <c r="G173" s="109"/>
    </row>
    <row r="174" spans="1:7" ht="21" customHeight="1">
      <c r="A174" s="104">
        <v>45923</v>
      </c>
      <c r="B174" s="105" t="s">
        <v>520</v>
      </c>
      <c r="C174" s="6" t="s">
        <v>521</v>
      </c>
      <c r="D174" s="106">
        <v>210000</v>
      </c>
      <c r="E174" s="107"/>
      <c r="F174" s="111" t="s">
        <v>16</v>
      </c>
      <c r="G174" s="114"/>
    </row>
    <row r="175" spans="1:7" ht="22.5" customHeight="1">
      <c r="A175" s="104">
        <v>45923</v>
      </c>
      <c r="B175" s="112" t="s">
        <v>97</v>
      </c>
      <c r="C175" s="6" t="s">
        <v>522</v>
      </c>
      <c r="D175" s="106">
        <v>262100</v>
      </c>
      <c r="E175" s="107"/>
      <c r="F175" s="108" t="s">
        <v>7</v>
      </c>
      <c r="G175" s="109"/>
    </row>
    <row r="176" spans="1:7" ht="22.5" customHeight="1">
      <c r="A176" s="104">
        <v>45923</v>
      </c>
      <c r="B176" s="112" t="s">
        <v>523</v>
      </c>
      <c r="C176" s="6" t="s">
        <v>524</v>
      </c>
      <c r="D176" s="106">
        <v>123400</v>
      </c>
      <c r="E176" s="107"/>
      <c r="F176" s="108" t="s">
        <v>10</v>
      </c>
      <c r="G176" s="109"/>
    </row>
    <row r="177" spans="1:7" ht="22.5" customHeight="1">
      <c r="A177" s="104">
        <v>45923</v>
      </c>
      <c r="B177" s="105" t="s">
        <v>525</v>
      </c>
      <c r="C177" s="6" t="s">
        <v>526</v>
      </c>
      <c r="D177" s="106">
        <v>103500</v>
      </c>
      <c r="E177" s="107"/>
      <c r="F177" s="108" t="s">
        <v>10</v>
      </c>
      <c r="G177" s="109"/>
    </row>
    <row r="178" spans="1:7" ht="22.5" customHeight="1">
      <c r="A178" s="104">
        <v>45924</v>
      </c>
      <c r="B178" s="123" t="s">
        <v>527</v>
      </c>
      <c r="C178" s="6" t="s">
        <v>528</v>
      </c>
      <c r="D178" s="106">
        <v>70600</v>
      </c>
      <c r="E178" s="107"/>
      <c r="F178" s="108" t="s">
        <v>10</v>
      </c>
      <c r="G178" s="109"/>
    </row>
    <row r="179" spans="1:7" ht="25.5" customHeight="1">
      <c r="A179" s="104">
        <v>45924</v>
      </c>
      <c r="B179" s="105" t="s">
        <v>101</v>
      </c>
      <c r="C179" s="6" t="s">
        <v>529</v>
      </c>
      <c r="D179" s="106">
        <v>170100</v>
      </c>
      <c r="E179" s="107"/>
      <c r="F179" s="108" t="s">
        <v>21</v>
      </c>
      <c r="G179" s="109"/>
    </row>
    <row r="180" spans="1:7" ht="22.5" customHeight="1">
      <c r="A180" s="104">
        <v>45924</v>
      </c>
      <c r="B180" s="112" t="s">
        <v>530</v>
      </c>
      <c r="C180" s="6" t="s">
        <v>531</v>
      </c>
      <c r="D180" s="106">
        <v>183100</v>
      </c>
      <c r="E180" s="107"/>
      <c r="F180" s="108" t="s">
        <v>7</v>
      </c>
      <c r="G180" s="109"/>
    </row>
    <row r="181" spans="1:7" ht="22.5" customHeight="1">
      <c r="A181" s="104">
        <v>45924</v>
      </c>
      <c r="B181" s="105" t="s">
        <v>46</v>
      </c>
      <c r="C181" s="6" t="s">
        <v>532</v>
      </c>
      <c r="D181" s="106">
        <v>132600</v>
      </c>
      <c r="E181" s="107"/>
      <c r="F181" s="108" t="s">
        <v>7</v>
      </c>
      <c r="G181" s="109"/>
    </row>
    <row r="182" spans="1:7" ht="22.5" customHeight="1">
      <c r="A182" s="104">
        <v>45924</v>
      </c>
      <c r="B182" s="105" t="s">
        <v>12</v>
      </c>
      <c r="C182" s="6" t="s">
        <v>533</v>
      </c>
      <c r="D182" s="106">
        <v>285660</v>
      </c>
      <c r="E182" s="107"/>
      <c r="F182" s="108" t="s">
        <v>10</v>
      </c>
      <c r="G182" s="109"/>
    </row>
    <row r="183" spans="1:7" ht="22.5" customHeight="1">
      <c r="A183" s="104">
        <v>45924</v>
      </c>
      <c r="B183" s="105" t="s">
        <v>148</v>
      </c>
      <c r="C183" s="6" t="s">
        <v>534</v>
      </c>
      <c r="D183" s="106">
        <v>189000</v>
      </c>
      <c r="E183" s="107"/>
      <c r="F183" s="108" t="s">
        <v>7</v>
      </c>
      <c r="G183" s="109"/>
    </row>
    <row r="184" spans="1:7" ht="24" customHeight="1">
      <c r="A184" s="104">
        <v>45924</v>
      </c>
      <c r="B184" s="105" t="s">
        <v>535</v>
      </c>
      <c r="C184" s="6" t="s">
        <v>536</v>
      </c>
      <c r="D184" s="106">
        <v>40500</v>
      </c>
      <c r="E184" s="107"/>
      <c r="F184" s="108" t="s">
        <v>10</v>
      </c>
      <c r="G184" s="109"/>
    </row>
    <row r="185" spans="1:7" ht="22.5" customHeight="1">
      <c r="A185" s="104">
        <v>45924</v>
      </c>
      <c r="B185" s="105" t="s">
        <v>537</v>
      </c>
      <c r="C185" s="6" t="s">
        <v>538</v>
      </c>
      <c r="D185" s="106">
        <v>100600</v>
      </c>
      <c r="E185" s="107"/>
      <c r="F185" s="108" t="s">
        <v>10</v>
      </c>
      <c r="G185" s="109"/>
    </row>
    <row r="186" spans="1:7" ht="22.5" customHeight="1">
      <c r="A186" s="104">
        <v>45924</v>
      </c>
      <c r="B186" s="105" t="s">
        <v>539</v>
      </c>
      <c r="C186" s="6" t="s">
        <v>540</v>
      </c>
      <c r="D186" s="106">
        <v>99590</v>
      </c>
      <c r="E186" s="107"/>
      <c r="F186" s="108" t="s">
        <v>10</v>
      </c>
      <c r="G186" s="109"/>
    </row>
    <row r="187" spans="1:7" ht="22.5" customHeight="1">
      <c r="A187" s="104">
        <v>45924</v>
      </c>
      <c r="B187" s="105" t="s">
        <v>541</v>
      </c>
      <c r="C187" s="6" t="s">
        <v>542</v>
      </c>
      <c r="D187" s="106">
        <v>105000</v>
      </c>
      <c r="E187" s="107"/>
      <c r="F187" s="108" t="s">
        <v>7</v>
      </c>
      <c r="G187" s="109"/>
    </row>
    <row r="188" spans="1:7" ht="22.5" customHeight="1">
      <c r="A188" s="104">
        <v>45924</v>
      </c>
      <c r="B188" s="105" t="s">
        <v>543</v>
      </c>
      <c r="C188" s="6" t="s">
        <v>544</v>
      </c>
      <c r="D188" s="106">
        <v>172100</v>
      </c>
      <c r="E188" s="107"/>
      <c r="F188" s="108" t="s">
        <v>10</v>
      </c>
      <c r="G188" s="109"/>
    </row>
    <row r="189" spans="1:7" ht="21.75" customHeight="1">
      <c r="A189" s="104">
        <v>45925</v>
      </c>
      <c r="B189" s="105" t="s">
        <v>545</v>
      </c>
      <c r="C189" s="6" t="s">
        <v>546</v>
      </c>
      <c r="D189" s="106">
        <v>179000</v>
      </c>
      <c r="E189" s="107"/>
      <c r="F189" s="108" t="s">
        <v>10</v>
      </c>
      <c r="G189" s="109"/>
    </row>
    <row r="190" spans="1:7" ht="22.5" customHeight="1">
      <c r="A190" s="104">
        <v>45925</v>
      </c>
      <c r="B190" s="112" t="s">
        <v>547</v>
      </c>
      <c r="C190" s="6" t="s">
        <v>548</v>
      </c>
      <c r="D190" s="106">
        <v>155100</v>
      </c>
      <c r="E190" s="107"/>
      <c r="F190" s="108" t="s">
        <v>10</v>
      </c>
      <c r="G190" s="109"/>
    </row>
    <row r="191" spans="1:7" ht="21" customHeight="1">
      <c r="A191" s="104">
        <v>45925</v>
      </c>
      <c r="B191" s="105" t="s">
        <v>549</v>
      </c>
      <c r="C191" s="6" t="s">
        <v>550</v>
      </c>
      <c r="D191" s="106">
        <v>116000</v>
      </c>
      <c r="E191" s="107"/>
      <c r="F191" s="108" t="s">
        <v>10</v>
      </c>
      <c r="G191" s="109"/>
    </row>
    <row r="192" spans="1:7" ht="22.5" customHeight="1">
      <c r="A192" s="104">
        <v>45925</v>
      </c>
      <c r="B192" s="105" t="s">
        <v>551</v>
      </c>
      <c r="C192" s="6" t="s">
        <v>552</v>
      </c>
      <c r="D192" s="106">
        <v>126000</v>
      </c>
      <c r="E192" s="107"/>
      <c r="F192" s="108" t="s">
        <v>10</v>
      </c>
      <c r="G192" s="109"/>
    </row>
    <row r="193" spans="1:7" ht="22.5" customHeight="1">
      <c r="A193" s="104">
        <v>45925</v>
      </c>
      <c r="B193" s="112" t="s">
        <v>89</v>
      </c>
      <c r="C193" s="6" t="s">
        <v>553</v>
      </c>
      <c r="D193" s="106">
        <v>203600</v>
      </c>
      <c r="E193" s="107"/>
      <c r="F193" s="108" t="s">
        <v>10</v>
      </c>
      <c r="G193" s="109"/>
    </row>
    <row r="194" spans="1:7" ht="20.25" customHeight="1">
      <c r="A194" s="104">
        <v>45925</v>
      </c>
      <c r="B194" s="105" t="s">
        <v>304</v>
      </c>
      <c r="C194" s="6" t="s">
        <v>554</v>
      </c>
      <c r="D194" s="106">
        <v>102500</v>
      </c>
      <c r="E194" s="107"/>
      <c r="F194" s="108" t="s">
        <v>7</v>
      </c>
      <c r="G194" s="109"/>
    </row>
    <row r="195" spans="1:7" ht="22.5" customHeight="1">
      <c r="A195" s="104">
        <v>45925</v>
      </c>
      <c r="B195" s="112" t="s">
        <v>555</v>
      </c>
      <c r="C195" s="6" t="s">
        <v>556</v>
      </c>
      <c r="D195" s="106">
        <v>98550</v>
      </c>
      <c r="E195" s="124">
        <v>301</v>
      </c>
      <c r="F195" s="108" t="s">
        <v>7</v>
      </c>
      <c r="G195" s="109"/>
    </row>
    <row r="196" spans="1:7" ht="22.5" customHeight="1">
      <c r="A196" s="104">
        <v>45925</v>
      </c>
      <c r="B196" s="105" t="s">
        <v>557</v>
      </c>
      <c r="C196" s="6" t="s">
        <v>558</v>
      </c>
      <c r="D196" s="106">
        <v>157600</v>
      </c>
      <c r="E196" s="107"/>
      <c r="F196" s="108" t="s">
        <v>7</v>
      </c>
      <c r="G196" s="109"/>
    </row>
    <row r="197" spans="1:7" ht="22.5" customHeight="1">
      <c r="A197" s="104">
        <v>45926</v>
      </c>
      <c r="B197" s="112" t="s">
        <v>559</v>
      </c>
      <c r="C197" s="6" t="s">
        <v>560</v>
      </c>
      <c r="D197" s="106">
        <v>186100</v>
      </c>
      <c r="E197" s="107"/>
      <c r="F197" s="108" t="s">
        <v>7</v>
      </c>
      <c r="G197" s="109"/>
    </row>
    <row r="198" spans="1:7" ht="25.5" customHeight="1">
      <c r="A198" s="104">
        <v>45926</v>
      </c>
      <c r="B198" s="112" t="s">
        <v>139</v>
      </c>
      <c r="C198" s="6" t="s">
        <v>561</v>
      </c>
      <c r="D198" s="106">
        <v>264150</v>
      </c>
      <c r="E198" s="107"/>
      <c r="F198" s="108" t="s">
        <v>10</v>
      </c>
      <c r="G198" s="109"/>
    </row>
    <row r="199" spans="1:7" ht="21.75" customHeight="1">
      <c r="A199" s="104">
        <v>45926</v>
      </c>
      <c r="B199" s="105" t="s">
        <v>562</v>
      </c>
      <c r="C199" s="6" t="s">
        <v>563</v>
      </c>
      <c r="D199" s="106">
        <v>68000</v>
      </c>
      <c r="E199" s="107"/>
      <c r="F199" s="108" t="s">
        <v>10</v>
      </c>
      <c r="G199" s="109"/>
    </row>
    <row r="200" spans="1:7" ht="22.5" customHeight="1">
      <c r="A200" s="104">
        <v>45926</v>
      </c>
      <c r="B200" s="105" t="s">
        <v>564</v>
      </c>
      <c r="C200" s="6" t="s">
        <v>565</v>
      </c>
      <c r="D200" s="106">
        <v>138100</v>
      </c>
      <c r="E200" s="107"/>
      <c r="F200" s="108" t="s">
        <v>10</v>
      </c>
      <c r="G200" s="109"/>
    </row>
    <row r="201" spans="1:7" ht="22.5" customHeight="1">
      <c r="A201" s="104">
        <v>45926</v>
      </c>
      <c r="B201" s="112" t="s">
        <v>566</v>
      </c>
      <c r="C201" s="6" t="s">
        <v>567</v>
      </c>
      <c r="D201" s="106">
        <v>77600</v>
      </c>
      <c r="E201" s="107"/>
      <c r="F201" s="108" t="s">
        <v>7</v>
      </c>
      <c r="G201" s="109"/>
    </row>
    <row r="202" spans="1:7" ht="22.5" customHeight="1">
      <c r="A202" s="104">
        <v>45926</v>
      </c>
      <c r="B202" s="112" t="s">
        <v>127</v>
      </c>
      <c r="C202" s="6" t="s">
        <v>568</v>
      </c>
      <c r="D202" s="106">
        <v>206500</v>
      </c>
      <c r="E202" s="107"/>
      <c r="F202" s="108" t="s">
        <v>7</v>
      </c>
      <c r="G202" s="109"/>
    </row>
    <row r="203" spans="1:7" ht="22.5" customHeight="1">
      <c r="A203" s="104">
        <v>45926</v>
      </c>
      <c r="B203" s="112" t="s">
        <v>569</v>
      </c>
      <c r="C203" s="6" t="s">
        <v>570</v>
      </c>
      <c r="D203" s="106">
        <v>110500</v>
      </c>
      <c r="E203" s="107"/>
      <c r="F203" s="108" t="s">
        <v>7</v>
      </c>
      <c r="G203" s="109"/>
    </row>
    <row r="204" spans="1:7" ht="24" customHeight="1">
      <c r="A204" s="104">
        <v>45927</v>
      </c>
      <c r="B204" s="105" t="s">
        <v>571</v>
      </c>
      <c r="C204" s="6" t="s">
        <v>572</v>
      </c>
      <c r="D204" s="106">
        <v>78800</v>
      </c>
      <c r="E204" s="107"/>
      <c r="F204" s="108" t="s">
        <v>10</v>
      </c>
      <c r="G204" s="109"/>
    </row>
    <row r="205" spans="1:7" ht="24" customHeight="1">
      <c r="A205" s="104">
        <v>45927</v>
      </c>
      <c r="B205" s="105" t="s">
        <v>573</v>
      </c>
      <c r="C205" s="6" t="s">
        <v>574</v>
      </c>
      <c r="D205" s="106">
        <v>86600</v>
      </c>
      <c r="E205" s="107"/>
      <c r="F205" s="108" t="s">
        <v>10</v>
      </c>
      <c r="G205" s="109"/>
    </row>
    <row r="206" spans="1:7" ht="22.5" customHeight="1">
      <c r="A206" s="104">
        <v>45927</v>
      </c>
      <c r="B206" s="112" t="s">
        <v>575</v>
      </c>
      <c r="C206" s="6" t="s">
        <v>576</v>
      </c>
      <c r="D206" s="106">
        <v>152500</v>
      </c>
      <c r="E206" s="107"/>
      <c r="F206" s="108" t="s">
        <v>7</v>
      </c>
      <c r="G206" s="109"/>
    </row>
    <row r="207" spans="1:7" ht="24" customHeight="1">
      <c r="A207" s="104">
        <v>45927</v>
      </c>
      <c r="B207" s="105" t="s">
        <v>9</v>
      </c>
      <c r="C207" s="6" t="s">
        <v>577</v>
      </c>
      <c r="D207" s="106">
        <v>104400</v>
      </c>
      <c r="E207" s="107"/>
      <c r="F207" s="108" t="s">
        <v>10</v>
      </c>
      <c r="G207" s="109"/>
    </row>
    <row r="208" spans="1:7" ht="27" customHeight="1">
      <c r="A208" s="104">
        <v>45927</v>
      </c>
      <c r="B208" s="105" t="s">
        <v>578</v>
      </c>
      <c r="C208" s="6" t="s">
        <v>579</v>
      </c>
      <c r="D208" s="106">
        <v>104000</v>
      </c>
      <c r="E208" s="107"/>
      <c r="F208" s="108" t="s">
        <v>10</v>
      </c>
      <c r="G208" s="109"/>
    </row>
    <row r="209" spans="1:7" ht="22.5" customHeight="1">
      <c r="A209" s="104">
        <v>45927</v>
      </c>
      <c r="B209" s="105" t="s">
        <v>580</v>
      </c>
      <c r="C209" s="6" t="s">
        <v>581</v>
      </c>
      <c r="D209" s="106">
        <v>131600</v>
      </c>
      <c r="E209" s="107"/>
      <c r="F209" s="108" t="s">
        <v>7</v>
      </c>
      <c r="G209" s="109"/>
    </row>
    <row r="210" spans="1:7" ht="22.5" customHeight="1">
      <c r="A210" s="104">
        <v>45927</v>
      </c>
      <c r="B210" s="105" t="s">
        <v>582</v>
      </c>
      <c r="C210" s="6" t="s">
        <v>583</v>
      </c>
      <c r="D210" s="106">
        <v>110250</v>
      </c>
      <c r="E210" s="107"/>
      <c r="F210" s="108" t="s">
        <v>10</v>
      </c>
      <c r="G210" s="109"/>
    </row>
    <row r="211" spans="1:7" ht="22.5" customHeight="1">
      <c r="A211" s="104">
        <v>45927</v>
      </c>
      <c r="B211" s="105" t="s">
        <v>584</v>
      </c>
      <c r="C211" s="6" t="s">
        <v>585</v>
      </c>
      <c r="D211" s="106">
        <v>83000</v>
      </c>
      <c r="E211" s="107"/>
      <c r="F211" s="108" t="s">
        <v>10</v>
      </c>
      <c r="G211" s="109"/>
    </row>
    <row r="212" spans="1:7" ht="22.5" customHeight="1">
      <c r="A212" s="104">
        <v>45927</v>
      </c>
      <c r="B212" s="105" t="s">
        <v>586</v>
      </c>
      <c r="C212" s="6" t="s">
        <v>587</v>
      </c>
      <c r="D212" s="106">
        <v>138000</v>
      </c>
      <c r="E212" s="107"/>
      <c r="F212" s="108" t="s">
        <v>10</v>
      </c>
      <c r="G212" s="109"/>
    </row>
    <row r="213" spans="1:7" ht="22.5" customHeight="1">
      <c r="A213" s="104">
        <v>45927</v>
      </c>
      <c r="B213" s="105" t="s">
        <v>98</v>
      </c>
      <c r="C213" s="6" t="s">
        <v>588</v>
      </c>
      <c r="D213" s="106">
        <v>179600</v>
      </c>
      <c r="E213" s="107"/>
      <c r="F213" s="108" t="s">
        <v>10</v>
      </c>
      <c r="G213" s="109"/>
    </row>
    <row r="214" spans="1:7" ht="22.5" customHeight="1">
      <c r="A214" s="104">
        <v>45929</v>
      </c>
      <c r="B214" s="105" t="s">
        <v>589</v>
      </c>
      <c r="C214" s="6" t="s">
        <v>590</v>
      </c>
      <c r="D214" s="106">
        <v>132390</v>
      </c>
      <c r="E214" s="107"/>
      <c r="F214" s="108" t="s">
        <v>10</v>
      </c>
      <c r="G214" s="109"/>
    </row>
    <row r="215" spans="1:7" ht="22.5" customHeight="1">
      <c r="A215" s="104">
        <v>45929</v>
      </c>
      <c r="B215" s="105" t="s">
        <v>591</v>
      </c>
      <c r="C215" s="6" t="s">
        <v>592</v>
      </c>
      <c r="D215" s="106">
        <v>107100</v>
      </c>
      <c r="E215" s="107"/>
      <c r="F215" s="108" t="s">
        <v>7</v>
      </c>
      <c r="G215" s="109"/>
    </row>
    <row r="216" spans="1:7" ht="24.75" customHeight="1">
      <c r="A216" s="104">
        <v>45929</v>
      </c>
      <c r="B216" s="105" t="s">
        <v>99</v>
      </c>
      <c r="C216" s="6" t="s">
        <v>593</v>
      </c>
      <c r="D216" s="106">
        <v>121500</v>
      </c>
      <c r="E216" s="107"/>
      <c r="F216" s="108" t="s">
        <v>10</v>
      </c>
      <c r="G216" s="109"/>
    </row>
    <row r="217" spans="1:7" ht="22.5" customHeight="1">
      <c r="A217" s="104">
        <v>45929</v>
      </c>
      <c r="B217" s="105" t="s">
        <v>594</v>
      </c>
      <c r="C217" s="6" t="s">
        <v>595</v>
      </c>
      <c r="D217" s="106">
        <v>125280</v>
      </c>
      <c r="E217" s="107"/>
      <c r="F217" s="108" t="s">
        <v>10</v>
      </c>
      <c r="G217" s="109"/>
    </row>
    <row r="218" spans="1:7" ht="21" customHeight="1">
      <c r="A218" s="104">
        <v>45929</v>
      </c>
      <c r="B218" s="123" t="s">
        <v>596</v>
      </c>
      <c r="C218" s="6" t="s">
        <v>597</v>
      </c>
      <c r="D218" s="106">
        <v>112190</v>
      </c>
      <c r="E218" s="107"/>
      <c r="F218" s="108" t="s">
        <v>10</v>
      </c>
      <c r="G218" s="109"/>
    </row>
    <row r="219" spans="1:7" ht="24" customHeight="1">
      <c r="A219" s="104">
        <v>45929</v>
      </c>
      <c r="B219" s="105" t="s">
        <v>598</v>
      </c>
      <c r="C219" s="6" t="s">
        <v>599</v>
      </c>
      <c r="D219" s="106">
        <v>122600</v>
      </c>
      <c r="E219" s="107"/>
      <c r="F219" s="108" t="s">
        <v>10</v>
      </c>
      <c r="G219" s="109"/>
    </row>
    <row r="220" spans="1:7" ht="22.5" customHeight="1">
      <c r="A220" s="104">
        <v>45929</v>
      </c>
      <c r="B220" s="105" t="s">
        <v>600</v>
      </c>
      <c r="C220" s="6" t="s">
        <v>601</v>
      </c>
      <c r="D220" s="106">
        <v>83390</v>
      </c>
      <c r="E220" s="107"/>
      <c r="F220" s="108" t="s">
        <v>10</v>
      </c>
      <c r="G220" s="109"/>
    </row>
    <row r="221" spans="1:7" ht="22.5" customHeight="1">
      <c r="A221" s="104">
        <v>45929</v>
      </c>
      <c r="B221" s="112" t="s">
        <v>93</v>
      </c>
      <c r="C221" s="6" t="s">
        <v>602</v>
      </c>
      <c r="D221" s="106">
        <v>126000</v>
      </c>
      <c r="E221" s="107"/>
      <c r="F221" s="108" t="s">
        <v>10</v>
      </c>
      <c r="G221" s="109"/>
    </row>
    <row r="222" spans="1:7" ht="22.5" customHeight="1">
      <c r="A222" s="104">
        <v>45929</v>
      </c>
      <c r="B222" s="105" t="s">
        <v>603</v>
      </c>
      <c r="C222" s="6" t="s">
        <v>604</v>
      </c>
      <c r="D222" s="106">
        <v>169200</v>
      </c>
      <c r="E222" s="107"/>
      <c r="F222" s="108" t="s">
        <v>10</v>
      </c>
      <c r="G222" s="109"/>
    </row>
    <row r="223" spans="1:7" ht="21.75" customHeight="1">
      <c r="A223" s="104">
        <v>45929</v>
      </c>
      <c r="B223" s="105" t="s">
        <v>605</v>
      </c>
      <c r="C223" s="6" t="s">
        <v>606</v>
      </c>
      <c r="D223" s="106">
        <v>121500</v>
      </c>
      <c r="E223" s="107"/>
      <c r="F223" s="108" t="s">
        <v>10</v>
      </c>
      <c r="G223" s="109"/>
    </row>
    <row r="224" spans="1:7" ht="23.25" customHeight="1">
      <c r="A224" s="104">
        <v>45929</v>
      </c>
      <c r="B224" s="105" t="s">
        <v>607</v>
      </c>
      <c r="C224" s="6" t="s">
        <v>608</v>
      </c>
      <c r="D224" s="106">
        <v>166770</v>
      </c>
      <c r="E224" s="107"/>
      <c r="F224" s="108" t="s">
        <v>10</v>
      </c>
      <c r="G224" s="109"/>
    </row>
    <row r="225" spans="1:7" ht="24" customHeight="1">
      <c r="A225" s="104">
        <v>45929</v>
      </c>
      <c r="B225" s="105" t="s">
        <v>609</v>
      </c>
      <c r="C225" s="6" t="s">
        <v>610</v>
      </c>
      <c r="D225" s="106">
        <v>116800</v>
      </c>
      <c r="E225" s="107"/>
      <c r="F225" s="108" t="s">
        <v>10</v>
      </c>
      <c r="G225" s="109"/>
    </row>
    <row r="226" spans="1:7" ht="22.5" customHeight="1">
      <c r="A226" s="104">
        <v>45929</v>
      </c>
      <c r="B226" s="105" t="s">
        <v>611</v>
      </c>
      <c r="C226" s="6" t="s">
        <v>612</v>
      </c>
      <c r="D226" s="106">
        <v>123030</v>
      </c>
      <c r="E226" s="107"/>
      <c r="F226" s="108" t="s">
        <v>10</v>
      </c>
      <c r="G226" s="109"/>
    </row>
    <row r="227" spans="1:7" ht="24" customHeight="1">
      <c r="A227" s="104">
        <v>45929</v>
      </c>
      <c r="B227" s="105" t="s">
        <v>613</v>
      </c>
      <c r="C227" s="6" t="s">
        <v>614</v>
      </c>
      <c r="D227" s="106">
        <v>129900</v>
      </c>
      <c r="E227" s="107"/>
      <c r="F227" s="108" t="s">
        <v>10</v>
      </c>
      <c r="G227" s="109"/>
    </row>
    <row r="228" spans="1:7" ht="24" customHeight="1">
      <c r="A228" s="104">
        <v>45929</v>
      </c>
      <c r="B228" s="105" t="s">
        <v>615</v>
      </c>
      <c r="C228" s="6" t="s">
        <v>616</v>
      </c>
      <c r="D228" s="106">
        <v>82500</v>
      </c>
      <c r="E228" s="107"/>
      <c r="F228" s="108" t="s">
        <v>10</v>
      </c>
      <c r="G228" s="109"/>
    </row>
    <row r="229" spans="1:7" ht="22.5" customHeight="1">
      <c r="A229" s="104">
        <v>45929</v>
      </c>
      <c r="B229" s="105" t="s">
        <v>617</v>
      </c>
      <c r="C229" s="6" t="s">
        <v>618</v>
      </c>
      <c r="D229" s="106">
        <v>114070</v>
      </c>
      <c r="E229" s="107"/>
      <c r="F229" s="108" t="s">
        <v>10</v>
      </c>
      <c r="G229" s="109"/>
    </row>
    <row r="230" spans="1:7" ht="22.5" customHeight="1">
      <c r="A230" s="104">
        <v>45929</v>
      </c>
      <c r="B230" s="112" t="s">
        <v>619</v>
      </c>
      <c r="C230" s="6" t="s">
        <v>620</v>
      </c>
      <c r="D230" s="106">
        <v>72000</v>
      </c>
      <c r="E230" s="107"/>
      <c r="F230" s="108" t="s">
        <v>10</v>
      </c>
      <c r="G230" s="109"/>
    </row>
    <row r="231" spans="1:7" ht="22.5" customHeight="1">
      <c r="A231" s="104">
        <v>45929</v>
      </c>
      <c r="B231" s="105" t="s">
        <v>621</v>
      </c>
      <c r="C231" s="6" t="s">
        <v>622</v>
      </c>
      <c r="D231" s="106">
        <v>113050</v>
      </c>
      <c r="E231" s="107"/>
      <c r="F231" s="108" t="s">
        <v>10</v>
      </c>
      <c r="G231" s="109"/>
    </row>
    <row r="232" spans="1:7" ht="21" customHeight="1">
      <c r="A232" s="104">
        <v>45929</v>
      </c>
      <c r="B232" s="105" t="s">
        <v>623</v>
      </c>
      <c r="C232" s="6" t="s">
        <v>624</v>
      </c>
      <c r="D232" s="106">
        <v>115600</v>
      </c>
      <c r="E232" s="107"/>
      <c r="F232" s="108" t="s">
        <v>10</v>
      </c>
      <c r="G232" s="109"/>
    </row>
    <row r="233" spans="1:7" ht="21.75" customHeight="1">
      <c r="A233" s="104">
        <v>45929</v>
      </c>
      <c r="B233" s="105" t="s">
        <v>625</v>
      </c>
      <c r="C233" s="6" t="s">
        <v>626</v>
      </c>
      <c r="D233" s="106">
        <v>168600</v>
      </c>
      <c r="E233" s="107"/>
      <c r="F233" s="108" t="s">
        <v>10</v>
      </c>
      <c r="G233" s="109"/>
    </row>
    <row r="234" spans="1:7" ht="22.5" customHeight="1">
      <c r="A234" s="104">
        <v>45929</v>
      </c>
      <c r="B234" s="105" t="s">
        <v>23</v>
      </c>
      <c r="C234" s="6" t="s">
        <v>627</v>
      </c>
      <c r="D234" s="106">
        <v>105000</v>
      </c>
      <c r="E234" s="107"/>
      <c r="F234" s="108" t="s">
        <v>7</v>
      </c>
      <c r="G234" s="109"/>
    </row>
    <row r="235" spans="1:7" ht="22.5" customHeight="1">
      <c r="A235" s="125">
        <v>45930</v>
      </c>
      <c r="B235" s="10" t="s">
        <v>71</v>
      </c>
      <c r="C235" s="14" t="s">
        <v>628</v>
      </c>
      <c r="D235" s="116">
        <v>1320393</v>
      </c>
      <c r="E235" s="117"/>
      <c r="F235" s="126" t="s">
        <v>72</v>
      </c>
      <c r="G235" s="127"/>
    </row>
    <row r="236" spans="1:7" ht="19.5" customHeight="1">
      <c r="A236" s="104">
        <v>45930</v>
      </c>
      <c r="B236" s="105" t="s">
        <v>426</v>
      </c>
      <c r="C236" s="6" t="s">
        <v>629</v>
      </c>
      <c r="D236" s="106">
        <v>54000</v>
      </c>
      <c r="E236" s="107"/>
      <c r="F236" s="108" t="s">
        <v>10</v>
      </c>
      <c r="G236" s="109"/>
    </row>
    <row r="237" spans="1:7" ht="22.5" customHeight="1">
      <c r="A237" s="104">
        <v>45930</v>
      </c>
      <c r="B237" s="105" t="s">
        <v>173</v>
      </c>
      <c r="C237" s="6" t="s">
        <v>630</v>
      </c>
      <c r="D237" s="106">
        <v>188550</v>
      </c>
      <c r="E237" s="107"/>
      <c r="F237" s="108" t="s">
        <v>10</v>
      </c>
      <c r="G237" s="109"/>
    </row>
    <row r="238" spans="1:7" ht="22.5" customHeight="1">
      <c r="A238" s="104">
        <v>45930</v>
      </c>
      <c r="B238" s="112" t="s">
        <v>112</v>
      </c>
      <c r="C238" s="6" t="s">
        <v>631</v>
      </c>
      <c r="D238" s="106">
        <v>214100</v>
      </c>
      <c r="E238" s="107"/>
      <c r="F238" s="108" t="s">
        <v>10</v>
      </c>
      <c r="G238" s="109"/>
    </row>
    <row r="239" spans="1:7" ht="22.5" customHeight="1">
      <c r="A239" s="104">
        <v>45930</v>
      </c>
      <c r="B239" s="105" t="s">
        <v>632</v>
      </c>
      <c r="C239" s="6" t="s">
        <v>633</v>
      </c>
      <c r="D239" s="106">
        <v>98000</v>
      </c>
      <c r="E239" s="107"/>
      <c r="F239" s="108" t="s">
        <v>10</v>
      </c>
      <c r="G239" s="109"/>
    </row>
    <row r="240" spans="1:7" ht="22.5" customHeight="1">
      <c r="A240" s="104">
        <v>45930</v>
      </c>
      <c r="B240" s="105" t="s">
        <v>153</v>
      </c>
      <c r="C240" s="6" t="s">
        <v>634</v>
      </c>
      <c r="D240" s="106">
        <v>150300</v>
      </c>
      <c r="E240" s="107"/>
      <c r="F240" s="108" t="s">
        <v>10</v>
      </c>
      <c r="G240" s="109"/>
    </row>
    <row r="241" spans="1:9" ht="22.5" customHeight="1">
      <c r="A241" s="104">
        <v>45930</v>
      </c>
      <c r="B241" s="128" t="s">
        <v>635</v>
      </c>
      <c r="C241" s="6" t="s">
        <v>636</v>
      </c>
      <c r="D241" s="106">
        <v>124200</v>
      </c>
      <c r="E241" s="107"/>
      <c r="F241" s="108" t="s">
        <v>10</v>
      </c>
      <c r="G241" s="109"/>
    </row>
    <row r="242" spans="1:9" ht="22.5" customHeight="1">
      <c r="A242" s="104">
        <v>45930</v>
      </c>
      <c r="B242" s="112" t="s">
        <v>50</v>
      </c>
      <c r="C242" s="6" t="s">
        <v>637</v>
      </c>
      <c r="D242" s="106">
        <v>121100</v>
      </c>
      <c r="E242" s="107"/>
      <c r="F242" s="108" t="s">
        <v>7</v>
      </c>
      <c r="G242" s="109"/>
    </row>
    <row r="243" spans="1:9" ht="22.5" customHeight="1">
      <c r="A243" s="104">
        <v>45930</v>
      </c>
      <c r="B243" s="129" t="s">
        <v>638</v>
      </c>
      <c r="C243" s="6" t="s">
        <v>639</v>
      </c>
      <c r="D243" s="106">
        <v>74100</v>
      </c>
      <c r="E243" s="107"/>
      <c r="F243" s="108" t="s">
        <v>10</v>
      </c>
      <c r="G243" s="109"/>
    </row>
    <row r="244" spans="1:9" ht="22.5" customHeight="1">
      <c r="A244" s="104">
        <v>45930</v>
      </c>
      <c r="B244" s="129" t="s">
        <v>640</v>
      </c>
      <c r="C244" s="6" t="s">
        <v>641</v>
      </c>
      <c r="D244" s="106">
        <v>71500</v>
      </c>
      <c r="E244" s="107"/>
      <c r="F244" s="108" t="s">
        <v>10</v>
      </c>
      <c r="G244" s="109"/>
    </row>
    <row r="245" spans="1:9" ht="25.5" customHeight="1">
      <c r="A245" s="104">
        <v>45930</v>
      </c>
      <c r="B245" s="105" t="s">
        <v>642</v>
      </c>
      <c r="C245" s="6" t="s">
        <v>643</v>
      </c>
      <c r="D245" s="106">
        <v>172800</v>
      </c>
      <c r="E245" s="107"/>
      <c r="F245" s="108" t="s">
        <v>10</v>
      </c>
      <c r="G245" s="109"/>
    </row>
    <row r="246" spans="1:9" ht="22.5" customHeight="1">
      <c r="A246" s="104">
        <v>45930</v>
      </c>
      <c r="B246" s="112" t="s">
        <v>160</v>
      </c>
      <c r="C246" s="6" t="s">
        <v>644</v>
      </c>
      <c r="D246" s="106">
        <v>192000</v>
      </c>
      <c r="E246" s="107"/>
      <c r="F246" s="108" t="s">
        <v>7</v>
      </c>
      <c r="G246" s="109"/>
    </row>
    <row r="247" spans="1:9" ht="22.5" customHeight="1">
      <c r="A247" s="104">
        <v>45930</v>
      </c>
      <c r="B247" s="105" t="s">
        <v>645</v>
      </c>
      <c r="C247" s="6" t="s">
        <v>646</v>
      </c>
      <c r="D247" s="106">
        <v>56000</v>
      </c>
      <c r="E247" s="107"/>
      <c r="F247" s="108" t="s">
        <v>10</v>
      </c>
      <c r="G247" s="109"/>
    </row>
    <row r="248" spans="1:9" ht="21.75" customHeight="1">
      <c r="A248" s="104">
        <v>45930</v>
      </c>
      <c r="B248" s="105" t="s">
        <v>647</v>
      </c>
      <c r="C248" s="6" t="s">
        <v>648</v>
      </c>
      <c r="D248" s="106">
        <v>61500</v>
      </c>
      <c r="E248" s="107"/>
      <c r="F248" s="108" t="s">
        <v>10</v>
      </c>
      <c r="G248" s="109"/>
    </row>
    <row r="249" spans="1:9" ht="22.5" customHeight="1">
      <c r="A249" s="104">
        <v>45930</v>
      </c>
      <c r="B249" s="105" t="s">
        <v>649</v>
      </c>
      <c r="C249" s="6" t="s">
        <v>650</v>
      </c>
      <c r="D249" s="106">
        <v>83960</v>
      </c>
      <c r="E249" s="107"/>
      <c r="F249" s="108" t="s">
        <v>10</v>
      </c>
      <c r="G249" s="109"/>
    </row>
    <row r="250" spans="1:9" ht="22.5" customHeight="1">
      <c r="A250" s="104">
        <v>45930</v>
      </c>
      <c r="B250" s="105" t="s">
        <v>651</v>
      </c>
      <c r="C250" s="6" t="s">
        <v>652</v>
      </c>
      <c r="D250" s="106">
        <v>71500</v>
      </c>
      <c r="E250" s="107"/>
      <c r="F250" s="108" t="s">
        <v>10</v>
      </c>
      <c r="G250" s="109"/>
    </row>
    <row r="251" spans="1:9" ht="22.5" customHeight="1">
      <c r="A251" s="104">
        <v>45930</v>
      </c>
      <c r="B251" s="112" t="s">
        <v>653</v>
      </c>
      <c r="C251" s="6" t="s">
        <v>654</v>
      </c>
      <c r="D251" s="106">
        <v>130500</v>
      </c>
      <c r="E251" s="107"/>
      <c r="F251" s="108" t="s">
        <v>10</v>
      </c>
      <c r="G251" s="109"/>
    </row>
    <row r="252" spans="1:9" ht="22.5" customHeight="1">
      <c r="A252" s="104">
        <v>45930</v>
      </c>
      <c r="B252" s="105" t="s">
        <v>655</v>
      </c>
      <c r="C252" s="6" t="s">
        <v>656</v>
      </c>
      <c r="D252" s="106">
        <v>261290</v>
      </c>
      <c r="E252" s="107"/>
      <c r="F252" s="111" t="s">
        <v>16</v>
      </c>
      <c r="G252" s="114"/>
    </row>
    <row r="253" spans="1:9" ht="22.5" customHeight="1">
      <c r="A253" s="104">
        <v>45930</v>
      </c>
      <c r="B253" s="105" t="s">
        <v>657</v>
      </c>
      <c r="C253" s="6" t="s">
        <v>658</v>
      </c>
      <c r="D253" s="106">
        <v>152370</v>
      </c>
      <c r="E253" s="107"/>
      <c r="F253" s="108" t="s">
        <v>10</v>
      </c>
      <c r="G253" s="109"/>
      <c r="I253" s="130"/>
    </row>
    <row r="254" spans="1:9" ht="22.5" customHeight="1">
      <c r="A254" s="104">
        <v>45930</v>
      </c>
      <c r="B254" s="105" t="s">
        <v>659</v>
      </c>
      <c r="C254" s="6" t="s">
        <v>660</v>
      </c>
      <c r="D254" s="106">
        <v>125730</v>
      </c>
      <c r="E254" s="107"/>
      <c r="F254" s="108" t="s">
        <v>10</v>
      </c>
      <c r="G254" s="109"/>
    </row>
    <row r="255" spans="1:9" ht="22.5" customHeight="1">
      <c r="A255" s="125">
        <v>45930</v>
      </c>
      <c r="B255" s="10" t="s">
        <v>102</v>
      </c>
      <c r="C255" s="14" t="s">
        <v>661</v>
      </c>
      <c r="D255" s="116">
        <v>126000</v>
      </c>
      <c r="E255" s="117"/>
      <c r="F255" s="131" t="s">
        <v>7</v>
      </c>
      <c r="G255" s="132"/>
    </row>
    <row r="256" spans="1:9" ht="22.5" customHeight="1">
      <c r="A256" s="125">
        <v>45930</v>
      </c>
      <c r="B256" s="10" t="s">
        <v>662</v>
      </c>
      <c r="C256" s="6" t="s">
        <v>663</v>
      </c>
      <c r="D256" s="116">
        <v>201500</v>
      </c>
      <c r="E256" s="117"/>
      <c r="F256" s="131" t="s">
        <v>10</v>
      </c>
      <c r="G256" s="132"/>
    </row>
    <row r="257" spans="1:7" ht="22.5" customHeight="1">
      <c r="A257" s="125">
        <v>45930</v>
      </c>
      <c r="B257" s="133" t="s">
        <v>664</v>
      </c>
      <c r="C257" s="6" t="s">
        <v>665</v>
      </c>
      <c r="D257" s="116">
        <v>171000</v>
      </c>
      <c r="E257" s="117"/>
      <c r="F257" s="131" t="s">
        <v>10</v>
      </c>
      <c r="G257" s="132"/>
    </row>
    <row r="258" spans="1:7" ht="22.5" customHeight="1">
      <c r="A258" s="125">
        <v>45930</v>
      </c>
      <c r="B258" s="5" t="s">
        <v>666</v>
      </c>
      <c r="C258" s="14" t="s">
        <v>667</v>
      </c>
      <c r="D258" s="116">
        <v>93500</v>
      </c>
      <c r="E258" s="117"/>
      <c r="F258" s="131" t="s">
        <v>10</v>
      </c>
      <c r="G258" s="132"/>
    </row>
    <row r="259" spans="1:7" ht="22.5" customHeight="1">
      <c r="A259" s="125"/>
      <c r="B259" s="131"/>
      <c r="C259" s="131"/>
      <c r="D259" s="116"/>
      <c r="E259" s="117"/>
      <c r="F259" s="131"/>
      <c r="G259" s="132"/>
    </row>
    <row r="260" spans="1:7" ht="22.5" customHeight="1">
      <c r="A260" s="125"/>
      <c r="B260" s="131"/>
      <c r="C260" s="131"/>
      <c r="D260" s="116"/>
      <c r="E260" s="117"/>
      <c r="F260" s="131"/>
      <c r="G260" s="132"/>
    </row>
    <row r="261" spans="1:7" ht="22.5" customHeight="1">
      <c r="A261" s="125"/>
      <c r="B261" s="131"/>
      <c r="C261" s="131"/>
      <c r="D261" s="116"/>
      <c r="E261" s="117"/>
      <c r="F261" s="131"/>
      <c r="G261" s="132"/>
    </row>
    <row r="262" spans="1:7" ht="22.5" customHeight="1">
      <c r="A262" s="125"/>
      <c r="B262" s="131"/>
      <c r="C262" s="131"/>
      <c r="D262" s="116"/>
      <c r="E262" s="117"/>
      <c r="F262" s="131"/>
      <c r="G262" s="132"/>
    </row>
    <row r="263" spans="1:7" ht="22.5" customHeight="1">
      <c r="A263" s="125"/>
      <c r="B263" s="131"/>
      <c r="C263" s="131"/>
      <c r="D263" s="116"/>
      <c r="E263" s="117"/>
      <c r="F263" s="131"/>
      <c r="G263" s="132"/>
    </row>
    <row r="264" spans="1:7" ht="22.5" customHeight="1">
      <c r="A264" s="125"/>
      <c r="B264" s="131"/>
      <c r="C264" s="131"/>
      <c r="D264" s="116"/>
      <c r="E264" s="117"/>
      <c r="F264" s="131"/>
      <c r="G264" s="132"/>
    </row>
    <row r="265" spans="1:7" ht="22.5" customHeight="1">
      <c r="A265" s="125"/>
      <c r="B265" s="131"/>
      <c r="C265" s="131"/>
      <c r="D265" s="116"/>
      <c r="E265" s="117"/>
      <c r="F265" s="131"/>
      <c r="G265" s="132"/>
    </row>
    <row r="266" spans="1:7" ht="22.5" customHeight="1">
      <c r="A266" s="125"/>
      <c r="B266" s="131"/>
      <c r="C266" s="131"/>
      <c r="D266" s="116"/>
      <c r="E266" s="117"/>
      <c r="F266" s="131"/>
      <c r="G266" s="132"/>
    </row>
    <row r="267" spans="1:7" ht="22.5" customHeight="1">
      <c r="A267" s="125"/>
      <c r="B267" s="131"/>
      <c r="C267" s="131"/>
      <c r="D267" s="116"/>
      <c r="E267" s="117"/>
      <c r="F267" s="131"/>
      <c r="G267" s="132"/>
    </row>
    <row r="268" spans="1:7" ht="22.5" customHeight="1">
      <c r="A268" s="125"/>
      <c r="B268" s="131"/>
      <c r="C268" s="131"/>
      <c r="D268" s="116"/>
      <c r="E268" s="117"/>
      <c r="F268" s="131"/>
      <c r="G268" s="132"/>
    </row>
    <row r="269" spans="1:7" ht="22.5" customHeight="1">
      <c r="A269" s="125"/>
      <c r="B269" s="131"/>
      <c r="C269" s="131"/>
      <c r="D269" s="116"/>
      <c r="E269" s="117"/>
      <c r="F269" s="131"/>
      <c r="G269" s="132"/>
    </row>
    <row r="270" spans="1:7" ht="22.5" customHeight="1">
      <c r="A270" s="4"/>
      <c r="B270" s="9"/>
      <c r="C270" s="9"/>
      <c r="D270" s="7"/>
      <c r="E270" s="8"/>
      <c r="F270" s="9"/>
      <c r="G270" s="18"/>
    </row>
    <row r="271" spans="1:7" ht="22.5" customHeight="1">
      <c r="A271" s="4"/>
      <c r="B271" s="9"/>
      <c r="C271" s="9"/>
      <c r="D271" s="7"/>
      <c r="E271" s="8"/>
      <c r="F271" s="9"/>
      <c r="G271" s="18"/>
    </row>
    <row r="272" spans="1:7" ht="22.5" customHeight="1">
      <c r="A272" s="4"/>
      <c r="B272" s="9"/>
      <c r="C272" s="9"/>
      <c r="D272" s="7"/>
      <c r="E272" s="8"/>
      <c r="F272" s="9"/>
      <c r="G272" s="18"/>
    </row>
    <row r="273" spans="1:7" ht="22.5" customHeight="1">
      <c r="A273" s="4"/>
      <c r="B273" s="9"/>
      <c r="C273" s="9"/>
      <c r="D273" s="7"/>
      <c r="E273" s="8"/>
      <c r="F273" s="9"/>
      <c r="G273" s="18"/>
    </row>
    <row r="274" spans="1:7" ht="22.5" customHeight="1">
      <c r="A274" s="4"/>
      <c r="B274" s="9"/>
      <c r="C274" s="9"/>
      <c r="D274" s="7"/>
      <c r="E274" s="8"/>
      <c r="F274" s="9"/>
      <c r="G274" s="18"/>
    </row>
    <row r="275" spans="1:7" ht="22.5" customHeight="1">
      <c r="A275" s="4"/>
      <c r="B275" s="9"/>
      <c r="C275" s="9"/>
      <c r="D275" s="7"/>
      <c r="E275" s="8"/>
      <c r="F275" s="9"/>
      <c r="G275" s="18"/>
    </row>
    <row r="276" spans="1:7" ht="22.5" customHeight="1">
      <c r="A276" s="4"/>
      <c r="B276" s="9"/>
      <c r="C276" s="9"/>
      <c r="D276" s="7"/>
      <c r="E276" s="8"/>
      <c r="F276" s="9"/>
      <c r="G276" s="18"/>
    </row>
    <row r="277" spans="1:7" ht="22.5" customHeight="1">
      <c r="A277" s="4"/>
      <c r="B277" s="9"/>
      <c r="C277" s="9"/>
      <c r="D277" s="7"/>
      <c r="E277" s="8"/>
      <c r="F277" s="9"/>
      <c r="G277" s="18"/>
    </row>
    <row r="278" spans="1:7" ht="22.5" customHeight="1">
      <c r="A278" s="4"/>
      <c r="B278" s="9"/>
      <c r="C278" s="9"/>
      <c r="D278" s="7"/>
      <c r="E278" s="8"/>
      <c r="F278" s="9"/>
      <c r="G278" s="18"/>
    </row>
    <row r="279" spans="1:7" ht="22.5" customHeight="1">
      <c r="A279" s="4"/>
      <c r="B279" s="9"/>
      <c r="C279" s="9"/>
      <c r="D279" s="7"/>
      <c r="E279" s="8"/>
      <c r="F279" s="9"/>
      <c r="G279" s="18"/>
    </row>
    <row r="280" spans="1:7" ht="22.5" customHeight="1">
      <c r="A280" s="4"/>
      <c r="B280" s="9"/>
      <c r="C280" s="9"/>
      <c r="D280" s="7"/>
      <c r="E280" s="8"/>
      <c r="F280" s="9"/>
      <c r="G280" s="18"/>
    </row>
    <row r="281" spans="1:7" ht="22.5" customHeight="1">
      <c r="A281" s="4"/>
      <c r="B281" s="9"/>
      <c r="C281" s="9"/>
      <c r="D281" s="7"/>
      <c r="E281" s="8"/>
      <c r="F281" s="9"/>
      <c r="G281" s="18"/>
    </row>
    <row r="282" spans="1:7" ht="22.5" customHeight="1">
      <c r="A282" s="4"/>
      <c r="B282" s="9"/>
      <c r="C282" s="9"/>
      <c r="D282" s="7"/>
      <c r="E282" s="8"/>
      <c r="F282" s="9"/>
      <c r="G282" s="18"/>
    </row>
    <row r="283" spans="1:7" ht="22.5" customHeight="1">
      <c r="A283" s="4"/>
      <c r="B283" s="9"/>
      <c r="C283" s="9"/>
      <c r="D283" s="7"/>
      <c r="E283" s="8"/>
      <c r="F283" s="9"/>
      <c r="G283" s="18"/>
    </row>
    <row r="284" spans="1:7" ht="22.5" customHeight="1">
      <c r="A284" s="4"/>
      <c r="B284" s="9"/>
      <c r="C284" s="9"/>
      <c r="D284" s="7"/>
      <c r="E284" s="8"/>
      <c r="F284" s="9"/>
      <c r="G284" s="18"/>
    </row>
    <row r="285" spans="1:7" ht="22.5" customHeight="1">
      <c r="A285" s="4"/>
      <c r="B285" s="9"/>
      <c r="C285" s="9"/>
      <c r="D285" s="7"/>
      <c r="E285" s="8"/>
      <c r="F285" s="9"/>
      <c r="G285" s="18"/>
    </row>
    <row r="286" spans="1:7" ht="22.5" customHeight="1">
      <c r="A286" s="4"/>
      <c r="B286" s="9"/>
      <c r="C286" s="9"/>
      <c r="D286" s="7"/>
      <c r="E286" s="8"/>
      <c r="F286" s="9"/>
      <c r="G286" s="18"/>
    </row>
    <row r="287" spans="1:7" ht="22.5" customHeight="1">
      <c r="A287" s="4"/>
      <c r="B287" s="9"/>
      <c r="C287" s="9"/>
      <c r="D287" s="7"/>
      <c r="E287" s="8"/>
      <c r="F287" s="9"/>
      <c r="G287" s="18"/>
    </row>
    <row r="288" spans="1:7" ht="22.5" customHeight="1">
      <c r="A288" s="4"/>
      <c r="B288" s="9"/>
      <c r="C288" s="9"/>
      <c r="D288" s="7"/>
      <c r="E288" s="8"/>
      <c r="F288" s="9"/>
      <c r="G288" s="18"/>
    </row>
    <row r="289" spans="1:7" ht="22.5" customHeight="1">
      <c r="A289" s="4"/>
      <c r="B289" s="9"/>
      <c r="C289" s="9"/>
      <c r="D289" s="7"/>
      <c r="E289" s="8"/>
      <c r="F289" s="9"/>
      <c r="G289" s="18"/>
    </row>
    <row r="290" spans="1:7" ht="22.5" customHeight="1">
      <c r="A290" s="4"/>
      <c r="B290" s="9"/>
      <c r="C290" s="9"/>
      <c r="D290" s="7"/>
      <c r="E290" s="8"/>
      <c r="F290" s="9"/>
      <c r="G290" s="18"/>
    </row>
    <row r="291" spans="1:7" ht="22.5" customHeight="1">
      <c r="A291" s="4"/>
      <c r="B291" s="9"/>
      <c r="C291" s="9"/>
      <c r="D291" s="7"/>
      <c r="E291" s="8"/>
      <c r="F291" s="9"/>
      <c r="G291" s="18"/>
    </row>
    <row r="292" spans="1:7" ht="22.5" customHeight="1">
      <c r="A292" s="4"/>
      <c r="B292" s="9"/>
      <c r="C292" s="9"/>
      <c r="D292" s="7"/>
      <c r="E292" s="8"/>
      <c r="F292" s="9"/>
      <c r="G292" s="18"/>
    </row>
    <row r="293" spans="1:7" ht="22.5" customHeight="1">
      <c r="A293" s="4"/>
      <c r="B293" s="9"/>
      <c r="C293" s="9"/>
      <c r="D293" s="7"/>
      <c r="E293" s="8"/>
      <c r="F293" s="9"/>
      <c r="G293" s="18"/>
    </row>
    <row r="294" spans="1:7" ht="22.5" customHeight="1">
      <c r="A294" s="4"/>
      <c r="B294" s="9"/>
      <c r="C294" s="9"/>
      <c r="D294" s="7"/>
      <c r="E294" s="8"/>
      <c r="F294" s="9"/>
      <c r="G294" s="18"/>
    </row>
    <row r="295" spans="1:7" ht="22.5" customHeight="1">
      <c r="A295" s="4"/>
      <c r="B295" s="9"/>
      <c r="C295" s="9"/>
      <c r="D295" s="7"/>
      <c r="E295" s="8"/>
      <c r="F295" s="9"/>
      <c r="G295" s="18"/>
    </row>
    <row r="296" spans="1:7" ht="22.5" customHeight="1">
      <c r="A296" s="4"/>
      <c r="B296" s="9"/>
      <c r="C296" s="9"/>
      <c r="D296" s="7"/>
      <c r="E296" s="8"/>
      <c r="F296" s="9"/>
      <c r="G296" s="18"/>
    </row>
    <row r="297" spans="1:7" ht="22.5" customHeight="1">
      <c r="A297" s="4"/>
      <c r="B297" s="9"/>
      <c r="C297" s="9"/>
      <c r="D297" s="7"/>
      <c r="E297" s="8"/>
      <c r="F297" s="9"/>
      <c r="G297" s="18"/>
    </row>
    <row r="298" spans="1:7" ht="22.5" customHeight="1">
      <c r="A298" s="4"/>
      <c r="B298" s="9"/>
      <c r="C298" s="9"/>
      <c r="D298" s="7"/>
      <c r="E298" s="8"/>
      <c r="F298" s="9"/>
      <c r="G298" s="18"/>
    </row>
    <row r="299" spans="1:7" ht="22.5" customHeight="1">
      <c r="A299" s="4"/>
      <c r="B299" s="9"/>
      <c r="C299" s="9"/>
      <c r="D299" s="7"/>
      <c r="E299" s="8"/>
      <c r="F299" s="9"/>
      <c r="G299" s="18"/>
    </row>
    <row r="300" spans="1:7" ht="22.5" customHeight="1">
      <c r="A300" s="4"/>
      <c r="B300" s="9"/>
      <c r="C300" s="9"/>
      <c r="D300" s="7"/>
      <c r="E300" s="8"/>
      <c r="F300" s="9"/>
      <c r="G300" s="18"/>
    </row>
    <row r="301" spans="1:7" ht="22.5" customHeight="1">
      <c r="A301" s="4"/>
      <c r="B301" s="9"/>
      <c r="C301" s="9"/>
      <c r="D301" s="7"/>
      <c r="E301" s="8"/>
      <c r="F301" s="9"/>
      <c r="G301" s="18"/>
    </row>
    <row r="302" spans="1:7" ht="22.5" customHeight="1">
      <c r="A302" s="4"/>
      <c r="B302" s="9"/>
      <c r="C302" s="9"/>
      <c r="D302" s="7"/>
      <c r="E302" s="8"/>
      <c r="F302" s="9"/>
      <c r="G302" s="18"/>
    </row>
    <row r="303" spans="1:7" ht="22.5" customHeight="1">
      <c r="A303" s="4"/>
      <c r="B303" s="9"/>
      <c r="C303" s="9"/>
      <c r="D303" s="7"/>
      <c r="E303" s="8"/>
      <c r="F303" s="9"/>
      <c r="G303" s="18"/>
    </row>
    <row r="304" spans="1:7" ht="22.5" customHeight="1">
      <c r="A304" s="4"/>
      <c r="B304" s="9"/>
      <c r="C304" s="9"/>
      <c r="D304" s="7"/>
      <c r="E304" s="8"/>
      <c r="F304" s="9"/>
      <c r="G304" s="18"/>
    </row>
    <row r="305" spans="1:7" ht="22.5" customHeight="1">
      <c r="A305" s="4"/>
      <c r="B305" s="9"/>
      <c r="C305" s="9"/>
      <c r="D305" s="7"/>
      <c r="E305" s="8"/>
      <c r="F305" s="9"/>
      <c r="G305" s="18"/>
    </row>
    <row r="306" spans="1:7" ht="22.5" customHeight="1">
      <c r="A306" s="4"/>
      <c r="B306" s="9"/>
      <c r="C306" s="9"/>
      <c r="D306" s="7"/>
      <c r="E306" s="8"/>
      <c r="F306" s="9"/>
      <c r="G306" s="18"/>
    </row>
    <row r="307" spans="1:7" ht="22.5" customHeight="1">
      <c r="A307" s="4"/>
      <c r="B307" s="9"/>
      <c r="C307" s="9"/>
      <c r="D307" s="7"/>
      <c r="E307" s="8"/>
      <c r="F307" s="9"/>
      <c r="G307" s="18"/>
    </row>
    <row r="308" spans="1:7" ht="22.5" customHeight="1">
      <c r="A308" s="4"/>
      <c r="B308" s="9"/>
      <c r="C308" s="9"/>
      <c r="D308" s="7"/>
      <c r="E308" s="8"/>
      <c r="F308" s="9"/>
      <c r="G308" s="18"/>
    </row>
    <row r="309" spans="1:7" ht="22.5" customHeight="1">
      <c r="A309" s="4"/>
      <c r="B309" s="9"/>
      <c r="C309" s="9"/>
      <c r="D309" s="7"/>
      <c r="E309" s="8"/>
      <c r="F309" s="9"/>
      <c r="G309" s="18"/>
    </row>
    <row r="310" spans="1:7" ht="22.5" customHeight="1">
      <c r="A310" s="4"/>
      <c r="B310" s="9"/>
      <c r="C310" s="9"/>
      <c r="D310" s="7"/>
      <c r="E310" s="8"/>
      <c r="F310" s="9"/>
      <c r="G310" s="18"/>
    </row>
    <row r="311" spans="1:7" ht="22.5" customHeight="1">
      <c r="A311" s="4"/>
      <c r="B311" s="9"/>
      <c r="C311" s="9"/>
      <c r="D311" s="7"/>
      <c r="E311" s="8"/>
      <c r="F311" s="9"/>
      <c r="G311" s="18"/>
    </row>
    <row r="312" spans="1:7" ht="22.5" customHeight="1">
      <c r="A312" s="4"/>
      <c r="B312" s="9"/>
      <c r="C312" s="9"/>
      <c r="D312" s="7"/>
      <c r="E312" s="8"/>
      <c r="F312" s="9"/>
      <c r="G312" s="18"/>
    </row>
    <row r="313" spans="1:7" ht="22.5" customHeight="1">
      <c r="A313" s="4"/>
      <c r="B313" s="9"/>
      <c r="C313" s="9"/>
      <c r="D313" s="7"/>
      <c r="E313" s="8"/>
      <c r="F313" s="9"/>
      <c r="G313" s="18"/>
    </row>
    <row r="314" spans="1:7" ht="22.5" customHeight="1">
      <c r="A314" s="4"/>
      <c r="B314" s="9"/>
      <c r="C314" s="9"/>
      <c r="D314" s="7"/>
      <c r="E314" s="8"/>
      <c r="F314" s="9"/>
      <c r="G314" s="18"/>
    </row>
    <row r="315" spans="1:7" ht="22.5" customHeight="1">
      <c r="A315" s="4"/>
      <c r="B315" s="9"/>
      <c r="C315" s="9"/>
      <c r="D315" s="7"/>
      <c r="E315" s="8"/>
      <c r="F315" s="9"/>
      <c r="G315" s="18"/>
    </row>
    <row r="316" spans="1:7" ht="22.5" customHeight="1">
      <c r="A316" s="4"/>
      <c r="B316" s="9"/>
      <c r="C316" s="9"/>
      <c r="D316" s="7"/>
      <c r="E316" s="8"/>
      <c r="F316" s="9"/>
      <c r="G316" s="18"/>
    </row>
    <row r="317" spans="1:7" ht="22.5" customHeight="1">
      <c r="A317" s="4"/>
      <c r="B317" s="9"/>
      <c r="C317" s="9"/>
      <c r="D317" s="7"/>
      <c r="E317" s="8"/>
      <c r="F317" s="9"/>
      <c r="G317" s="18"/>
    </row>
    <row r="318" spans="1:7" ht="22.5" customHeight="1">
      <c r="A318" s="4"/>
      <c r="B318" s="9"/>
      <c r="C318" s="9"/>
      <c r="D318" s="7"/>
      <c r="E318" s="8"/>
      <c r="F318" s="9"/>
      <c r="G318" s="18"/>
    </row>
    <row r="319" spans="1:7" ht="22.5" customHeight="1">
      <c r="A319" s="4"/>
      <c r="B319" s="9"/>
      <c r="C319" s="9"/>
      <c r="D319" s="7"/>
      <c r="E319" s="8"/>
      <c r="F319" s="9"/>
      <c r="G319" s="18"/>
    </row>
    <row r="320" spans="1:7" ht="22.5" customHeight="1">
      <c r="A320" s="4"/>
      <c r="B320" s="9"/>
      <c r="C320" s="9"/>
      <c r="D320" s="7"/>
      <c r="E320" s="8"/>
      <c r="F320" s="9"/>
      <c r="G320" s="18"/>
    </row>
    <row r="321" spans="1:7" ht="22.5" customHeight="1">
      <c r="A321" s="4"/>
      <c r="B321" s="9"/>
      <c r="C321" s="9"/>
      <c r="D321" s="7"/>
      <c r="E321" s="8"/>
      <c r="F321" s="9"/>
      <c r="G321" s="18"/>
    </row>
    <row r="322" spans="1:7" ht="22.5" customHeight="1">
      <c r="A322" s="4"/>
      <c r="B322" s="9"/>
      <c r="C322" s="9"/>
      <c r="D322" s="7"/>
      <c r="E322" s="8"/>
      <c r="F322" s="9"/>
      <c r="G322" s="18"/>
    </row>
    <row r="323" spans="1:7" ht="22.5" customHeight="1">
      <c r="A323" s="4"/>
      <c r="B323" s="9"/>
      <c r="C323" s="9"/>
      <c r="D323" s="7"/>
      <c r="E323" s="8"/>
      <c r="F323" s="9"/>
      <c r="G323" s="18"/>
    </row>
    <row r="324" spans="1:7" ht="22.5" customHeight="1">
      <c r="A324" s="4"/>
      <c r="B324" s="9"/>
      <c r="C324" s="9"/>
      <c r="D324" s="7"/>
      <c r="E324" s="8"/>
      <c r="F324" s="9"/>
      <c r="G324" s="18"/>
    </row>
    <row r="325" spans="1:7" ht="22.5" customHeight="1">
      <c r="A325" s="4"/>
      <c r="B325" s="9"/>
      <c r="C325" s="9"/>
      <c r="D325" s="7"/>
      <c r="E325" s="8"/>
      <c r="F325" s="9"/>
      <c r="G325" s="18"/>
    </row>
    <row r="326" spans="1:7" ht="22.5" customHeight="1">
      <c r="A326" s="4"/>
      <c r="B326" s="9"/>
      <c r="C326" s="9"/>
      <c r="D326" s="7"/>
      <c r="E326" s="8"/>
      <c r="F326" s="9"/>
      <c r="G326" s="18"/>
    </row>
    <row r="327" spans="1:7" ht="22.5" customHeight="1">
      <c r="A327" s="4"/>
      <c r="B327" s="9"/>
      <c r="C327" s="9"/>
      <c r="D327" s="7"/>
      <c r="E327" s="8"/>
      <c r="F327" s="9"/>
      <c r="G327" s="18"/>
    </row>
    <row r="328" spans="1:7" ht="22.5" customHeight="1">
      <c r="A328" s="4"/>
      <c r="B328" s="9"/>
      <c r="C328" s="9"/>
      <c r="D328" s="7"/>
      <c r="E328" s="8"/>
      <c r="F328" s="9"/>
      <c r="G328" s="18"/>
    </row>
    <row r="329" spans="1:7" ht="22.5" customHeight="1">
      <c r="A329" s="4"/>
      <c r="B329" s="9"/>
      <c r="C329" s="9"/>
      <c r="D329" s="7"/>
      <c r="E329" s="8"/>
      <c r="F329" s="9"/>
      <c r="G329" s="18"/>
    </row>
    <row r="330" spans="1:7" ht="22.5" customHeight="1">
      <c r="A330" s="4"/>
      <c r="B330" s="9"/>
      <c r="C330" s="9"/>
      <c r="D330" s="7"/>
      <c r="E330" s="8"/>
      <c r="F330" s="9"/>
      <c r="G330" s="18"/>
    </row>
    <row r="331" spans="1:7" ht="22.5" customHeight="1">
      <c r="A331" s="4"/>
      <c r="B331" s="9"/>
      <c r="C331" s="9"/>
      <c r="D331" s="7"/>
      <c r="E331" s="8"/>
      <c r="F331" s="9"/>
      <c r="G331" s="18"/>
    </row>
    <row r="332" spans="1:7" ht="22.5" customHeight="1">
      <c r="A332" s="4"/>
      <c r="B332" s="9"/>
      <c r="C332" s="9"/>
      <c r="D332" s="7"/>
      <c r="E332" s="8"/>
      <c r="F332" s="9"/>
      <c r="G332" s="18"/>
    </row>
    <row r="333" spans="1:7" ht="22.5" customHeight="1">
      <c r="A333" s="4"/>
      <c r="B333" s="9"/>
      <c r="C333" s="9"/>
      <c r="D333" s="7"/>
      <c r="E333" s="8"/>
      <c r="F333" s="9"/>
      <c r="G333" s="18"/>
    </row>
    <row r="334" spans="1:7" ht="22.5" customHeight="1">
      <c r="A334" s="4"/>
      <c r="B334" s="9"/>
      <c r="C334" s="9"/>
      <c r="D334" s="7"/>
      <c r="E334" s="8"/>
      <c r="F334" s="9"/>
      <c r="G334" s="18"/>
    </row>
    <row r="335" spans="1:7" ht="22.5" customHeight="1">
      <c r="A335" s="4"/>
      <c r="B335" s="9"/>
      <c r="C335" s="9"/>
      <c r="D335" s="7"/>
      <c r="E335" s="8"/>
      <c r="F335" s="9"/>
      <c r="G335" s="18"/>
    </row>
    <row r="336" spans="1:7" ht="22.5" customHeight="1">
      <c r="A336" s="4"/>
      <c r="B336" s="9"/>
      <c r="C336" s="9"/>
      <c r="D336" s="7"/>
      <c r="E336" s="8"/>
      <c r="F336" s="9"/>
      <c r="G336" s="18"/>
    </row>
    <row r="337" spans="1:7" ht="22.5" customHeight="1">
      <c r="A337" s="4"/>
      <c r="B337" s="9"/>
      <c r="C337" s="9"/>
      <c r="D337" s="7"/>
      <c r="E337" s="8"/>
      <c r="F337" s="9"/>
      <c r="G337" s="18"/>
    </row>
    <row r="338" spans="1:7" ht="22.5" customHeight="1">
      <c r="A338" s="4"/>
      <c r="B338" s="9"/>
      <c r="C338" s="9"/>
      <c r="D338" s="7"/>
      <c r="E338" s="8"/>
      <c r="F338" s="9"/>
      <c r="G338" s="18"/>
    </row>
    <row r="339" spans="1:7" ht="22.5" customHeight="1">
      <c r="A339" s="4"/>
      <c r="B339" s="9"/>
      <c r="C339" s="9"/>
      <c r="D339" s="7"/>
      <c r="E339" s="8"/>
      <c r="F339" s="9"/>
      <c r="G339" s="18"/>
    </row>
    <row r="340" spans="1:7" ht="22.5" customHeight="1">
      <c r="A340" s="4"/>
      <c r="B340" s="9"/>
      <c r="C340" s="9"/>
      <c r="D340" s="7"/>
      <c r="E340" s="8"/>
      <c r="F340" s="9"/>
      <c r="G340" s="18"/>
    </row>
    <row r="341" spans="1:7" ht="22.5" customHeight="1">
      <c r="A341" s="4"/>
      <c r="B341" s="9"/>
      <c r="C341" s="9"/>
      <c r="D341" s="7"/>
      <c r="E341" s="8"/>
      <c r="F341" s="9"/>
      <c r="G341" s="18"/>
    </row>
    <row r="342" spans="1:7" ht="22.5" customHeight="1">
      <c r="A342" s="4"/>
      <c r="B342" s="9"/>
      <c r="C342" s="9"/>
      <c r="D342" s="7"/>
      <c r="E342" s="8"/>
      <c r="F342" s="9"/>
      <c r="G342" s="18"/>
    </row>
    <row r="343" spans="1:7" ht="22.5" customHeight="1">
      <c r="A343" s="4"/>
      <c r="B343" s="9"/>
      <c r="C343" s="9"/>
      <c r="D343" s="7"/>
      <c r="E343" s="8"/>
      <c r="F343" s="9"/>
      <c r="G343" s="18"/>
    </row>
    <row r="344" spans="1:7" ht="22.5" customHeight="1">
      <c r="A344" s="4"/>
      <c r="B344" s="9"/>
      <c r="C344" s="9"/>
      <c r="D344" s="7"/>
      <c r="E344" s="8"/>
      <c r="F344" s="9"/>
      <c r="G344" s="18"/>
    </row>
    <row r="345" spans="1:7" ht="22.5" customHeight="1">
      <c r="A345" s="4"/>
      <c r="B345" s="9"/>
      <c r="C345" s="9"/>
      <c r="D345" s="7"/>
      <c r="E345" s="8"/>
      <c r="F345" s="9"/>
      <c r="G345" s="18"/>
    </row>
    <row r="346" spans="1:7" ht="22.5" customHeight="1">
      <c r="A346" s="4"/>
      <c r="B346" s="9"/>
      <c r="C346" s="9"/>
      <c r="D346" s="7"/>
      <c r="E346" s="8"/>
      <c r="F346" s="9"/>
      <c r="G346" s="18"/>
    </row>
    <row r="347" spans="1:7" ht="22.5" customHeight="1">
      <c r="A347" s="4"/>
      <c r="B347" s="9"/>
      <c r="C347" s="9"/>
      <c r="D347" s="7"/>
      <c r="E347" s="8"/>
      <c r="F347" s="9"/>
      <c r="G347" s="18"/>
    </row>
    <row r="348" spans="1:7" ht="22.5" customHeight="1">
      <c r="A348" s="4"/>
      <c r="B348" s="9"/>
      <c r="C348" s="9"/>
      <c r="D348" s="7"/>
      <c r="E348" s="8"/>
      <c r="F348" s="9"/>
      <c r="G348" s="18"/>
    </row>
    <row r="349" spans="1:7" ht="22.5" customHeight="1">
      <c r="A349" s="4"/>
      <c r="B349" s="9"/>
      <c r="C349" s="9"/>
      <c r="D349" s="7"/>
      <c r="E349" s="8"/>
      <c r="F349" s="9"/>
      <c r="G349" s="18"/>
    </row>
    <row r="350" spans="1:7" ht="22.5" customHeight="1">
      <c r="A350" s="4"/>
      <c r="B350" s="9"/>
      <c r="C350" s="9"/>
      <c r="D350" s="7"/>
      <c r="E350" s="8"/>
      <c r="F350" s="9"/>
      <c r="G350" s="18"/>
    </row>
    <row r="351" spans="1:7" ht="22.5" customHeight="1">
      <c r="A351" s="4"/>
      <c r="B351" s="9"/>
      <c r="C351" s="9"/>
      <c r="D351" s="7"/>
      <c r="E351" s="8"/>
      <c r="F351" s="9"/>
      <c r="G351" s="18"/>
    </row>
    <row r="352" spans="1:7" ht="22.5" customHeight="1">
      <c r="A352" s="4"/>
      <c r="B352" s="9"/>
      <c r="C352" s="9"/>
      <c r="D352" s="7"/>
      <c r="E352" s="8"/>
      <c r="F352" s="9"/>
      <c r="G352" s="18"/>
    </row>
    <row r="353" spans="1:7" ht="22.5" customHeight="1">
      <c r="A353" s="4"/>
      <c r="B353" s="9"/>
      <c r="C353" s="9"/>
      <c r="D353" s="7"/>
      <c r="E353" s="8"/>
      <c r="F353" s="9"/>
      <c r="G353" s="18"/>
    </row>
    <row r="354" spans="1:7" ht="22.5" customHeight="1">
      <c r="A354" s="4"/>
      <c r="B354" s="9"/>
      <c r="C354" s="9"/>
      <c r="D354" s="7"/>
      <c r="E354" s="8"/>
      <c r="F354" s="9"/>
      <c r="G354" s="18"/>
    </row>
    <row r="355" spans="1:7" ht="22.5" customHeight="1">
      <c r="A355" s="4"/>
      <c r="B355" s="9"/>
      <c r="C355" s="9"/>
      <c r="D355" s="7"/>
      <c r="E355" s="8"/>
      <c r="F355" s="9"/>
      <c r="G355" s="18"/>
    </row>
    <row r="356" spans="1:7" ht="22.5" customHeight="1">
      <c r="A356" s="4"/>
      <c r="B356" s="9"/>
      <c r="C356" s="9"/>
      <c r="D356" s="7"/>
      <c r="E356" s="8"/>
      <c r="F356" s="9"/>
      <c r="G356" s="18"/>
    </row>
    <row r="357" spans="1:7" ht="22.5" customHeight="1">
      <c r="A357" s="4"/>
      <c r="B357" s="9"/>
      <c r="C357" s="9"/>
      <c r="D357" s="7"/>
      <c r="E357" s="8"/>
      <c r="F357" s="9"/>
      <c r="G357" s="18"/>
    </row>
    <row r="358" spans="1:7" ht="22.5" customHeight="1">
      <c r="A358" s="4"/>
      <c r="B358" s="9"/>
      <c r="C358" s="9"/>
      <c r="D358" s="7"/>
      <c r="E358" s="8"/>
      <c r="F358" s="9"/>
      <c r="G358" s="18"/>
    </row>
    <row r="359" spans="1:7" ht="22.5" customHeight="1">
      <c r="A359" s="4"/>
      <c r="B359" s="9"/>
      <c r="C359" s="9"/>
      <c r="D359" s="7"/>
      <c r="E359" s="8"/>
      <c r="F359" s="9"/>
      <c r="G359" s="18"/>
    </row>
    <row r="360" spans="1:7" ht="22.5" customHeight="1">
      <c r="A360" s="4"/>
      <c r="B360" s="9"/>
      <c r="C360" s="9"/>
      <c r="D360" s="7"/>
      <c r="E360" s="8"/>
      <c r="F360" s="9"/>
      <c r="G360" s="18"/>
    </row>
    <row r="361" spans="1:7" ht="22.5" customHeight="1">
      <c r="A361" s="4"/>
      <c r="B361" s="9"/>
      <c r="C361" s="9"/>
      <c r="D361" s="7"/>
      <c r="E361" s="8"/>
      <c r="F361" s="9"/>
      <c r="G361" s="18"/>
    </row>
    <row r="362" spans="1:7" ht="22.5" customHeight="1">
      <c r="A362" s="4"/>
      <c r="B362" s="9"/>
      <c r="C362" s="9"/>
      <c r="D362" s="7"/>
      <c r="E362" s="8"/>
      <c r="F362" s="9"/>
      <c r="G362" s="18"/>
    </row>
    <row r="363" spans="1:7" ht="22.5" customHeight="1">
      <c r="A363" s="4"/>
      <c r="B363" s="9"/>
      <c r="C363" s="9"/>
      <c r="D363" s="7"/>
      <c r="E363" s="8"/>
      <c r="F363" s="9"/>
      <c r="G363" s="18"/>
    </row>
    <row r="364" spans="1:7" ht="22.5" customHeight="1">
      <c r="A364" s="4"/>
      <c r="B364" s="9"/>
      <c r="C364" s="9"/>
      <c r="D364" s="7"/>
      <c r="E364" s="8"/>
      <c r="F364" s="9"/>
      <c r="G364" s="18"/>
    </row>
    <row r="365" spans="1:7" ht="22.5" customHeight="1">
      <c r="A365" s="4"/>
      <c r="B365" s="9"/>
      <c r="C365" s="9"/>
      <c r="D365" s="7"/>
      <c r="E365" s="8"/>
      <c r="F365" s="9"/>
      <c r="G365" s="18"/>
    </row>
    <row r="366" spans="1:7" ht="22.5" customHeight="1">
      <c r="A366" s="4"/>
      <c r="B366" s="9"/>
      <c r="C366" s="9"/>
      <c r="D366" s="7"/>
      <c r="E366" s="8"/>
      <c r="F366" s="9"/>
      <c r="G366" s="18"/>
    </row>
    <row r="367" spans="1:7" ht="22.5" customHeight="1">
      <c r="A367" s="4"/>
      <c r="B367" s="9"/>
      <c r="C367" s="9"/>
      <c r="D367" s="7"/>
      <c r="E367" s="8"/>
      <c r="F367" s="9"/>
      <c r="G367" s="18"/>
    </row>
    <row r="368" spans="1:7" ht="22.5" customHeight="1">
      <c r="A368" s="4"/>
      <c r="B368" s="9"/>
      <c r="C368" s="9"/>
      <c r="D368" s="7"/>
      <c r="E368" s="8"/>
      <c r="F368" s="9"/>
      <c r="G368" s="18"/>
    </row>
    <row r="369" spans="1:7" ht="22.5" customHeight="1">
      <c r="A369" s="4"/>
      <c r="B369" s="9"/>
      <c r="C369" s="9"/>
      <c r="D369" s="7"/>
      <c r="E369" s="8"/>
      <c r="F369" s="9"/>
      <c r="G369" s="18"/>
    </row>
    <row r="370" spans="1:7" ht="22.5" customHeight="1">
      <c r="A370" s="4"/>
      <c r="B370" s="9"/>
      <c r="C370" s="9"/>
      <c r="D370" s="7"/>
      <c r="E370" s="8"/>
      <c r="F370" s="9"/>
      <c r="G370" s="18"/>
    </row>
    <row r="371" spans="1:7" ht="22.5" customHeight="1">
      <c r="A371" s="4"/>
      <c r="B371" s="9"/>
      <c r="C371" s="9"/>
      <c r="D371" s="7"/>
      <c r="E371" s="8"/>
      <c r="F371" s="9"/>
      <c r="G371" s="18"/>
    </row>
    <row r="372" spans="1:7" ht="22.5" customHeight="1">
      <c r="A372" s="4"/>
      <c r="B372" s="9"/>
      <c r="C372" s="9"/>
      <c r="D372" s="7"/>
      <c r="E372" s="8"/>
      <c r="F372" s="9"/>
      <c r="G372" s="18"/>
    </row>
    <row r="373" spans="1:7" ht="22.5" customHeight="1">
      <c r="A373" s="4"/>
      <c r="B373" s="9"/>
      <c r="C373" s="9"/>
      <c r="D373" s="7"/>
      <c r="E373" s="8"/>
      <c r="F373" s="9"/>
      <c r="G373" s="18"/>
    </row>
    <row r="374" spans="1:7" ht="22.5" customHeight="1">
      <c r="A374" s="4"/>
      <c r="B374" s="9"/>
      <c r="C374" s="9"/>
      <c r="D374" s="7"/>
      <c r="E374" s="8"/>
      <c r="F374" s="9"/>
      <c r="G374" s="18"/>
    </row>
    <row r="375" spans="1:7" ht="22.5" customHeight="1">
      <c r="A375" s="4"/>
      <c r="B375" s="9"/>
      <c r="C375" s="9"/>
      <c r="D375" s="7"/>
      <c r="E375" s="8"/>
      <c r="F375" s="9"/>
      <c r="G375" s="18"/>
    </row>
    <row r="376" spans="1:7" ht="22.5" customHeight="1">
      <c r="A376" s="4"/>
      <c r="B376" s="9"/>
      <c r="C376" s="9"/>
      <c r="D376" s="7"/>
      <c r="E376" s="8"/>
      <c r="F376" s="9"/>
      <c r="G376" s="18"/>
    </row>
    <row r="377" spans="1:7" ht="22.5" customHeight="1">
      <c r="A377" s="4"/>
      <c r="B377" s="9"/>
      <c r="C377" s="9"/>
      <c r="D377" s="7"/>
      <c r="E377" s="8"/>
      <c r="F377" s="9"/>
      <c r="G377" s="18"/>
    </row>
    <row r="378" spans="1:7" ht="22.5" customHeight="1">
      <c r="A378" s="4"/>
      <c r="B378" s="9"/>
      <c r="C378" s="9"/>
      <c r="D378" s="7"/>
      <c r="E378" s="8"/>
      <c r="F378" s="9"/>
      <c r="G378" s="18"/>
    </row>
    <row r="379" spans="1:7" ht="22.5" customHeight="1">
      <c r="A379" s="4"/>
      <c r="B379" s="9"/>
      <c r="C379" s="9"/>
      <c r="D379" s="7"/>
      <c r="E379" s="8"/>
      <c r="F379" s="9"/>
      <c r="G379" s="18"/>
    </row>
    <row r="380" spans="1:7" ht="22.5" customHeight="1">
      <c r="A380" s="4"/>
      <c r="B380" s="9"/>
      <c r="C380" s="9"/>
      <c r="D380" s="7"/>
      <c r="E380" s="8"/>
      <c r="F380" s="9"/>
      <c r="G380" s="18"/>
    </row>
    <row r="381" spans="1:7" ht="22.5" customHeight="1">
      <c r="A381" s="4"/>
      <c r="B381" s="9"/>
      <c r="C381" s="9"/>
      <c r="D381" s="7"/>
      <c r="E381" s="8"/>
      <c r="F381" s="9"/>
      <c r="G381" s="18"/>
    </row>
    <row r="382" spans="1:7" ht="22.5" customHeight="1">
      <c r="A382" s="4"/>
      <c r="B382" s="9"/>
      <c r="C382" s="9"/>
      <c r="D382" s="7"/>
      <c r="E382" s="8"/>
      <c r="F382" s="9"/>
      <c r="G382" s="18"/>
    </row>
    <row r="383" spans="1:7" ht="22.5" customHeight="1">
      <c r="A383" s="4"/>
      <c r="B383" s="9"/>
      <c r="C383" s="9"/>
      <c r="D383" s="7"/>
      <c r="E383" s="8"/>
      <c r="F383" s="9"/>
      <c r="G383" s="18"/>
    </row>
    <row r="384" spans="1:7" ht="22.5" customHeight="1">
      <c r="A384" s="4"/>
      <c r="B384" s="9"/>
      <c r="C384" s="9"/>
      <c r="D384" s="7"/>
      <c r="E384" s="8"/>
      <c r="F384" s="9"/>
      <c r="G384" s="18"/>
    </row>
    <row r="385" spans="1:7" ht="22.5" customHeight="1">
      <c r="A385" s="4"/>
      <c r="B385" s="9"/>
      <c r="C385" s="9"/>
      <c r="D385" s="7"/>
      <c r="E385" s="8"/>
      <c r="F385" s="9"/>
      <c r="G385" s="18"/>
    </row>
    <row r="386" spans="1:7" ht="22.5" customHeight="1">
      <c r="A386" s="4"/>
      <c r="B386" s="9"/>
      <c r="C386" s="9"/>
      <c r="D386" s="7"/>
      <c r="E386" s="8"/>
      <c r="F386" s="9"/>
      <c r="G386" s="18"/>
    </row>
    <row r="387" spans="1:7" ht="22.5" customHeight="1">
      <c r="A387" s="4"/>
      <c r="B387" s="9"/>
      <c r="C387" s="9"/>
      <c r="D387" s="7"/>
      <c r="E387" s="8"/>
      <c r="F387" s="9"/>
      <c r="G387" s="18"/>
    </row>
    <row r="388" spans="1:7" ht="22.5" customHeight="1">
      <c r="A388" s="4"/>
      <c r="B388" s="9"/>
      <c r="C388" s="9"/>
      <c r="D388" s="7"/>
      <c r="E388" s="8"/>
      <c r="F388" s="9"/>
      <c r="G388" s="18"/>
    </row>
    <row r="389" spans="1:7" ht="22.5" customHeight="1">
      <c r="A389" s="4"/>
      <c r="B389" s="9"/>
      <c r="C389" s="9"/>
      <c r="D389" s="7"/>
      <c r="E389" s="8"/>
      <c r="F389" s="9"/>
      <c r="G389" s="18"/>
    </row>
    <row r="390" spans="1:7" ht="22.5" customHeight="1">
      <c r="A390" s="4"/>
      <c r="B390" s="9"/>
      <c r="C390" s="9"/>
      <c r="D390" s="7"/>
      <c r="E390" s="8"/>
      <c r="F390" s="9"/>
      <c r="G390" s="18"/>
    </row>
    <row r="391" spans="1:7" ht="22.5" customHeight="1">
      <c r="A391" s="4"/>
      <c r="B391" s="9"/>
      <c r="C391" s="9"/>
      <c r="D391" s="7"/>
      <c r="E391" s="8"/>
      <c r="F391" s="9"/>
      <c r="G391" s="18"/>
    </row>
    <row r="392" spans="1:7" ht="22.5" customHeight="1">
      <c r="A392" s="4"/>
      <c r="B392" s="9"/>
      <c r="C392" s="9"/>
      <c r="D392" s="7"/>
      <c r="E392" s="8"/>
      <c r="F392" s="9"/>
      <c r="G392" s="18"/>
    </row>
    <row r="393" spans="1:7" ht="22.5" customHeight="1">
      <c r="A393" s="4"/>
      <c r="B393" s="9"/>
      <c r="C393" s="9"/>
      <c r="D393" s="7"/>
      <c r="E393" s="8"/>
      <c r="F393" s="9"/>
      <c r="G393" s="18"/>
    </row>
    <row r="394" spans="1:7" ht="22.5" customHeight="1">
      <c r="A394" s="4"/>
      <c r="B394" s="9"/>
      <c r="C394" s="9"/>
      <c r="D394" s="7"/>
      <c r="E394" s="8"/>
      <c r="F394" s="9"/>
      <c r="G394" s="18"/>
    </row>
    <row r="395" spans="1:7" ht="22.5" customHeight="1">
      <c r="A395" s="4"/>
      <c r="B395" s="9"/>
      <c r="C395" s="9"/>
      <c r="D395" s="7"/>
      <c r="E395" s="8"/>
      <c r="F395" s="9"/>
      <c r="G395" s="18"/>
    </row>
    <row r="396" spans="1:7" ht="22.5" customHeight="1">
      <c r="A396" s="4"/>
      <c r="B396" s="9"/>
      <c r="C396" s="9"/>
      <c r="D396" s="7"/>
      <c r="E396" s="8"/>
      <c r="F396" s="9"/>
      <c r="G396" s="18"/>
    </row>
    <row r="397" spans="1:7" ht="22.5" customHeight="1">
      <c r="A397" s="4"/>
      <c r="B397" s="9"/>
      <c r="C397" s="9"/>
      <c r="D397" s="7"/>
      <c r="E397" s="8"/>
      <c r="F397" s="9"/>
      <c r="G397" s="18"/>
    </row>
    <row r="398" spans="1:7" ht="22.5" customHeight="1">
      <c r="A398" s="4"/>
      <c r="B398" s="9"/>
      <c r="C398" s="9"/>
      <c r="D398" s="7"/>
      <c r="E398" s="8"/>
      <c r="F398" s="9"/>
      <c r="G398" s="18"/>
    </row>
    <row r="399" spans="1:7" ht="22.5" customHeight="1">
      <c r="A399" s="4"/>
      <c r="B399" s="9"/>
      <c r="C399" s="9"/>
      <c r="D399" s="7"/>
      <c r="E399" s="8"/>
      <c r="F399" s="9"/>
      <c r="G399" s="18"/>
    </row>
    <row r="400" spans="1:7" ht="22.5" customHeight="1">
      <c r="A400" s="4"/>
      <c r="B400" s="9"/>
      <c r="C400" s="9"/>
      <c r="D400" s="7"/>
      <c r="E400" s="8"/>
      <c r="F400" s="9"/>
      <c r="G400" s="18"/>
    </row>
    <row r="401" spans="1:7" ht="22.5" customHeight="1">
      <c r="A401" s="4"/>
      <c r="B401" s="9"/>
      <c r="C401" s="9"/>
      <c r="D401" s="7"/>
      <c r="E401" s="8"/>
      <c r="F401" s="9"/>
      <c r="G401" s="18"/>
    </row>
    <row r="402" spans="1:7" ht="22.5" customHeight="1">
      <c r="A402" s="4"/>
      <c r="B402" s="9"/>
      <c r="C402" s="9"/>
      <c r="D402" s="7"/>
      <c r="E402" s="8"/>
      <c r="F402" s="9"/>
      <c r="G402" s="18"/>
    </row>
    <row r="403" spans="1:7" ht="22.5" customHeight="1">
      <c r="A403" s="4"/>
      <c r="B403" s="9"/>
      <c r="C403" s="9"/>
      <c r="D403" s="7"/>
      <c r="E403" s="8"/>
      <c r="F403" s="9"/>
      <c r="G403" s="18"/>
    </row>
    <row r="404" spans="1:7" ht="22.5" customHeight="1">
      <c r="A404" s="4"/>
      <c r="B404" s="9"/>
      <c r="C404" s="9"/>
      <c r="D404" s="7"/>
      <c r="E404" s="8"/>
      <c r="F404" s="9"/>
      <c r="G404" s="18"/>
    </row>
    <row r="405" spans="1:7" ht="22.5" customHeight="1">
      <c r="A405" s="4"/>
      <c r="B405" s="9"/>
      <c r="C405" s="9"/>
      <c r="D405" s="7"/>
      <c r="E405" s="8"/>
      <c r="F405" s="9"/>
      <c r="G405" s="18"/>
    </row>
    <row r="406" spans="1:7" ht="22.5" customHeight="1">
      <c r="A406" s="4"/>
      <c r="B406" s="9"/>
      <c r="C406" s="9"/>
      <c r="D406" s="7"/>
      <c r="E406" s="8"/>
      <c r="F406" s="9"/>
      <c r="G406" s="18"/>
    </row>
    <row r="407" spans="1:7" ht="22.5" customHeight="1">
      <c r="A407" s="4"/>
      <c r="B407" s="9"/>
      <c r="C407" s="9"/>
      <c r="D407" s="7"/>
      <c r="E407" s="8"/>
      <c r="F407" s="9"/>
      <c r="G407" s="18"/>
    </row>
    <row r="408" spans="1:7" ht="22.5" customHeight="1">
      <c r="A408" s="4"/>
      <c r="B408" s="9"/>
      <c r="C408" s="9"/>
      <c r="D408" s="7"/>
      <c r="E408" s="8"/>
      <c r="F408" s="9"/>
      <c r="G408" s="18"/>
    </row>
    <row r="409" spans="1:7" ht="22.5" customHeight="1">
      <c r="A409" s="4"/>
      <c r="B409" s="9"/>
      <c r="C409" s="9"/>
      <c r="D409" s="7"/>
      <c r="E409" s="8"/>
      <c r="F409" s="9"/>
      <c r="G409" s="18"/>
    </row>
    <row r="410" spans="1:7" ht="22.5" customHeight="1">
      <c r="A410" s="4"/>
      <c r="B410" s="9"/>
      <c r="C410" s="9"/>
      <c r="D410" s="7"/>
      <c r="E410" s="8"/>
      <c r="F410" s="9"/>
      <c r="G410" s="18"/>
    </row>
    <row r="411" spans="1:7" ht="22.5" customHeight="1">
      <c r="A411" s="4"/>
      <c r="B411" s="9"/>
      <c r="C411" s="9"/>
      <c r="D411" s="7"/>
      <c r="E411" s="8"/>
      <c r="F411" s="9"/>
      <c r="G411" s="18"/>
    </row>
    <row r="412" spans="1:7" ht="22.5" customHeight="1">
      <c r="A412" s="4"/>
      <c r="B412" s="9"/>
      <c r="C412" s="9"/>
      <c r="D412" s="7"/>
      <c r="E412" s="8"/>
      <c r="F412" s="9"/>
      <c r="G412" s="18"/>
    </row>
    <row r="413" spans="1:7" ht="22.5" customHeight="1">
      <c r="A413" s="4"/>
      <c r="B413" s="9"/>
      <c r="C413" s="9"/>
      <c r="D413" s="7"/>
      <c r="E413" s="8"/>
      <c r="F413" s="9"/>
      <c r="G413" s="18"/>
    </row>
    <row r="414" spans="1:7" ht="22.5" customHeight="1">
      <c r="A414" s="4"/>
      <c r="B414" s="9"/>
      <c r="C414" s="9"/>
      <c r="D414" s="7"/>
      <c r="E414" s="8"/>
      <c r="F414" s="9"/>
      <c r="G414" s="18"/>
    </row>
    <row r="415" spans="1:7" ht="22.5" customHeight="1">
      <c r="A415" s="4"/>
      <c r="B415" s="9"/>
      <c r="C415" s="9"/>
      <c r="D415" s="7"/>
      <c r="E415" s="8"/>
      <c r="F415" s="9"/>
      <c r="G415" s="18"/>
    </row>
    <row r="416" spans="1:7" ht="22.5" customHeight="1">
      <c r="A416" s="4"/>
      <c r="B416" s="9"/>
      <c r="C416" s="9"/>
      <c r="D416" s="7"/>
      <c r="E416" s="8"/>
      <c r="F416" s="9"/>
      <c r="G416" s="18"/>
    </row>
    <row r="417" spans="1:7" ht="22.5" customHeight="1">
      <c r="A417" s="4"/>
      <c r="B417" s="9"/>
      <c r="C417" s="9"/>
      <c r="D417" s="7"/>
      <c r="E417" s="8"/>
      <c r="F417" s="9"/>
      <c r="G417" s="18"/>
    </row>
    <row r="418" spans="1:7" ht="22.5" customHeight="1">
      <c r="A418" s="4"/>
      <c r="B418" s="9"/>
      <c r="C418" s="9"/>
      <c r="D418" s="7"/>
      <c r="E418" s="8"/>
      <c r="F418" s="9"/>
      <c r="G418" s="18"/>
    </row>
    <row r="419" spans="1:7" ht="22.5" customHeight="1">
      <c r="A419" s="4"/>
      <c r="B419" s="9"/>
      <c r="C419" s="9"/>
      <c r="D419" s="7"/>
      <c r="E419" s="8"/>
      <c r="F419" s="9"/>
      <c r="G419" s="18"/>
    </row>
    <row r="420" spans="1:7" ht="22.5" customHeight="1">
      <c r="A420" s="4"/>
      <c r="B420" s="9"/>
      <c r="C420" s="9"/>
      <c r="D420" s="7"/>
      <c r="E420" s="8"/>
      <c r="F420" s="9"/>
      <c r="G420" s="18"/>
    </row>
    <row r="421" spans="1:7" ht="22.5" customHeight="1">
      <c r="A421" s="4"/>
      <c r="B421" s="9"/>
      <c r="C421" s="9"/>
      <c r="D421" s="7"/>
      <c r="E421" s="8"/>
      <c r="F421" s="9"/>
      <c r="G421" s="18"/>
    </row>
    <row r="422" spans="1:7" ht="22.5" customHeight="1">
      <c r="A422" s="4"/>
      <c r="B422" s="9"/>
      <c r="C422" s="9"/>
      <c r="D422" s="7"/>
      <c r="E422" s="8"/>
      <c r="F422" s="9"/>
      <c r="G422" s="18"/>
    </row>
    <row r="423" spans="1:7" ht="22.5" customHeight="1">
      <c r="A423" s="4"/>
      <c r="B423" s="9"/>
      <c r="C423" s="9"/>
      <c r="D423" s="7"/>
      <c r="E423" s="8"/>
      <c r="F423" s="9"/>
      <c r="G423" s="18"/>
    </row>
    <row r="424" spans="1:7" ht="22.5" customHeight="1">
      <c r="A424" s="4"/>
      <c r="B424" s="9"/>
      <c r="C424" s="9"/>
      <c r="D424" s="7"/>
      <c r="E424" s="8"/>
      <c r="F424" s="9"/>
      <c r="G424" s="18"/>
    </row>
    <row r="425" spans="1:7" ht="22.5" customHeight="1">
      <c r="A425" s="4"/>
      <c r="B425" s="9"/>
      <c r="C425" s="9"/>
      <c r="D425" s="7"/>
      <c r="E425" s="8"/>
      <c r="F425" s="9"/>
      <c r="G425" s="18"/>
    </row>
    <row r="426" spans="1:7" ht="22.5" customHeight="1">
      <c r="A426" s="4"/>
      <c r="B426" s="9"/>
      <c r="C426" s="9"/>
      <c r="D426" s="7"/>
      <c r="E426" s="8"/>
      <c r="F426" s="9"/>
      <c r="G426" s="18"/>
    </row>
    <row r="427" spans="1:7" ht="22.5" customHeight="1">
      <c r="A427" s="4"/>
      <c r="B427" s="9"/>
      <c r="C427" s="9"/>
      <c r="D427" s="7"/>
      <c r="E427" s="8"/>
      <c r="F427" s="9"/>
      <c r="G427" s="18"/>
    </row>
    <row r="428" spans="1:7" ht="22.5" customHeight="1">
      <c r="A428" s="4"/>
      <c r="B428" s="9"/>
      <c r="C428" s="9"/>
      <c r="D428" s="7"/>
      <c r="E428" s="8"/>
      <c r="F428" s="9"/>
      <c r="G428" s="18"/>
    </row>
    <row r="429" spans="1:7" ht="22.5" customHeight="1">
      <c r="A429" s="4"/>
      <c r="B429" s="9"/>
      <c r="C429" s="9"/>
      <c r="D429" s="7"/>
      <c r="E429" s="8"/>
      <c r="F429" s="9"/>
      <c r="G429" s="18"/>
    </row>
    <row r="430" spans="1:7" ht="22.5" customHeight="1">
      <c r="A430" s="4"/>
      <c r="B430" s="9"/>
      <c r="C430" s="9"/>
      <c r="D430" s="7"/>
      <c r="E430" s="8"/>
      <c r="F430" s="9"/>
      <c r="G430" s="18"/>
    </row>
    <row r="431" spans="1:7" ht="22.5" customHeight="1">
      <c r="A431" s="4"/>
      <c r="B431" s="9"/>
      <c r="C431" s="9"/>
      <c r="D431" s="7"/>
      <c r="E431" s="8"/>
      <c r="F431" s="9"/>
      <c r="G431" s="18"/>
    </row>
    <row r="432" spans="1:7" ht="22.5" customHeight="1">
      <c r="A432" s="4"/>
      <c r="B432" s="9"/>
      <c r="C432" s="9"/>
      <c r="D432" s="7"/>
      <c r="E432" s="8"/>
      <c r="F432" s="9"/>
      <c r="G432" s="18"/>
    </row>
    <row r="433" spans="1:7" ht="22.5" customHeight="1">
      <c r="A433" s="4"/>
      <c r="B433" s="9"/>
      <c r="C433" s="9"/>
      <c r="D433" s="7"/>
      <c r="E433" s="8"/>
      <c r="F433" s="9"/>
      <c r="G433" s="18"/>
    </row>
    <row r="434" spans="1:7" ht="22.5" customHeight="1">
      <c r="A434" s="4"/>
      <c r="B434" s="9"/>
      <c r="C434" s="9"/>
      <c r="D434" s="7"/>
      <c r="E434" s="8"/>
      <c r="F434" s="9"/>
      <c r="G434" s="18"/>
    </row>
    <row r="435" spans="1:7" ht="22.5" customHeight="1">
      <c r="A435" s="4"/>
      <c r="B435" s="9"/>
      <c r="C435" s="9"/>
      <c r="D435" s="7"/>
      <c r="E435" s="8"/>
      <c r="F435" s="9"/>
      <c r="G435" s="18"/>
    </row>
    <row r="436" spans="1:7" ht="22.5" customHeight="1">
      <c r="A436" s="4"/>
      <c r="B436" s="9"/>
      <c r="C436" s="9"/>
      <c r="D436" s="7"/>
      <c r="E436" s="8"/>
      <c r="F436" s="9"/>
      <c r="G436" s="18"/>
    </row>
    <row r="437" spans="1:7" ht="22.5" customHeight="1">
      <c r="A437" s="4"/>
      <c r="B437" s="9"/>
      <c r="C437" s="9"/>
      <c r="D437" s="7"/>
      <c r="E437" s="8"/>
      <c r="F437" s="9"/>
      <c r="G437" s="18"/>
    </row>
    <row r="438" spans="1:7" ht="22.5" customHeight="1">
      <c r="A438" s="4"/>
      <c r="B438" s="9"/>
      <c r="C438" s="9"/>
      <c r="D438" s="7"/>
      <c r="E438" s="8"/>
      <c r="F438" s="9"/>
      <c r="G438" s="18"/>
    </row>
    <row r="439" spans="1:7" ht="22.5" customHeight="1">
      <c r="A439" s="4"/>
      <c r="B439" s="9"/>
      <c r="C439" s="9"/>
      <c r="D439" s="7"/>
      <c r="E439" s="8"/>
      <c r="F439" s="9"/>
      <c r="G439" s="18"/>
    </row>
    <row r="440" spans="1:7" ht="22.5" customHeight="1">
      <c r="A440" s="4"/>
      <c r="B440" s="9"/>
      <c r="C440" s="9"/>
      <c r="D440" s="7"/>
      <c r="E440" s="8"/>
      <c r="F440" s="9"/>
      <c r="G440" s="18"/>
    </row>
    <row r="441" spans="1:7" ht="22.5" customHeight="1">
      <c r="A441" s="4"/>
      <c r="B441" s="9"/>
      <c r="C441" s="9"/>
      <c r="D441" s="7"/>
      <c r="E441" s="8"/>
      <c r="F441" s="9"/>
      <c r="G441" s="18"/>
    </row>
    <row r="442" spans="1:7" ht="22.5" customHeight="1">
      <c r="A442" s="4"/>
      <c r="B442" s="9"/>
      <c r="C442" s="9"/>
      <c r="D442" s="7"/>
      <c r="E442" s="8"/>
      <c r="F442" s="9"/>
      <c r="G442" s="18"/>
    </row>
    <row r="443" spans="1:7" ht="22.5" customHeight="1">
      <c r="A443" s="4"/>
      <c r="B443" s="9"/>
      <c r="C443" s="9"/>
      <c r="D443" s="7"/>
      <c r="E443" s="8"/>
      <c r="F443" s="9"/>
      <c r="G443" s="18"/>
    </row>
    <row r="444" spans="1:7" ht="22.5" customHeight="1">
      <c r="A444" s="4"/>
      <c r="B444" s="9"/>
      <c r="C444" s="9"/>
      <c r="D444" s="7"/>
      <c r="E444" s="8"/>
      <c r="F444" s="9"/>
      <c r="G444" s="18"/>
    </row>
    <row r="445" spans="1:7" ht="22.5" customHeight="1">
      <c r="A445" s="4"/>
      <c r="B445" s="9"/>
      <c r="C445" s="9"/>
      <c r="D445" s="7"/>
      <c r="E445" s="8"/>
      <c r="F445" s="9"/>
      <c r="G445" s="18"/>
    </row>
    <row r="446" spans="1:7" ht="22.5" customHeight="1">
      <c r="A446" s="4"/>
      <c r="B446" s="9"/>
      <c r="C446" s="9"/>
      <c r="D446" s="7"/>
      <c r="E446" s="8"/>
      <c r="F446" s="9"/>
      <c r="G446" s="18"/>
    </row>
    <row r="447" spans="1:7" ht="22.5" customHeight="1">
      <c r="A447" s="4"/>
      <c r="B447" s="9"/>
      <c r="C447" s="9"/>
      <c r="D447" s="7"/>
      <c r="E447" s="8"/>
      <c r="F447" s="9"/>
      <c r="G447" s="18"/>
    </row>
    <row r="448" spans="1:7" ht="22.5" customHeight="1">
      <c r="A448" s="4"/>
      <c r="B448" s="9"/>
      <c r="C448" s="9"/>
      <c r="D448" s="7"/>
      <c r="E448" s="8"/>
      <c r="F448" s="9"/>
      <c r="G448" s="18"/>
    </row>
    <row r="449" spans="1:7" ht="22.5" customHeight="1">
      <c r="A449" s="4"/>
      <c r="B449" s="9"/>
      <c r="C449" s="9"/>
      <c r="D449" s="7"/>
      <c r="E449" s="8"/>
      <c r="F449" s="9"/>
      <c r="G449" s="18"/>
    </row>
    <row r="450" spans="1:7" ht="22.5" customHeight="1">
      <c r="A450" s="4"/>
      <c r="B450" s="9"/>
      <c r="C450" s="9"/>
      <c r="D450" s="7"/>
      <c r="E450" s="8"/>
      <c r="F450" s="9"/>
      <c r="G450" s="18"/>
    </row>
    <row r="451" spans="1:7" ht="22.5" customHeight="1">
      <c r="A451" s="4"/>
      <c r="B451" s="9"/>
      <c r="C451" s="9"/>
      <c r="D451" s="7"/>
      <c r="E451" s="8"/>
      <c r="F451" s="9"/>
      <c r="G451" s="18"/>
    </row>
    <row r="452" spans="1:7" ht="22.5" customHeight="1">
      <c r="A452" s="4"/>
      <c r="B452" s="9"/>
      <c r="C452" s="9"/>
      <c r="D452" s="7"/>
      <c r="E452" s="8"/>
      <c r="F452" s="9"/>
      <c r="G452" s="18"/>
    </row>
    <row r="453" spans="1:7" ht="22.5" customHeight="1">
      <c r="A453" s="4"/>
      <c r="B453" s="9"/>
      <c r="C453" s="9"/>
      <c r="D453" s="7"/>
      <c r="E453" s="8"/>
      <c r="F453" s="9"/>
      <c r="G453" s="18"/>
    </row>
    <row r="454" spans="1:7" ht="22.5" customHeight="1">
      <c r="A454" s="4"/>
      <c r="B454" s="9"/>
      <c r="C454" s="9"/>
      <c r="D454" s="7"/>
      <c r="E454" s="8"/>
      <c r="F454" s="9"/>
      <c r="G454" s="18"/>
    </row>
    <row r="455" spans="1:7" ht="22.5" customHeight="1">
      <c r="A455" s="4"/>
      <c r="B455" s="9"/>
      <c r="C455" s="9"/>
      <c r="D455" s="7"/>
      <c r="E455" s="8"/>
      <c r="F455" s="9"/>
      <c r="G455" s="18"/>
    </row>
    <row r="456" spans="1:7" ht="22.5" customHeight="1">
      <c r="A456" s="4"/>
      <c r="B456" s="9"/>
      <c r="C456" s="9"/>
      <c r="D456" s="7"/>
      <c r="E456" s="8"/>
      <c r="F456" s="9"/>
      <c r="G456" s="18"/>
    </row>
    <row r="457" spans="1:7" ht="22.5" customHeight="1">
      <c r="A457" s="4"/>
      <c r="B457" s="9"/>
      <c r="C457" s="9"/>
      <c r="D457" s="7"/>
      <c r="E457" s="8"/>
      <c r="F457" s="9"/>
      <c r="G457" s="18"/>
    </row>
    <row r="458" spans="1:7" ht="22.5" customHeight="1">
      <c r="A458" s="4"/>
      <c r="B458" s="9"/>
      <c r="C458" s="9"/>
      <c r="D458" s="7"/>
      <c r="E458" s="8"/>
      <c r="F458" s="9"/>
      <c r="G458" s="18"/>
    </row>
    <row r="459" spans="1:7" ht="22.5" customHeight="1">
      <c r="A459" s="4"/>
      <c r="B459" s="9"/>
      <c r="C459" s="9"/>
      <c r="D459" s="7"/>
      <c r="E459" s="8"/>
      <c r="F459" s="9"/>
      <c r="G459" s="18"/>
    </row>
    <row r="460" spans="1:7" ht="22.5" customHeight="1">
      <c r="A460" s="4"/>
      <c r="B460" s="9"/>
      <c r="C460" s="9"/>
      <c r="D460" s="7"/>
      <c r="E460" s="8"/>
      <c r="F460" s="9"/>
      <c r="G460" s="18"/>
    </row>
    <row r="461" spans="1:7" ht="22.5" customHeight="1">
      <c r="A461" s="4"/>
      <c r="B461" s="9"/>
      <c r="C461" s="9"/>
      <c r="D461" s="7"/>
      <c r="E461" s="8"/>
      <c r="F461" s="9"/>
      <c r="G461" s="18"/>
    </row>
    <row r="462" spans="1:7" ht="22.5" customHeight="1">
      <c r="A462" s="4"/>
      <c r="B462" s="9"/>
      <c r="C462" s="9"/>
      <c r="D462" s="7"/>
      <c r="E462" s="8"/>
      <c r="F462" s="9"/>
      <c r="G462" s="18"/>
    </row>
    <row r="463" spans="1:7" ht="22.5" customHeight="1">
      <c r="A463" s="4"/>
      <c r="B463" s="9"/>
      <c r="C463" s="9"/>
      <c r="D463" s="7"/>
      <c r="E463" s="8"/>
      <c r="F463" s="9"/>
      <c r="G463" s="18"/>
    </row>
    <row r="464" spans="1:7" ht="22.5" customHeight="1">
      <c r="A464" s="4"/>
      <c r="B464" s="9"/>
      <c r="C464" s="9"/>
      <c r="D464" s="7"/>
      <c r="E464" s="8"/>
      <c r="F464" s="9"/>
      <c r="G464" s="18"/>
    </row>
    <row r="465" spans="1:7" ht="22.5" customHeight="1">
      <c r="A465" s="4"/>
      <c r="B465" s="9"/>
      <c r="C465" s="9"/>
      <c r="D465" s="7"/>
      <c r="E465" s="8"/>
      <c r="F465" s="9"/>
      <c r="G465" s="18"/>
    </row>
    <row r="466" spans="1:7" ht="22.5" customHeight="1">
      <c r="A466" s="4"/>
      <c r="B466" s="9"/>
      <c r="C466" s="9"/>
      <c r="D466" s="7"/>
      <c r="E466" s="8"/>
      <c r="F466" s="9"/>
      <c r="G466" s="18"/>
    </row>
    <row r="467" spans="1:7" ht="22.5" customHeight="1">
      <c r="A467" s="4"/>
      <c r="B467" s="9"/>
      <c r="C467" s="9"/>
      <c r="D467" s="7"/>
      <c r="E467" s="8"/>
      <c r="F467" s="9"/>
      <c r="G467" s="18"/>
    </row>
    <row r="468" spans="1:7" ht="22.5" customHeight="1">
      <c r="A468" s="4"/>
      <c r="B468" s="9"/>
      <c r="C468" s="9"/>
      <c r="D468" s="7"/>
      <c r="E468" s="8"/>
      <c r="F468" s="9"/>
      <c r="G468" s="18"/>
    </row>
    <row r="469" spans="1:7" ht="22.5" customHeight="1">
      <c r="A469" s="4"/>
      <c r="B469" s="9"/>
      <c r="C469" s="9"/>
      <c r="D469" s="7"/>
      <c r="E469" s="8"/>
      <c r="F469" s="9"/>
      <c r="G469" s="18"/>
    </row>
    <row r="470" spans="1:7" ht="22.5" customHeight="1">
      <c r="A470" s="4"/>
      <c r="B470" s="9"/>
      <c r="C470" s="9"/>
      <c r="D470" s="7"/>
      <c r="E470" s="8"/>
      <c r="F470" s="9"/>
      <c r="G470" s="18"/>
    </row>
    <row r="471" spans="1:7" ht="22.5" customHeight="1">
      <c r="A471" s="4"/>
      <c r="B471" s="9"/>
      <c r="C471" s="9"/>
      <c r="D471" s="7"/>
      <c r="E471" s="8"/>
      <c r="F471" s="9"/>
      <c r="G471" s="18"/>
    </row>
    <row r="472" spans="1:7" ht="22.5" customHeight="1">
      <c r="A472" s="4"/>
      <c r="B472" s="9"/>
      <c r="C472" s="9"/>
      <c r="D472" s="7"/>
      <c r="E472" s="8"/>
      <c r="F472" s="9"/>
      <c r="G472" s="18"/>
    </row>
    <row r="473" spans="1:7" ht="22.5" customHeight="1">
      <c r="A473" s="4"/>
      <c r="B473" s="9"/>
      <c r="C473" s="9"/>
      <c r="D473" s="7"/>
      <c r="E473" s="8"/>
      <c r="F473" s="9"/>
      <c r="G473" s="18"/>
    </row>
    <row r="474" spans="1:7" ht="22.5" customHeight="1">
      <c r="A474" s="4"/>
      <c r="B474" s="9"/>
      <c r="C474" s="9"/>
      <c r="D474" s="7"/>
      <c r="E474" s="8"/>
      <c r="F474" s="9"/>
      <c r="G474" s="18"/>
    </row>
    <row r="475" spans="1:7" ht="22.5" customHeight="1">
      <c r="A475" s="4"/>
      <c r="B475" s="9"/>
      <c r="C475" s="9"/>
      <c r="D475" s="7"/>
      <c r="E475" s="8"/>
      <c r="F475" s="9"/>
      <c r="G475" s="18"/>
    </row>
    <row r="476" spans="1:7" ht="22.5" customHeight="1">
      <c r="A476" s="4"/>
      <c r="B476" s="9"/>
      <c r="C476" s="9"/>
      <c r="D476" s="7"/>
      <c r="E476" s="8"/>
      <c r="F476" s="9"/>
      <c r="G476" s="18"/>
    </row>
    <row r="477" spans="1:7" ht="22.5" customHeight="1">
      <c r="A477" s="4"/>
      <c r="B477" s="9"/>
      <c r="C477" s="9"/>
      <c r="D477" s="7"/>
      <c r="E477" s="8"/>
      <c r="F477" s="9"/>
      <c r="G477" s="18"/>
    </row>
    <row r="478" spans="1:7" ht="22.5" customHeight="1">
      <c r="A478" s="4"/>
      <c r="B478" s="9"/>
      <c r="C478" s="9"/>
      <c r="D478" s="7"/>
      <c r="E478" s="8"/>
      <c r="F478" s="9"/>
      <c r="G478" s="18"/>
    </row>
    <row r="479" spans="1:7" ht="22.5" customHeight="1">
      <c r="A479" s="4"/>
      <c r="B479" s="9"/>
      <c r="C479" s="9"/>
      <c r="D479" s="7"/>
      <c r="E479" s="8"/>
      <c r="F479" s="9"/>
      <c r="G479" s="18"/>
    </row>
    <row r="480" spans="1:7" ht="22.5" customHeight="1">
      <c r="A480" s="4"/>
      <c r="B480" s="9"/>
      <c r="C480" s="9"/>
      <c r="D480" s="7"/>
      <c r="E480" s="8"/>
      <c r="F480" s="9"/>
      <c r="G480" s="18"/>
    </row>
    <row r="481" spans="1:7" ht="22.5" customHeight="1">
      <c r="A481" s="4"/>
      <c r="B481" s="9"/>
      <c r="C481" s="9"/>
      <c r="D481" s="7"/>
      <c r="E481" s="8"/>
      <c r="F481" s="9"/>
      <c r="G481" s="18"/>
    </row>
    <row r="482" spans="1:7" ht="22.5" customHeight="1">
      <c r="A482" s="4"/>
      <c r="B482" s="9"/>
      <c r="C482" s="9"/>
      <c r="D482" s="7"/>
      <c r="E482" s="8"/>
      <c r="F482" s="9"/>
      <c r="G482" s="18"/>
    </row>
    <row r="483" spans="1:7" ht="22.5" customHeight="1">
      <c r="A483" s="4"/>
      <c r="B483" s="9"/>
      <c r="C483" s="9"/>
      <c r="D483" s="7"/>
      <c r="E483" s="8"/>
      <c r="F483" s="9"/>
      <c r="G483" s="18"/>
    </row>
    <row r="484" spans="1:7" ht="22.5" customHeight="1">
      <c r="A484" s="4"/>
      <c r="B484" s="9"/>
      <c r="C484" s="9"/>
      <c r="D484" s="7"/>
      <c r="E484" s="8"/>
      <c r="F484" s="9"/>
      <c r="G484" s="18"/>
    </row>
    <row r="485" spans="1:7" ht="22.5" customHeight="1">
      <c r="A485" s="4"/>
      <c r="B485" s="9"/>
      <c r="C485" s="9"/>
      <c r="D485" s="7"/>
      <c r="E485" s="8"/>
      <c r="F485" s="9"/>
      <c r="G485" s="18"/>
    </row>
    <row r="486" spans="1:7" ht="22.5" customHeight="1">
      <c r="A486" s="4"/>
      <c r="B486" s="9"/>
      <c r="C486" s="9"/>
      <c r="D486" s="7"/>
      <c r="E486" s="8"/>
      <c r="F486" s="9"/>
      <c r="G486" s="18"/>
    </row>
    <row r="487" spans="1:7" ht="22.5" customHeight="1">
      <c r="A487" s="4"/>
      <c r="B487" s="9"/>
      <c r="C487" s="9"/>
      <c r="D487" s="7"/>
      <c r="E487" s="8"/>
      <c r="F487" s="9"/>
      <c r="G487" s="18"/>
    </row>
    <row r="488" spans="1:7" ht="22.5" customHeight="1">
      <c r="A488" s="4"/>
      <c r="B488" s="9"/>
      <c r="C488" s="9"/>
      <c r="D488" s="7"/>
      <c r="E488" s="8"/>
      <c r="F488" s="9"/>
      <c r="G488" s="18"/>
    </row>
    <row r="489" spans="1:7" ht="22.5" customHeight="1">
      <c r="A489" s="4"/>
      <c r="B489" s="9"/>
      <c r="C489" s="9"/>
      <c r="D489" s="7"/>
      <c r="E489" s="8"/>
      <c r="F489" s="9"/>
      <c r="G489" s="18"/>
    </row>
    <row r="490" spans="1:7" ht="22.5" customHeight="1">
      <c r="A490" s="4"/>
      <c r="B490" s="9"/>
      <c r="C490" s="9"/>
      <c r="D490" s="7"/>
      <c r="E490" s="8"/>
      <c r="F490" s="9"/>
      <c r="G490" s="18"/>
    </row>
    <row r="491" spans="1:7" ht="22.5" customHeight="1">
      <c r="A491" s="4"/>
      <c r="B491" s="9"/>
      <c r="C491" s="9"/>
      <c r="D491" s="7"/>
      <c r="E491" s="8"/>
      <c r="F491" s="9"/>
      <c r="G491" s="18"/>
    </row>
    <row r="492" spans="1:7" ht="22.5" customHeight="1">
      <c r="A492" s="4"/>
      <c r="B492" s="9"/>
      <c r="C492" s="9"/>
      <c r="D492" s="7"/>
      <c r="E492" s="8"/>
      <c r="F492" s="9"/>
      <c r="G492" s="18"/>
    </row>
    <row r="493" spans="1:7" ht="22.5" customHeight="1">
      <c r="A493" s="4"/>
      <c r="B493" s="9"/>
      <c r="C493" s="9"/>
      <c r="D493" s="7"/>
      <c r="E493" s="8"/>
      <c r="F493" s="9"/>
      <c r="G493" s="18"/>
    </row>
    <row r="494" spans="1:7" ht="22.5" customHeight="1">
      <c r="A494" s="4"/>
      <c r="B494" s="9"/>
      <c r="C494" s="9"/>
      <c r="D494" s="7"/>
      <c r="E494" s="8"/>
      <c r="F494" s="9"/>
      <c r="G494" s="18"/>
    </row>
    <row r="495" spans="1:7" ht="22.5" customHeight="1">
      <c r="A495" s="4"/>
      <c r="B495" s="9"/>
      <c r="C495" s="9"/>
      <c r="D495" s="7"/>
      <c r="E495" s="8"/>
      <c r="F495" s="9"/>
      <c r="G495" s="18"/>
    </row>
    <row r="496" spans="1:7" ht="22.5" customHeight="1">
      <c r="A496" s="4"/>
      <c r="B496" s="9"/>
      <c r="C496" s="9"/>
      <c r="D496" s="7"/>
      <c r="E496" s="8"/>
      <c r="F496" s="9"/>
      <c r="G496" s="18"/>
    </row>
    <row r="497" spans="1:7" ht="22.5" customHeight="1">
      <c r="A497" s="4"/>
      <c r="B497" s="9"/>
      <c r="C497" s="9"/>
      <c r="D497" s="7"/>
      <c r="E497" s="8"/>
      <c r="F497" s="9"/>
      <c r="G497" s="18"/>
    </row>
    <row r="498" spans="1:7" ht="22.5" customHeight="1">
      <c r="A498" s="4"/>
      <c r="B498" s="9"/>
      <c r="C498" s="9"/>
      <c r="D498" s="7"/>
      <c r="E498" s="8"/>
      <c r="F498" s="9"/>
      <c r="G498" s="18"/>
    </row>
    <row r="499" spans="1:7" ht="22.5" customHeight="1">
      <c r="A499" s="4"/>
      <c r="B499" s="9"/>
      <c r="C499" s="9"/>
      <c r="D499" s="7"/>
      <c r="E499" s="8"/>
      <c r="F499" s="9"/>
      <c r="G499" s="18"/>
    </row>
    <row r="500" spans="1:7" ht="22.5" customHeight="1">
      <c r="A500" s="4"/>
      <c r="B500" s="9"/>
      <c r="C500" s="9"/>
      <c r="D500" s="7"/>
      <c r="E500" s="8"/>
      <c r="F500" s="9"/>
      <c r="G500" s="18"/>
    </row>
    <row r="501" spans="1:7" ht="22.5" customHeight="1">
      <c r="A501" s="4"/>
      <c r="B501" s="9"/>
      <c r="C501" s="9"/>
      <c r="D501" s="7"/>
      <c r="E501" s="8"/>
      <c r="F501" s="9"/>
      <c r="G501" s="18"/>
    </row>
    <row r="502" spans="1:7" ht="22.5" customHeight="1">
      <c r="A502" s="4"/>
      <c r="B502" s="9"/>
      <c r="C502" s="9"/>
      <c r="D502" s="7"/>
      <c r="E502" s="8"/>
      <c r="F502" s="9"/>
      <c r="G502" s="18"/>
    </row>
    <row r="503" spans="1:7" ht="22.5" customHeight="1">
      <c r="A503" s="4"/>
      <c r="B503" s="9"/>
      <c r="C503" s="9"/>
      <c r="D503" s="7"/>
      <c r="E503" s="8"/>
      <c r="F503" s="9"/>
      <c r="G503" s="18"/>
    </row>
    <row r="504" spans="1:7" ht="22.5" customHeight="1">
      <c r="A504" s="4"/>
      <c r="B504" s="9"/>
      <c r="C504" s="9"/>
      <c r="D504" s="7"/>
      <c r="E504" s="8"/>
      <c r="F504" s="9"/>
      <c r="G504" s="18"/>
    </row>
    <row r="505" spans="1:7" ht="22.5" customHeight="1">
      <c r="A505" s="4"/>
      <c r="B505" s="9"/>
      <c r="C505" s="9"/>
      <c r="D505" s="7"/>
      <c r="E505" s="8"/>
      <c r="F505" s="9"/>
      <c r="G505" s="18"/>
    </row>
    <row r="506" spans="1:7" ht="22.5" customHeight="1">
      <c r="A506" s="4"/>
      <c r="B506" s="9"/>
      <c r="C506" s="9"/>
      <c r="D506" s="7"/>
      <c r="E506" s="8"/>
      <c r="F506" s="9"/>
      <c r="G506" s="18"/>
    </row>
    <row r="507" spans="1:7" ht="22.5" customHeight="1">
      <c r="A507" s="4"/>
      <c r="B507" s="9"/>
      <c r="C507" s="9"/>
      <c r="D507" s="7"/>
      <c r="E507" s="8"/>
      <c r="F507" s="9"/>
      <c r="G507" s="18"/>
    </row>
    <row r="508" spans="1:7" ht="22.5" customHeight="1">
      <c r="A508" s="4"/>
      <c r="B508" s="9"/>
      <c r="C508" s="9"/>
      <c r="D508" s="7"/>
      <c r="E508" s="8"/>
      <c r="F508" s="9"/>
      <c r="G508" s="18"/>
    </row>
    <row r="509" spans="1:7" ht="22.5" customHeight="1">
      <c r="A509" s="4"/>
      <c r="B509" s="9"/>
      <c r="C509" s="9"/>
      <c r="D509" s="7"/>
      <c r="E509" s="8"/>
      <c r="F509" s="9"/>
      <c r="G509" s="18"/>
    </row>
    <row r="510" spans="1:7" ht="22.5" customHeight="1">
      <c r="A510" s="4"/>
      <c r="B510" s="9"/>
      <c r="C510" s="9"/>
      <c r="D510" s="7"/>
      <c r="E510" s="8"/>
      <c r="F510" s="9"/>
      <c r="G510" s="18"/>
    </row>
    <row r="511" spans="1:7" ht="22.5" customHeight="1">
      <c r="A511" s="4"/>
      <c r="B511" s="9"/>
      <c r="C511" s="9"/>
      <c r="D511" s="7"/>
      <c r="E511" s="8"/>
      <c r="F511" s="9"/>
      <c r="G511" s="18"/>
    </row>
    <row r="512" spans="1:7" ht="22.5" customHeight="1">
      <c r="A512" s="4"/>
      <c r="B512" s="9"/>
      <c r="C512" s="9"/>
      <c r="D512" s="7"/>
      <c r="E512" s="8"/>
      <c r="F512" s="9"/>
      <c r="G512" s="18"/>
    </row>
    <row r="513" spans="1:7" ht="22.5" customHeight="1">
      <c r="A513" s="4"/>
      <c r="B513" s="9"/>
      <c r="C513" s="9"/>
      <c r="D513" s="7"/>
      <c r="E513" s="8"/>
      <c r="F513" s="9"/>
      <c r="G513" s="18"/>
    </row>
    <row r="514" spans="1:7" ht="22.5" customHeight="1">
      <c r="A514" s="4"/>
      <c r="B514" s="9"/>
      <c r="C514" s="9"/>
      <c r="D514" s="7"/>
      <c r="E514" s="8"/>
      <c r="F514" s="9"/>
      <c r="G514" s="18"/>
    </row>
    <row r="515" spans="1:7" ht="22.5" customHeight="1">
      <c r="A515" s="4"/>
      <c r="B515" s="9"/>
      <c r="C515" s="9"/>
      <c r="D515" s="7"/>
      <c r="E515" s="8"/>
      <c r="F515" s="9"/>
      <c r="G515" s="18"/>
    </row>
  </sheetData>
  <dataValidations count="4">
    <dataValidation type="list" allowBlank="1" sqref="G2:G515" xr:uid="{00000000-0002-0000-0200-000000000000}">
      <formula1>"CLIENTE DAILY,PAGINA,INSTAGRAM,TIKTOK"</formula1>
    </dataValidation>
    <dataValidation type="custom" allowBlank="1" showDropDown="1" sqref="A2:A515" xr:uid="{00000000-0002-0000-0200-000001000000}">
      <formula1>OR(NOT(ISERROR(DATEVALUE(A2))), AND(ISNUMBER(A2), LEFT(CELL("format", A2))="D"))</formula1>
    </dataValidation>
    <dataValidation type="custom" allowBlank="1" showDropDown="1" sqref="D2:E515" xr:uid="{00000000-0002-0000-0200-000002000000}">
      <formula1>AND(ISNUMBER(D2),(NOT(OR(NOT(ISERROR(DATEVALUE(D2))), AND(ISNUMBER(D2), LEFT(CELL("format", D2))="D")))))</formula1>
    </dataValidation>
    <dataValidation type="list" allowBlank="1" sqref="F2:F515" xr:uid="{00000000-0002-0000-0200-000003000000}">
      <formula1>"BANCOLOMBIA,BANCO DE BOGOTA,EFECTIVO,LINK,CRUCE"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  <outlinePr summaryBelow="0" summaryRight="0"/>
  </sheetPr>
  <dimension ref="A1:I11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27" customWidth="1"/>
    <col min="4" max="4" width="18.6640625" customWidth="1"/>
    <col min="6" max="6" width="19.6640625" customWidth="1"/>
    <col min="8" max="8" width="22.6640625" customWidth="1"/>
  </cols>
  <sheetData>
    <row r="1" spans="1:8" ht="22.5" customHeight="1">
      <c r="A1" s="134" t="s">
        <v>0</v>
      </c>
      <c r="B1" s="135" t="s">
        <v>1</v>
      </c>
      <c r="C1" s="136" t="s">
        <v>2</v>
      </c>
      <c r="D1" s="137" t="s">
        <v>668</v>
      </c>
      <c r="E1" s="137" t="s">
        <v>669</v>
      </c>
      <c r="F1" s="137" t="s">
        <v>5</v>
      </c>
      <c r="G1" s="135" t="s">
        <v>670</v>
      </c>
      <c r="H1" s="138" t="s">
        <v>5</v>
      </c>
    </row>
    <row r="2" spans="1:8" ht="22.5" customHeight="1">
      <c r="A2" s="139"/>
      <c r="B2" s="140" t="s">
        <v>356</v>
      </c>
      <c r="C2" s="141" t="s">
        <v>671</v>
      </c>
      <c r="D2" s="142">
        <v>201000</v>
      </c>
      <c r="E2" s="142"/>
      <c r="F2" s="143"/>
      <c r="G2" s="144">
        <v>201000</v>
      </c>
      <c r="H2" s="145" t="s">
        <v>672</v>
      </c>
    </row>
    <row r="3" spans="1:8" ht="21.75" customHeight="1">
      <c r="A3" s="146"/>
      <c r="B3" s="147" t="s">
        <v>493</v>
      </c>
      <c r="C3" s="141" t="s">
        <v>673</v>
      </c>
      <c r="D3" s="142">
        <v>176000</v>
      </c>
      <c r="E3" s="142"/>
      <c r="F3" s="143"/>
      <c r="G3" s="144">
        <f t="shared" ref="G3:G77" si="0">D3-E3</f>
        <v>176000</v>
      </c>
      <c r="H3" s="145" t="s">
        <v>674</v>
      </c>
    </row>
    <row r="4" spans="1:8" ht="22.5" customHeight="1">
      <c r="A4" s="139"/>
      <c r="B4" s="140" t="s">
        <v>399</v>
      </c>
      <c r="C4" s="141" t="s">
        <v>675</v>
      </c>
      <c r="D4" s="142">
        <v>504000</v>
      </c>
      <c r="E4" s="142"/>
      <c r="F4" s="143"/>
      <c r="G4" s="144">
        <f t="shared" si="0"/>
        <v>504000</v>
      </c>
      <c r="H4" s="145" t="s">
        <v>672</v>
      </c>
    </row>
    <row r="5" spans="1:8" ht="24" customHeight="1">
      <c r="A5" s="146"/>
      <c r="B5" s="148" t="s">
        <v>676</v>
      </c>
      <c r="C5" s="141" t="s">
        <v>677</v>
      </c>
      <c r="D5" s="142">
        <v>253800</v>
      </c>
      <c r="E5" s="142"/>
      <c r="F5" s="143"/>
      <c r="G5" s="149">
        <f t="shared" si="0"/>
        <v>253800</v>
      </c>
      <c r="H5" s="145" t="s">
        <v>674</v>
      </c>
    </row>
    <row r="6" spans="1:8" ht="22.5" customHeight="1">
      <c r="A6" s="150"/>
      <c r="B6" s="151" t="s">
        <v>678</v>
      </c>
      <c r="C6" s="141" t="s">
        <v>679</v>
      </c>
      <c r="D6" s="142">
        <v>477500</v>
      </c>
      <c r="E6" s="142"/>
      <c r="F6" s="143"/>
      <c r="G6" s="149">
        <f t="shared" si="0"/>
        <v>477500</v>
      </c>
      <c r="H6" s="145" t="s">
        <v>674</v>
      </c>
    </row>
    <row r="7" spans="1:8" ht="20.25" customHeight="1">
      <c r="A7" s="150"/>
      <c r="B7" s="148" t="s">
        <v>680</v>
      </c>
      <c r="C7" s="141" t="s">
        <v>681</v>
      </c>
      <c r="D7" s="142">
        <v>235200</v>
      </c>
      <c r="E7" s="142"/>
      <c r="F7" s="143"/>
      <c r="G7" s="144">
        <f t="shared" si="0"/>
        <v>235200</v>
      </c>
      <c r="H7" s="145" t="s">
        <v>674</v>
      </c>
    </row>
    <row r="8" spans="1:8" ht="21.75" customHeight="1">
      <c r="A8" s="139"/>
      <c r="B8" s="140" t="s">
        <v>682</v>
      </c>
      <c r="C8" s="141" t="s">
        <v>683</v>
      </c>
      <c r="D8" s="142">
        <v>148750</v>
      </c>
      <c r="E8" s="142"/>
      <c r="F8" s="143"/>
      <c r="G8" s="144">
        <f t="shared" si="0"/>
        <v>148750</v>
      </c>
      <c r="H8" s="145" t="s">
        <v>674</v>
      </c>
    </row>
    <row r="9" spans="1:8" ht="20.25" customHeight="1">
      <c r="A9" s="146"/>
      <c r="B9" s="152" t="s">
        <v>684</v>
      </c>
      <c r="C9" s="141" t="s">
        <v>685</v>
      </c>
      <c r="D9" s="142">
        <v>177000</v>
      </c>
      <c r="E9" s="142"/>
      <c r="F9" s="143"/>
      <c r="G9" s="144">
        <f t="shared" si="0"/>
        <v>177000</v>
      </c>
      <c r="H9" s="145" t="s">
        <v>672</v>
      </c>
    </row>
    <row r="10" spans="1:8" ht="21.75" customHeight="1">
      <c r="A10" s="146"/>
      <c r="B10" s="152" t="s">
        <v>686</v>
      </c>
      <c r="C10" s="141" t="s">
        <v>687</v>
      </c>
      <c r="D10" s="142">
        <v>177000</v>
      </c>
      <c r="E10" s="142"/>
      <c r="F10" s="143"/>
      <c r="G10" s="144">
        <f t="shared" si="0"/>
        <v>177000</v>
      </c>
      <c r="H10" s="145" t="s">
        <v>672</v>
      </c>
    </row>
    <row r="11" spans="1:8" ht="22.5" customHeight="1">
      <c r="A11" s="146"/>
      <c r="B11" s="147" t="s">
        <v>35</v>
      </c>
      <c r="C11" s="141" t="s">
        <v>688</v>
      </c>
      <c r="D11" s="142">
        <v>202750</v>
      </c>
      <c r="E11" s="142"/>
      <c r="F11" s="143"/>
      <c r="G11" s="144">
        <f t="shared" si="0"/>
        <v>202750</v>
      </c>
      <c r="H11" s="145" t="s">
        <v>672</v>
      </c>
    </row>
    <row r="12" spans="1:8" ht="22.5" customHeight="1">
      <c r="A12" s="146"/>
      <c r="B12" s="153" t="s">
        <v>689</v>
      </c>
      <c r="C12" s="141" t="s">
        <v>690</v>
      </c>
      <c r="D12" s="142">
        <v>400246</v>
      </c>
      <c r="E12" s="142"/>
      <c r="F12" s="143"/>
      <c r="G12" s="144">
        <f t="shared" si="0"/>
        <v>400246</v>
      </c>
      <c r="H12" s="145" t="s">
        <v>674</v>
      </c>
    </row>
    <row r="13" spans="1:8" ht="21.75" customHeight="1">
      <c r="A13" s="150"/>
      <c r="B13" s="145" t="s">
        <v>691</v>
      </c>
      <c r="C13" s="141" t="s">
        <v>692</v>
      </c>
      <c r="D13" s="142">
        <v>181200</v>
      </c>
      <c r="E13" s="142"/>
      <c r="F13" s="143"/>
      <c r="G13" s="144">
        <f t="shared" si="0"/>
        <v>181200</v>
      </c>
      <c r="H13" s="145" t="s">
        <v>674</v>
      </c>
    </row>
    <row r="14" spans="1:8" ht="21.75" customHeight="1">
      <c r="A14" s="139"/>
      <c r="B14" s="152" t="s">
        <v>686</v>
      </c>
      <c r="C14" s="141" t="s">
        <v>687</v>
      </c>
      <c r="D14" s="142">
        <v>177000</v>
      </c>
      <c r="E14" s="142"/>
      <c r="F14" s="143"/>
      <c r="G14" s="144">
        <f t="shared" si="0"/>
        <v>177000</v>
      </c>
      <c r="H14" s="145" t="s">
        <v>672</v>
      </c>
    </row>
    <row r="15" spans="1:8" ht="22.5" customHeight="1">
      <c r="A15" s="139"/>
      <c r="B15" s="145" t="s">
        <v>693</v>
      </c>
      <c r="C15" s="141" t="s">
        <v>694</v>
      </c>
      <c r="D15" s="142">
        <v>308000</v>
      </c>
      <c r="E15" s="142"/>
      <c r="F15" s="143"/>
      <c r="G15" s="144">
        <f t="shared" si="0"/>
        <v>308000</v>
      </c>
      <c r="H15" s="145" t="s">
        <v>674</v>
      </c>
    </row>
    <row r="16" spans="1:8" ht="22.5" customHeight="1">
      <c r="A16" s="139"/>
      <c r="B16" s="145" t="s">
        <v>695</v>
      </c>
      <c r="C16" s="141" t="s">
        <v>696</v>
      </c>
      <c r="D16" s="142">
        <v>105500</v>
      </c>
      <c r="E16" s="142"/>
      <c r="F16" s="143"/>
      <c r="G16" s="144">
        <f t="shared" si="0"/>
        <v>105500</v>
      </c>
      <c r="H16" s="145" t="s">
        <v>674</v>
      </c>
    </row>
    <row r="17" spans="1:8" ht="22.5" customHeight="1">
      <c r="A17" s="146"/>
      <c r="B17" s="148" t="s">
        <v>697</v>
      </c>
      <c r="C17" s="141" t="s">
        <v>698</v>
      </c>
      <c r="D17" s="142">
        <v>149799</v>
      </c>
      <c r="E17" s="142"/>
      <c r="F17" s="143"/>
      <c r="G17" s="144">
        <f t="shared" si="0"/>
        <v>149799</v>
      </c>
      <c r="H17" s="145" t="s">
        <v>674</v>
      </c>
    </row>
    <row r="18" spans="1:8" ht="22.5" customHeight="1">
      <c r="A18" s="146"/>
      <c r="B18" s="140" t="s">
        <v>699</v>
      </c>
      <c r="C18" s="141" t="s">
        <v>700</v>
      </c>
      <c r="D18" s="142">
        <v>201000</v>
      </c>
      <c r="E18" s="142">
        <v>100500</v>
      </c>
      <c r="F18" s="143" t="s">
        <v>674</v>
      </c>
      <c r="G18" s="144">
        <f t="shared" si="0"/>
        <v>100500</v>
      </c>
      <c r="H18" s="145" t="s">
        <v>674</v>
      </c>
    </row>
    <row r="19" spans="1:8" ht="24" customHeight="1">
      <c r="A19" s="139"/>
      <c r="B19" s="140" t="s">
        <v>699</v>
      </c>
      <c r="C19" s="141" t="s">
        <v>701</v>
      </c>
      <c r="D19" s="142">
        <v>201000</v>
      </c>
      <c r="E19" s="142"/>
      <c r="F19" s="143"/>
      <c r="G19" s="154">
        <f t="shared" si="0"/>
        <v>201000</v>
      </c>
      <c r="H19" s="145" t="s">
        <v>674</v>
      </c>
    </row>
    <row r="20" spans="1:8" ht="25.5" customHeight="1">
      <c r="A20" s="139"/>
      <c r="B20" s="145" t="s">
        <v>702</v>
      </c>
      <c r="C20" s="141" t="s">
        <v>703</v>
      </c>
      <c r="D20" s="142">
        <v>536900</v>
      </c>
      <c r="E20" s="142"/>
      <c r="F20" s="143"/>
      <c r="G20" s="144">
        <f t="shared" si="0"/>
        <v>536900</v>
      </c>
      <c r="H20" s="145" t="s">
        <v>674</v>
      </c>
    </row>
    <row r="21" spans="1:8" ht="22.5" customHeight="1">
      <c r="A21" s="146"/>
      <c r="B21" s="145" t="s">
        <v>704</v>
      </c>
      <c r="C21" s="141" t="s">
        <v>705</v>
      </c>
      <c r="D21" s="142">
        <v>353000</v>
      </c>
      <c r="E21" s="142"/>
      <c r="F21" s="143"/>
      <c r="G21" s="144">
        <f t="shared" si="0"/>
        <v>353000</v>
      </c>
      <c r="H21" s="145" t="s">
        <v>672</v>
      </c>
    </row>
    <row r="22" spans="1:8" ht="21.75" customHeight="1">
      <c r="A22" s="155"/>
      <c r="B22" s="145" t="s">
        <v>706</v>
      </c>
      <c r="C22" s="141" t="s">
        <v>707</v>
      </c>
      <c r="D22" s="142">
        <v>407500</v>
      </c>
      <c r="E22" s="142"/>
      <c r="F22" s="143"/>
      <c r="G22" s="144">
        <f t="shared" si="0"/>
        <v>407500</v>
      </c>
      <c r="H22" s="145" t="s">
        <v>672</v>
      </c>
    </row>
    <row r="23" spans="1:8" ht="20.25" customHeight="1">
      <c r="A23" s="155"/>
      <c r="B23" s="145" t="s">
        <v>708</v>
      </c>
      <c r="C23" s="141" t="s">
        <v>709</v>
      </c>
      <c r="D23" s="142">
        <v>190400</v>
      </c>
      <c r="E23" s="142"/>
      <c r="F23" s="143"/>
      <c r="G23" s="144">
        <f t="shared" si="0"/>
        <v>190400</v>
      </c>
      <c r="H23" s="145" t="s">
        <v>674</v>
      </c>
    </row>
    <row r="24" spans="1:8" ht="21" customHeight="1">
      <c r="A24" s="155"/>
      <c r="B24" s="151" t="s">
        <v>710</v>
      </c>
      <c r="C24" s="141" t="s">
        <v>711</v>
      </c>
      <c r="D24" s="142">
        <v>352000</v>
      </c>
      <c r="E24" s="142"/>
      <c r="F24" s="143"/>
      <c r="G24" s="144">
        <f t="shared" si="0"/>
        <v>352000</v>
      </c>
      <c r="H24" s="145" t="s">
        <v>674</v>
      </c>
    </row>
    <row r="25" spans="1:8" ht="22.5" customHeight="1">
      <c r="A25" s="155"/>
      <c r="B25" s="140" t="s">
        <v>119</v>
      </c>
      <c r="C25" s="141" t="s">
        <v>712</v>
      </c>
      <c r="D25" s="142">
        <v>253000</v>
      </c>
      <c r="E25" s="142"/>
      <c r="F25" s="143"/>
      <c r="G25" s="154">
        <f t="shared" si="0"/>
        <v>253000</v>
      </c>
      <c r="H25" s="145" t="s">
        <v>672</v>
      </c>
    </row>
    <row r="26" spans="1:8" ht="21.75" customHeight="1">
      <c r="A26" s="155"/>
      <c r="B26" s="148" t="s">
        <v>713</v>
      </c>
      <c r="C26" s="141" t="s">
        <v>714</v>
      </c>
      <c r="D26" s="142">
        <v>328000</v>
      </c>
      <c r="E26" s="142"/>
      <c r="F26" s="143"/>
      <c r="G26" s="144">
        <f t="shared" si="0"/>
        <v>328000</v>
      </c>
      <c r="H26" s="145" t="s">
        <v>672</v>
      </c>
    </row>
    <row r="27" spans="1:8" ht="20.25" customHeight="1">
      <c r="A27" s="155"/>
      <c r="B27" s="151" t="s">
        <v>715</v>
      </c>
      <c r="C27" s="141" t="s">
        <v>716</v>
      </c>
      <c r="D27" s="142">
        <v>210500</v>
      </c>
      <c r="E27" s="142"/>
      <c r="F27" s="143"/>
      <c r="G27" s="144">
        <f t="shared" si="0"/>
        <v>210500</v>
      </c>
      <c r="H27" s="145" t="s">
        <v>674</v>
      </c>
    </row>
    <row r="28" spans="1:8" ht="22.5" customHeight="1">
      <c r="A28" s="155"/>
      <c r="B28" s="145" t="s">
        <v>717</v>
      </c>
      <c r="C28" s="141" t="s">
        <v>718</v>
      </c>
      <c r="D28" s="142">
        <v>285400</v>
      </c>
      <c r="E28" s="142"/>
      <c r="F28" s="143"/>
      <c r="G28" s="144">
        <f t="shared" si="0"/>
        <v>285400</v>
      </c>
      <c r="H28" s="145" t="s">
        <v>672</v>
      </c>
    </row>
    <row r="29" spans="1:8" ht="22.5" customHeight="1">
      <c r="A29" s="155"/>
      <c r="B29" s="145" t="s">
        <v>719</v>
      </c>
      <c r="C29" s="141" t="s">
        <v>720</v>
      </c>
      <c r="D29" s="142">
        <v>392400</v>
      </c>
      <c r="E29" s="142"/>
      <c r="F29" s="143"/>
      <c r="G29" s="144">
        <f t="shared" si="0"/>
        <v>392400</v>
      </c>
      <c r="H29" s="145" t="s">
        <v>672</v>
      </c>
    </row>
    <row r="30" spans="1:8" ht="22.5" customHeight="1">
      <c r="A30" s="155"/>
      <c r="B30" s="145" t="s">
        <v>721</v>
      </c>
      <c r="C30" s="141" t="s">
        <v>722</v>
      </c>
      <c r="D30" s="142">
        <v>177000</v>
      </c>
      <c r="E30" s="142"/>
      <c r="F30" s="143"/>
      <c r="G30" s="144">
        <f t="shared" si="0"/>
        <v>177000</v>
      </c>
      <c r="H30" s="145" t="s">
        <v>674</v>
      </c>
    </row>
    <row r="31" spans="1:8" ht="22.5" customHeight="1">
      <c r="A31" s="155"/>
      <c r="B31" s="145" t="s">
        <v>721</v>
      </c>
      <c r="C31" s="141" t="s">
        <v>723</v>
      </c>
      <c r="D31" s="142">
        <v>425000</v>
      </c>
      <c r="E31" s="142">
        <v>212500</v>
      </c>
      <c r="F31" s="143" t="s">
        <v>674</v>
      </c>
      <c r="G31" s="144">
        <f t="shared" si="0"/>
        <v>212500</v>
      </c>
      <c r="H31" s="145" t="s">
        <v>674</v>
      </c>
    </row>
    <row r="32" spans="1:8" ht="21.75" customHeight="1">
      <c r="A32" s="155"/>
      <c r="B32" s="145" t="s">
        <v>724</v>
      </c>
      <c r="C32" s="141" t="s">
        <v>725</v>
      </c>
      <c r="D32" s="142">
        <v>407500</v>
      </c>
      <c r="E32" s="142">
        <v>210000</v>
      </c>
      <c r="F32" s="143" t="s">
        <v>672</v>
      </c>
      <c r="G32" s="144">
        <f t="shared" si="0"/>
        <v>197500</v>
      </c>
      <c r="H32" s="145" t="s">
        <v>672</v>
      </c>
    </row>
    <row r="33" spans="1:8" ht="22.5" customHeight="1">
      <c r="A33" s="155"/>
      <c r="B33" s="148" t="s">
        <v>726</v>
      </c>
      <c r="C33" s="141" t="s">
        <v>727</v>
      </c>
      <c r="D33" s="142">
        <v>367400</v>
      </c>
      <c r="E33" s="142"/>
      <c r="F33" s="143"/>
      <c r="G33" s="144">
        <f t="shared" si="0"/>
        <v>367400</v>
      </c>
      <c r="H33" s="145" t="s">
        <v>674</v>
      </c>
    </row>
    <row r="34" spans="1:8" ht="26.25" customHeight="1">
      <c r="A34" s="155"/>
      <c r="B34" s="145" t="s">
        <v>728</v>
      </c>
      <c r="C34" s="141" t="s">
        <v>729</v>
      </c>
      <c r="D34" s="142">
        <v>219600</v>
      </c>
      <c r="E34" s="142"/>
      <c r="F34" s="143"/>
      <c r="G34" s="144">
        <f t="shared" si="0"/>
        <v>219600</v>
      </c>
      <c r="H34" s="145" t="s">
        <v>674</v>
      </c>
    </row>
    <row r="35" spans="1:8" ht="22.5" customHeight="1">
      <c r="A35" s="155"/>
      <c r="B35" s="145" t="s">
        <v>35</v>
      </c>
      <c r="C35" s="141" t="s">
        <v>730</v>
      </c>
      <c r="D35" s="142">
        <v>176000</v>
      </c>
      <c r="E35" s="142">
        <v>88000</v>
      </c>
      <c r="F35" s="143" t="s">
        <v>672</v>
      </c>
      <c r="G35" s="144">
        <f t="shared" si="0"/>
        <v>88000</v>
      </c>
      <c r="H35" s="145" t="s">
        <v>672</v>
      </c>
    </row>
    <row r="36" spans="1:8" ht="19.5" customHeight="1">
      <c r="A36" s="155"/>
      <c r="B36" s="145" t="s">
        <v>731</v>
      </c>
      <c r="C36" s="141" t="s">
        <v>732</v>
      </c>
      <c r="D36" s="142">
        <v>342400</v>
      </c>
      <c r="E36" s="142"/>
      <c r="F36" s="143"/>
      <c r="G36" s="144">
        <f t="shared" si="0"/>
        <v>342400</v>
      </c>
      <c r="H36" s="145" t="s">
        <v>674</v>
      </c>
    </row>
    <row r="37" spans="1:8" ht="21.75" customHeight="1">
      <c r="A37" s="155"/>
      <c r="B37" s="145" t="s">
        <v>733</v>
      </c>
      <c r="C37" s="141" t="s">
        <v>734</v>
      </c>
      <c r="D37" s="142">
        <v>227000</v>
      </c>
      <c r="E37" s="142"/>
      <c r="F37" s="143"/>
      <c r="G37" s="144">
        <f t="shared" si="0"/>
        <v>227000</v>
      </c>
      <c r="H37" s="145" t="s">
        <v>672</v>
      </c>
    </row>
    <row r="38" spans="1:8" ht="20.25" customHeight="1">
      <c r="A38" s="155"/>
      <c r="B38" s="145" t="s">
        <v>735</v>
      </c>
      <c r="C38" s="141" t="s">
        <v>736</v>
      </c>
      <c r="D38" s="142">
        <v>612000</v>
      </c>
      <c r="E38" s="142"/>
      <c r="F38" s="143"/>
      <c r="G38" s="144">
        <f t="shared" si="0"/>
        <v>612000</v>
      </c>
      <c r="H38" s="145" t="s">
        <v>674</v>
      </c>
    </row>
    <row r="39" spans="1:8" ht="23.25" customHeight="1">
      <c r="A39" s="155"/>
      <c r="B39" s="145" t="s">
        <v>737</v>
      </c>
      <c r="C39" s="141" t="s">
        <v>738</v>
      </c>
      <c r="D39" s="142">
        <v>367400</v>
      </c>
      <c r="E39" s="142"/>
      <c r="F39" s="143"/>
      <c r="G39" s="144">
        <f t="shared" si="0"/>
        <v>367400</v>
      </c>
      <c r="H39" s="145" t="s">
        <v>672</v>
      </c>
    </row>
    <row r="40" spans="1:8" ht="21" customHeight="1">
      <c r="A40" s="155"/>
      <c r="B40" s="145" t="s">
        <v>739</v>
      </c>
      <c r="C40" s="141" t="s">
        <v>740</v>
      </c>
      <c r="D40" s="142">
        <v>382500</v>
      </c>
      <c r="E40" s="142"/>
      <c r="F40" s="143"/>
      <c r="G40" s="144">
        <f t="shared" si="0"/>
        <v>382500</v>
      </c>
      <c r="H40" s="145" t="s">
        <v>674</v>
      </c>
    </row>
    <row r="41" spans="1:8" ht="21.75" customHeight="1">
      <c r="A41" s="155"/>
      <c r="B41" s="145" t="s">
        <v>741</v>
      </c>
      <c r="C41" s="141" t="s">
        <v>742</v>
      </c>
      <c r="D41" s="142">
        <v>329000</v>
      </c>
      <c r="E41" s="142"/>
      <c r="F41" s="143"/>
      <c r="G41" s="144">
        <f t="shared" si="0"/>
        <v>329000</v>
      </c>
      <c r="H41" s="145" t="s">
        <v>674</v>
      </c>
    </row>
    <row r="42" spans="1:8" ht="22.5" customHeight="1">
      <c r="A42" s="155"/>
      <c r="B42" s="145" t="s">
        <v>743</v>
      </c>
      <c r="C42" s="141" t="s">
        <v>744</v>
      </c>
      <c r="D42" s="142">
        <v>700000</v>
      </c>
      <c r="E42" s="142"/>
      <c r="F42" s="143"/>
      <c r="G42" s="144">
        <f t="shared" si="0"/>
        <v>700000</v>
      </c>
      <c r="H42" s="145" t="s">
        <v>674</v>
      </c>
    </row>
    <row r="43" spans="1:8" ht="20.25" customHeight="1">
      <c r="A43" s="155"/>
      <c r="B43" s="145" t="s">
        <v>745</v>
      </c>
      <c r="C43" s="141" t="s">
        <v>746</v>
      </c>
      <c r="D43" s="142">
        <v>5100000</v>
      </c>
      <c r="E43" s="142"/>
      <c r="F43" s="143"/>
      <c r="G43" s="144">
        <f t="shared" si="0"/>
        <v>5100000</v>
      </c>
      <c r="H43" s="145" t="s">
        <v>674</v>
      </c>
    </row>
    <row r="44" spans="1:8" ht="22.5" customHeight="1">
      <c r="A44" s="155"/>
      <c r="B44" s="156" t="s">
        <v>747</v>
      </c>
      <c r="C44" s="141" t="s">
        <v>748</v>
      </c>
      <c r="D44" s="142">
        <v>300000</v>
      </c>
      <c r="E44" s="142"/>
      <c r="F44" s="143"/>
      <c r="G44" s="144">
        <f t="shared" si="0"/>
        <v>300000</v>
      </c>
      <c r="H44" s="145" t="s">
        <v>674</v>
      </c>
    </row>
    <row r="45" spans="1:8" ht="23.25" customHeight="1">
      <c r="A45" s="155"/>
      <c r="B45" s="148" t="s">
        <v>749</v>
      </c>
      <c r="C45" s="141" t="s">
        <v>750</v>
      </c>
      <c r="D45" s="142">
        <v>152000</v>
      </c>
      <c r="E45" s="142"/>
      <c r="F45" s="143"/>
      <c r="G45" s="144">
        <f t="shared" si="0"/>
        <v>152000</v>
      </c>
      <c r="H45" s="145" t="s">
        <v>674</v>
      </c>
    </row>
    <row r="46" spans="1:8" ht="23.25" customHeight="1">
      <c r="A46" s="155"/>
      <c r="B46" s="148" t="s">
        <v>749</v>
      </c>
      <c r="C46" s="141" t="s">
        <v>751</v>
      </c>
      <c r="D46" s="142">
        <v>177000</v>
      </c>
      <c r="E46" s="142"/>
      <c r="F46" s="143"/>
      <c r="G46" s="144">
        <f t="shared" si="0"/>
        <v>177000</v>
      </c>
      <c r="H46" s="145" t="s">
        <v>674</v>
      </c>
    </row>
    <row r="47" spans="1:8" ht="21.75" customHeight="1">
      <c r="A47" s="155"/>
      <c r="B47" s="152" t="s">
        <v>686</v>
      </c>
      <c r="C47" s="141" t="s">
        <v>752</v>
      </c>
      <c r="D47" s="142">
        <v>382000</v>
      </c>
      <c r="E47" s="142"/>
      <c r="F47" s="143"/>
      <c r="G47" s="144">
        <f t="shared" si="0"/>
        <v>382000</v>
      </c>
      <c r="H47" s="145" t="s">
        <v>753</v>
      </c>
    </row>
    <row r="48" spans="1:8" ht="21" customHeight="1">
      <c r="A48" s="155"/>
      <c r="B48" s="147" t="s">
        <v>754</v>
      </c>
      <c r="C48" s="141" t="s">
        <v>755</v>
      </c>
      <c r="D48" s="142">
        <v>50000</v>
      </c>
      <c r="E48" s="142"/>
      <c r="F48" s="143"/>
      <c r="G48" s="144">
        <f t="shared" si="0"/>
        <v>50000</v>
      </c>
      <c r="H48" s="145" t="s">
        <v>672</v>
      </c>
    </row>
    <row r="49" spans="1:8" ht="22.5" customHeight="1">
      <c r="A49" s="155"/>
      <c r="B49" s="148" t="s">
        <v>678</v>
      </c>
      <c r="C49" s="141" t="s">
        <v>756</v>
      </c>
      <c r="D49" s="142">
        <v>161500</v>
      </c>
      <c r="E49" s="142"/>
      <c r="F49" s="143"/>
      <c r="G49" s="144">
        <f t="shared" si="0"/>
        <v>161500</v>
      </c>
      <c r="H49" s="145" t="s">
        <v>674</v>
      </c>
    </row>
    <row r="50" spans="1:8" ht="21.75" customHeight="1">
      <c r="A50" s="155"/>
      <c r="B50" s="145" t="s">
        <v>493</v>
      </c>
      <c r="C50" s="141" t="s">
        <v>757</v>
      </c>
      <c r="D50" s="142">
        <v>202000</v>
      </c>
      <c r="E50" s="142"/>
      <c r="F50" s="143"/>
      <c r="G50" s="144">
        <f t="shared" si="0"/>
        <v>202000</v>
      </c>
      <c r="H50" s="145" t="s">
        <v>672</v>
      </c>
    </row>
    <row r="51" spans="1:8" ht="22.5" customHeight="1">
      <c r="A51" s="155"/>
      <c r="B51" s="151" t="s">
        <v>758</v>
      </c>
      <c r="C51" s="141" t="s">
        <v>759</v>
      </c>
      <c r="D51" s="142">
        <v>642400</v>
      </c>
      <c r="E51" s="142"/>
      <c r="F51" s="143"/>
      <c r="G51" s="144">
        <f t="shared" si="0"/>
        <v>642400</v>
      </c>
      <c r="H51" s="145" t="s">
        <v>674</v>
      </c>
    </row>
    <row r="52" spans="1:8" ht="24" customHeight="1">
      <c r="A52" s="155"/>
      <c r="B52" s="145" t="s">
        <v>760</v>
      </c>
      <c r="C52" s="141" t="s">
        <v>761</v>
      </c>
      <c r="D52" s="142">
        <v>177000</v>
      </c>
      <c r="E52" s="142"/>
      <c r="F52" s="143"/>
      <c r="G52" s="144">
        <f t="shared" si="0"/>
        <v>177000</v>
      </c>
      <c r="H52" s="145" t="s">
        <v>674</v>
      </c>
    </row>
    <row r="53" spans="1:8" ht="22.5" customHeight="1">
      <c r="A53" s="155"/>
      <c r="B53" s="145" t="s">
        <v>762</v>
      </c>
      <c r="C53" s="141" t="s">
        <v>763</v>
      </c>
      <c r="D53" s="142">
        <v>202000</v>
      </c>
      <c r="E53" s="142"/>
      <c r="F53" s="143"/>
      <c r="G53" s="144">
        <f t="shared" si="0"/>
        <v>202000</v>
      </c>
      <c r="H53" s="145" t="s">
        <v>672</v>
      </c>
    </row>
    <row r="54" spans="1:8" ht="22.5" customHeight="1">
      <c r="A54" s="155"/>
      <c r="B54" s="145" t="s">
        <v>764</v>
      </c>
      <c r="C54" s="141" t="s">
        <v>765</v>
      </c>
      <c r="D54" s="142">
        <v>476750</v>
      </c>
      <c r="E54" s="142"/>
      <c r="F54" s="143"/>
      <c r="G54" s="144">
        <f t="shared" si="0"/>
        <v>476750</v>
      </c>
      <c r="H54" s="145" t="s">
        <v>674</v>
      </c>
    </row>
    <row r="55" spans="1:8" ht="18.75" customHeight="1">
      <c r="A55" s="155"/>
      <c r="B55" s="145" t="s">
        <v>766</v>
      </c>
      <c r="C55" s="141" t="s">
        <v>767</v>
      </c>
      <c r="D55" s="142">
        <v>201000</v>
      </c>
      <c r="E55" s="142"/>
      <c r="F55" s="143"/>
      <c r="G55" s="144">
        <f t="shared" si="0"/>
        <v>201000</v>
      </c>
      <c r="H55" s="145" t="s">
        <v>672</v>
      </c>
    </row>
    <row r="56" spans="1:8" ht="23.25" customHeight="1">
      <c r="A56" s="155"/>
      <c r="B56" s="145" t="s">
        <v>768</v>
      </c>
      <c r="C56" s="141" t="s">
        <v>769</v>
      </c>
      <c r="D56" s="142">
        <v>201000</v>
      </c>
      <c r="E56" s="142"/>
      <c r="F56" s="143"/>
      <c r="G56" s="144">
        <f t="shared" si="0"/>
        <v>201000</v>
      </c>
      <c r="H56" s="145" t="s">
        <v>770</v>
      </c>
    </row>
    <row r="57" spans="1:8" ht="21.75" customHeight="1">
      <c r="A57" s="155"/>
      <c r="B57" s="145" t="s">
        <v>771</v>
      </c>
      <c r="C57" s="141" t="s">
        <v>772</v>
      </c>
      <c r="D57" s="142">
        <v>176000</v>
      </c>
      <c r="E57" s="142"/>
      <c r="F57" s="143"/>
      <c r="G57" s="144">
        <f t="shared" si="0"/>
        <v>176000</v>
      </c>
      <c r="H57" s="145" t="s">
        <v>672</v>
      </c>
    </row>
    <row r="58" spans="1:8" ht="21" customHeight="1">
      <c r="A58" s="155"/>
      <c r="B58" s="145" t="s">
        <v>773</v>
      </c>
      <c r="C58" s="141" t="s">
        <v>774</v>
      </c>
      <c r="D58" s="142">
        <v>177000</v>
      </c>
      <c r="E58" s="142"/>
      <c r="F58" s="143"/>
      <c r="G58" s="144">
        <f t="shared" si="0"/>
        <v>177000</v>
      </c>
      <c r="H58" s="145" t="s">
        <v>672</v>
      </c>
    </row>
    <row r="59" spans="1:8" ht="18.75" customHeight="1">
      <c r="A59" s="155"/>
      <c r="B59" s="145" t="s">
        <v>775</v>
      </c>
      <c r="C59" s="141" t="s">
        <v>776</v>
      </c>
      <c r="D59" s="142">
        <v>280000</v>
      </c>
      <c r="E59" s="142"/>
      <c r="F59" s="143"/>
      <c r="G59" s="144">
        <f t="shared" si="0"/>
        <v>280000</v>
      </c>
      <c r="H59" s="145" t="s">
        <v>777</v>
      </c>
    </row>
    <row r="60" spans="1:8" ht="22.5" customHeight="1">
      <c r="A60" s="155"/>
      <c r="B60" s="148" t="s">
        <v>778</v>
      </c>
      <c r="C60" s="141" t="s">
        <v>779</v>
      </c>
      <c r="D60" s="142">
        <v>526900</v>
      </c>
      <c r="E60" s="142"/>
      <c r="F60" s="143"/>
      <c r="G60" s="144">
        <f t="shared" si="0"/>
        <v>526900</v>
      </c>
      <c r="H60" s="145" t="s">
        <v>674</v>
      </c>
    </row>
    <row r="61" spans="1:8" ht="24" customHeight="1">
      <c r="A61" s="155"/>
      <c r="B61" s="151" t="s">
        <v>780</v>
      </c>
      <c r="C61" s="141" t="s">
        <v>781</v>
      </c>
      <c r="D61" s="142">
        <v>210500</v>
      </c>
      <c r="E61" s="142"/>
      <c r="F61" s="143"/>
      <c r="G61" s="144">
        <f t="shared" si="0"/>
        <v>210500</v>
      </c>
      <c r="H61" s="145" t="s">
        <v>674</v>
      </c>
    </row>
    <row r="62" spans="1:8" ht="22.5" customHeight="1">
      <c r="A62" s="155"/>
      <c r="B62" s="145" t="s">
        <v>50</v>
      </c>
      <c r="C62" s="141" t="s">
        <v>782</v>
      </c>
      <c r="D62" s="142">
        <v>177000</v>
      </c>
      <c r="E62" s="142"/>
      <c r="F62" s="143"/>
      <c r="G62" s="144">
        <f t="shared" si="0"/>
        <v>177000</v>
      </c>
      <c r="H62" s="145" t="s">
        <v>672</v>
      </c>
    </row>
    <row r="63" spans="1:8" ht="23.25" customHeight="1">
      <c r="A63" s="155"/>
      <c r="B63" s="145" t="s">
        <v>783</v>
      </c>
      <c r="C63" s="141" t="s">
        <v>784</v>
      </c>
      <c r="D63" s="142">
        <v>387500</v>
      </c>
      <c r="E63" s="142"/>
      <c r="F63" s="143"/>
      <c r="G63" s="144">
        <f t="shared" si="0"/>
        <v>387500</v>
      </c>
      <c r="H63" s="145" t="s">
        <v>674</v>
      </c>
    </row>
    <row r="64" spans="1:8" ht="22.5" customHeight="1">
      <c r="A64" s="155"/>
      <c r="B64" s="157" t="s">
        <v>785</v>
      </c>
      <c r="C64" s="141" t="s">
        <v>786</v>
      </c>
      <c r="D64" s="142">
        <v>202000</v>
      </c>
      <c r="E64" s="142"/>
      <c r="F64" s="143"/>
      <c r="G64" s="144">
        <f t="shared" si="0"/>
        <v>202000</v>
      </c>
      <c r="H64" s="145" t="s">
        <v>674</v>
      </c>
    </row>
    <row r="65" spans="1:9" ht="21.75" customHeight="1">
      <c r="A65" s="155"/>
      <c r="B65" s="145" t="s">
        <v>787</v>
      </c>
      <c r="C65" s="141" t="s">
        <v>788</v>
      </c>
      <c r="D65" s="142">
        <v>227000</v>
      </c>
      <c r="E65" s="142"/>
      <c r="F65" s="143"/>
      <c r="G65" s="144">
        <f t="shared" si="0"/>
        <v>227000</v>
      </c>
      <c r="H65" s="145" t="s">
        <v>672</v>
      </c>
    </row>
    <row r="66" spans="1:9" ht="22.5" customHeight="1">
      <c r="A66" s="155"/>
      <c r="B66" s="145" t="s">
        <v>789</v>
      </c>
      <c r="C66" s="141" t="s">
        <v>790</v>
      </c>
      <c r="D66" s="142">
        <v>215400</v>
      </c>
      <c r="E66" s="142"/>
      <c r="F66" s="143"/>
      <c r="G66" s="144">
        <f t="shared" si="0"/>
        <v>215400</v>
      </c>
      <c r="H66" s="158" t="s">
        <v>791</v>
      </c>
      <c r="I66" s="159" t="s">
        <v>792</v>
      </c>
    </row>
    <row r="67" spans="1:9" ht="22.5" customHeight="1">
      <c r="A67" s="155"/>
      <c r="B67" s="140" t="s">
        <v>793</v>
      </c>
      <c r="C67" s="141" t="s">
        <v>794</v>
      </c>
      <c r="D67" s="142">
        <v>352000</v>
      </c>
      <c r="E67" s="142">
        <v>176000</v>
      </c>
      <c r="F67" s="143" t="s">
        <v>672</v>
      </c>
      <c r="G67" s="144">
        <f t="shared" si="0"/>
        <v>176000</v>
      </c>
      <c r="H67" s="145" t="s">
        <v>672</v>
      </c>
    </row>
    <row r="68" spans="1:9" ht="19.5" customHeight="1">
      <c r="A68" s="146"/>
      <c r="B68" s="145" t="s">
        <v>795</v>
      </c>
      <c r="C68" s="141" t="s">
        <v>796</v>
      </c>
      <c r="D68" s="142">
        <v>480000</v>
      </c>
      <c r="E68" s="142"/>
      <c r="F68" s="143"/>
      <c r="G68" s="144">
        <f t="shared" si="0"/>
        <v>480000</v>
      </c>
      <c r="H68" s="145" t="s">
        <v>674</v>
      </c>
    </row>
    <row r="69" spans="1:9" ht="20.25" customHeight="1">
      <c r="A69" s="139"/>
      <c r="B69" s="145" t="s">
        <v>797</v>
      </c>
      <c r="C69" s="141" t="s">
        <v>798</v>
      </c>
      <c r="D69" s="142">
        <v>176000</v>
      </c>
      <c r="E69" s="142"/>
      <c r="F69" s="143"/>
      <c r="G69" s="144">
        <f t="shared" si="0"/>
        <v>176000</v>
      </c>
      <c r="H69" s="145" t="s">
        <v>674</v>
      </c>
    </row>
    <row r="70" spans="1:9" ht="20.25" customHeight="1">
      <c r="A70" s="155"/>
      <c r="B70" s="145" t="s">
        <v>35</v>
      </c>
      <c r="C70" s="141" t="s">
        <v>799</v>
      </c>
      <c r="D70" s="142">
        <v>148750</v>
      </c>
      <c r="E70" s="142">
        <v>74375</v>
      </c>
      <c r="F70" s="143" t="s">
        <v>672</v>
      </c>
      <c r="G70" s="144">
        <f t="shared" si="0"/>
        <v>74375</v>
      </c>
      <c r="H70" s="145" t="s">
        <v>672</v>
      </c>
    </row>
    <row r="71" spans="1:9" ht="20.25" customHeight="1">
      <c r="A71" s="155"/>
      <c r="B71" s="145" t="s">
        <v>800</v>
      </c>
      <c r="C71" s="141" t="s">
        <v>801</v>
      </c>
      <c r="D71" s="142">
        <v>528000</v>
      </c>
      <c r="E71" s="142">
        <v>264000</v>
      </c>
      <c r="F71" s="143" t="s">
        <v>672</v>
      </c>
      <c r="G71" s="144">
        <f t="shared" si="0"/>
        <v>264000</v>
      </c>
      <c r="H71" s="145" t="s">
        <v>672</v>
      </c>
    </row>
    <row r="72" spans="1:9" ht="20.25" customHeight="1">
      <c r="A72" s="155"/>
      <c r="B72" s="160" t="s">
        <v>802</v>
      </c>
      <c r="C72" s="141" t="s">
        <v>803</v>
      </c>
      <c r="D72" s="142">
        <v>354000</v>
      </c>
      <c r="E72" s="142">
        <v>177000</v>
      </c>
      <c r="F72" s="143" t="s">
        <v>674</v>
      </c>
      <c r="G72" s="144">
        <f t="shared" si="0"/>
        <v>177000</v>
      </c>
      <c r="H72" s="145" t="s">
        <v>674</v>
      </c>
    </row>
    <row r="73" spans="1:9" ht="25.5" customHeight="1">
      <c r="A73" s="139"/>
      <c r="B73" s="145" t="s">
        <v>804</v>
      </c>
      <c r="C73" s="141" t="s">
        <v>805</v>
      </c>
      <c r="D73" s="142">
        <v>202000</v>
      </c>
      <c r="E73" s="142"/>
      <c r="F73" s="143"/>
      <c r="G73" s="144">
        <f t="shared" si="0"/>
        <v>202000</v>
      </c>
      <c r="H73" s="145" t="s">
        <v>672</v>
      </c>
    </row>
    <row r="74" spans="1:9" ht="22.5" customHeight="1">
      <c r="A74" s="139"/>
      <c r="B74" s="145" t="s">
        <v>806</v>
      </c>
      <c r="C74" s="141" t="s">
        <v>807</v>
      </c>
      <c r="D74" s="142">
        <v>190400</v>
      </c>
      <c r="E74" s="142"/>
      <c r="F74" s="143"/>
      <c r="G74" s="144">
        <f t="shared" si="0"/>
        <v>190400</v>
      </c>
      <c r="H74" s="145" t="s">
        <v>672</v>
      </c>
    </row>
    <row r="75" spans="1:9" ht="22.5" customHeight="1">
      <c r="A75" s="139"/>
      <c r="B75" s="145" t="s">
        <v>806</v>
      </c>
      <c r="C75" s="141" t="s">
        <v>808</v>
      </c>
      <c r="D75" s="142">
        <v>432500</v>
      </c>
      <c r="E75" s="142"/>
      <c r="F75" s="143"/>
      <c r="G75" s="144">
        <f t="shared" si="0"/>
        <v>432500</v>
      </c>
      <c r="H75" s="145" t="s">
        <v>674</v>
      </c>
    </row>
    <row r="76" spans="1:9" ht="19.5" customHeight="1">
      <c r="A76" s="139"/>
      <c r="B76" s="147" t="s">
        <v>385</v>
      </c>
      <c r="C76" s="141" t="s">
        <v>809</v>
      </c>
      <c r="D76" s="142">
        <v>831000</v>
      </c>
      <c r="E76" s="142">
        <v>391000</v>
      </c>
      <c r="F76" s="143" t="s">
        <v>672</v>
      </c>
      <c r="G76" s="144">
        <f t="shared" si="0"/>
        <v>440000</v>
      </c>
      <c r="H76" s="145" t="s">
        <v>674</v>
      </c>
    </row>
    <row r="77" spans="1:9" ht="22.5" customHeight="1">
      <c r="A77" s="139"/>
      <c r="B77" s="147" t="s">
        <v>810</v>
      </c>
      <c r="C77" s="141" t="s">
        <v>811</v>
      </c>
      <c r="D77" s="142">
        <v>353000</v>
      </c>
      <c r="E77" s="142"/>
      <c r="F77" s="143"/>
      <c r="G77" s="144">
        <f t="shared" si="0"/>
        <v>353000</v>
      </c>
      <c r="H77" s="145" t="s">
        <v>672</v>
      </c>
    </row>
    <row r="78" spans="1:9" ht="22.5" customHeight="1">
      <c r="A78" s="146"/>
      <c r="B78" s="153" t="s">
        <v>812</v>
      </c>
      <c r="C78" s="141" t="s">
        <v>813</v>
      </c>
      <c r="D78" s="142">
        <v>177000</v>
      </c>
      <c r="E78" s="142"/>
      <c r="F78" s="143"/>
      <c r="G78" s="144">
        <v>177000</v>
      </c>
      <c r="H78" s="145" t="s">
        <v>672</v>
      </c>
    </row>
    <row r="79" spans="1:9" ht="24.75" customHeight="1">
      <c r="A79" s="146"/>
      <c r="B79" s="147" t="s">
        <v>520</v>
      </c>
      <c r="C79" s="141" t="s">
        <v>814</v>
      </c>
      <c r="D79" s="142">
        <v>378000</v>
      </c>
      <c r="E79" s="142"/>
      <c r="F79" s="143"/>
      <c r="G79" s="144">
        <f t="shared" ref="G79:G80" si="1">D79-E79</f>
        <v>378000</v>
      </c>
      <c r="H79" s="145" t="s">
        <v>770</v>
      </c>
    </row>
    <row r="80" spans="1:9" ht="22.5" customHeight="1">
      <c r="A80" s="139"/>
      <c r="B80" s="147" t="s">
        <v>815</v>
      </c>
      <c r="C80" s="141" t="s">
        <v>816</v>
      </c>
      <c r="D80" s="142">
        <v>680000</v>
      </c>
      <c r="E80" s="142">
        <v>440000</v>
      </c>
      <c r="F80" s="143" t="s">
        <v>672</v>
      </c>
      <c r="G80" s="144">
        <f t="shared" si="1"/>
        <v>240000</v>
      </c>
      <c r="H80" s="145" t="s">
        <v>672</v>
      </c>
    </row>
    <row r="81" spans="1:9" ht="22.5" customHeight="1">
      <c r="A81" s="139"/>
      <c r="B81" s="147" t="s">
        <v>817</v>
      </c>
      <c r="C81" s="161" t="s">
        <v>818</v>
      </c>
      <c r="D81" s="142">
        <v>450000</v>
      </c>
      <c r="E81" s="142"/>
      <c r="F81" s="143"/>
      <c r="G81" s="144">
        <v>450000</v>
      </c>
      <c r="H81" s="145" t="s">
        <v>672</v>
      </c>
    </row>
    <row r="82" spans="1:9" ht="20.25" customHeight="1">
      <c r="A82" s="139"/>
      <c r="B82" s="145" t="s">
        <v>819</v>
      </c>
      <c r="C82" s="141" t="s">
        <v>820</v>
      </c>
      <c r="D82" s="142">
        <v>530000</v>
      </c>
      <c r="E82" s="142"/>
      <c r="F82" s="143"/>
      <c r="G82" s="144">
        <f t="shared" ref="G82:G336" si="2">D82-E82</f>
        <v>530000</v>
      </c>
      <c r="H82" s="145" t="s">
        <v>770</v>
      </c>
    </row>
    <row r="83" spans="1:9" ht="22.5" customHeight="1">
      <c r="A83" s="146"/>
      <c r="B83" s="145" t="s">
        <v>821</v>
      </c>
      <c r="C83" s="141" t="s">
        <v>822</v>
      </c>
      <c r="D83" s="142">
        <v>377000</v>
      </c>
      <c r="E83" s="142"/>
      <c r="F83" s="143"/>
      <c r="G83" s="144">
        <f t="shared" si="2"/>
        <v>377000</v>
      </c>
      <c r="H83" s="145" t="s">
        <v>674</v>
      </c>
    </row>
    <row r="84" spans="1:9" ht="22.5" customHeight="1">
      <c r="A84" s="139"/>
      <c r="B84" s="145" t="s">
        <v>823</v>
      </c>
      <c r="C84" s="141" t="s">
        <v>824</v>
      </c>
      <c r="D84" s="142">
        <v>366400</v>
      </c>
      <c r="E84" s="142"/>
      <c r="F84" s="143"/>
      <c r="G84" s="144">
        <f t="shared" si="2"/>
        <v>366400</v>
      </c>
      <c r="H84" s="145" t="s">
        <v>674</v>
      </c>
    </row>
    <row r="85" spans="1:9" ht="20.25" customHeight="1">
      <c r="A85" s="146"/>
      <c r="B85" s="145" t="s">
        <v>825</v>
      </c>
      <c r="C85" s="141" t="s">
        <v>826</v>
      </c>
      <c r="D85" s="142">
        <v>173750</v>
      </c>
      <c r="E85" s="142"/>
      <c r="F85" s="143"/>
      <c r="G85" s="144">
        <f t="shared" si="2"/>
        <v>173750</v>
      </c>
      <c r="H85" s="145" t="s">
        <v>672</v>
      </c>
    </row>
    <row r="86" spans="1:9" ht="23.25" customHeight="1">
      <c r="A86" s="139"/>
      <c r="B86" s="151" t="s">
        <v>827</v>
      </c>
      <c r="C86" s="141" t="s">
        <v>828</v>
      </c>
      <c r="D86" s="142">
        <v>227000</v>
      </c>
      <c r="E86" s="142"/>
      <c r="F86" s="143"/>
      <c r="G86" s="144">
        <f t="shared" si="2"/>
        <v>227000</v>
      </c>
      <c r="H86" s="145" t="s">
        <v>674</v>
      </c>
    </row>
    <row r="87" spans="1:9" ht="22.5" customHeight="1">
      <c r="A87" s="146"/>
      <c r="B87" s="145" t="s">
        <v>829</v>
      </c>
      <c r="C87" s="141" t="s">
        <v>830</v>
      </c>
      <c r="D87" s="142">
        <v>354000</v>
      </c>
      <c r="E87" s="142"/>
      <c r="F87" s="143"/>
      <c r="G87" s="144">
        <f t="shared" si="2"/>
        <v>354000</v>
      </c>
      <c r="H87" s="145" t="s">
        <v>672</v>
      </c>
    </row>
    <row r="88" spans="1:9" ht="20.25" customHeight="1">
      <c r="A88" s="139"/>
      <c r="B88" s="145" t="s">
        <v>831</v>
      </c>
      <c r="C88" s="141" t="s">
        <v>832</v>
      </c>
      <c r="D88" s="142">
        <v>407500</v>
      </c>
      <c r="E88" s="142"/>
      <c r="F88" s="143"/>
      <c r="G88" s="144">
        <f t="shared" si="2"/>
        <v>407500</v>
      </c>
      <c r="H88" s="145" t="s">
        <v>672</v>
      </c>
    </row>
    <row r="89" spans="1:9" ht="24" customHeight="1">
      <c r="A89" s="139"/>
      <c r="B89" s="145" t="s">
        <v>833</v>
      </c>
      <c r="C89" s="141" t="s">
        <v>834</v>
      </c>
      <c r="D89" s="142">
        <v>407500</v>
      </c>
      <c r="E89" s="142"/>
      <c r="F89" s="143"/>
      <c r="G89" s="144">
        <f t="shared" si="2"/>
        <v>407500</v>
      </c>
      <c r="H89" s="145" t="s">
        <v>672</v>
      </c>
    </row>
    <row r="90" spans="1:9" ht="23.25" customHeight="1">
      <c r="A90" s="139"/>
      <c r="B90" s="157" t="s">
        <v>835</v>
      </c>
      <c r="C90" s="141" t="s">
        <v>836</v>
      </c>
      <c r="D90" s="142">
        <v>177000</v>
      </c>
      <c r="E90" s="142"/>
      <c r="F90" s="143"/>
      <c r="G90" s="144">
        <f t="shared" si="2"/>
        <v>177000</v>
      </c>
      <c r="H90" s="145" t="s">
        <v>674</v>
      </c>
    </row>
    <row r="91" spans="1:9" ht="22.5" customHeight="1">
      <c r="A91" s="139"/>
      <c r="B91" s="145" t="s">
        <v>837</v>
      </c>
      <c r="C91" s="141" t="s">
        <v>838</v>
      </c>
      <c r="D91" s="142">
        <v>176000</v>
      </c>
      <c r="E91" s="142"/>
      <c r="F91" s="143"/>
      <c r="G91" s="144">
        <f t="shared" si="2"/>
        <v>176000</v>
      </c>
      <c r="H91" s="145" t="s">
        <v>672</v>
      </c>
    </row>
    <row r="92" spans="1:9" ht="21.75" customHeight="1">
      <c r="A92" s="146"/>
      <c r="B92" s="145" t="s">
        <v>839</v>
      </c>
      <c r="C92" s="141" t="s">
        <v>840</v>
      </c>
      <c r="D92" s="142">
        <v>176000</v>
      </c>
      <c r="E92" s="142"/>
      <c r="F92" s="143"/>
      <c r="G92" s="144">
        <f t="shared" si="2"/>
        <v>176000</v>
      </c>
      <c r="H92" s="158" t="s">
        <v>791</v>
      </c>
      <c r="I92" s="159" t="s">
        <v>792</v>
      </c>
    </row>
    <row r="93" spans="1:9" ht="24" customHeight="1">
      <c r="A93" s="146"/>
      <c r="B93" s="145" t="s">
        <v>841</v>
      </c>
      <c r="C93" s="141" t="s">
        <v>842</v>
      </c>
      <c r="D93" s="142">
        <v>338500</v>
      </c>
      <c r="E93" s="142"/>
      <c r="F93" s="143"/>
      <c r="G93" s="144">
        <f t="shared" si="2"/>
        <v>338500</v>
      </c>
      <c r="H93" s="145" t="s">
        <v>674</v>
      </c>
    </row>
    <row r="94" spans="1:9" ht="23.25" customHeight="1">
      <c r="A94" s="139"/>
      <c r="B94" s="145" t="s">
        <v>843</v>
      </c>
      <c r="C94" s="141" t="s">
        <v>844</v>
      </c>
      <c r="D94" s="142">
        <v>152000</v>
      </c>
      <c r="E94" s="142"/>
      <c r="F94" s="143"/>
      <c r="G94" s="144">
        <f t="shared" si="2"/>
        <v>152000</v>
      </c>
      <c r="H94" s="145" t="s">
        <v>674</v>
      </c>
    </row>
    <row r="95" spans="1:9" ht="24" customHeight="1">
      <c r="A95" s="146"/>
      <c r="B95" s="145" t="s">
        <v>845</v>
      </c>
      <c r="C95" s="141" t="s">
        <v>846</v>
      </c>
      <c r="D95" s="142">
        <v>177000</v>
      </c>
      <c r="E95" s="142"/>
      <c r="F95" s="143"/>
      <c r="G95" s="144">
        <f t="shared" si="2"/>
        <v>177000</v>
      </c>
      <c r="H95" s="145" t="s">
        <v>672</v>
      </c>
    </row>
    <row r="96" spans="1:9" ht="26.25" customHeight="1">
      <c r="A96" s="139"/>
      <c r="B96" s="145" t="s">
        <v>847</v>
      </c>
      <c r="C96" s="141" t="s">
        <v>848</v>
      </c>
      <c r="D96" s="142">
        <v>177000</v>
      </c>
      <c r="E96" s="142"/>
      <c r="F96" s="143"/>
      <c r="G96" s="144">
        <f t="shared" si="2"/>
        <v>177000</v>
      </c>
      <c r="H96" s="145" t="s">
        <v>672</v>
      </c>
    </row>
    <row r="97" spans="1:8" ht="22.5" customHeight="1">
      <c r="A97" s="146"/>
      <c r="B97" s="145" t="s">
        <v>849</v>
      </c>
      <c r="C97" s="141" t="s">
        <v>850</v>
      </c>
      <c r="D97" s="142">
        <v>354000</v>
      </c>
      <c r="E97" s="142"/>
      <c r="F97" s="143"/>
      <c r="G97" s="144">
        <f t="shared" si="2"/>
        <v>354000</v>
      </c>
      <c r="H97" s="145" t="s">
        <v>672</v>
      </c>
    </row>
    <row r="98" spans="1:8" ht="22.5" customHeight="1">
      <c r="A98" s="139"/>
      <c r="B98" s="145" t="s">
        <v>851</v>
      </c>
      <c r="C98" s="141" t="s">
        <v>852</v>
      </c>
      <c r="D98" s="142">
        <v>176000</v>
      </c>
      <c r="E98" s="142"/>
      <c r="F98" s="143"/>
      <c r="G98" s="144">
        <f t="shared" si="2"/>
        <v>176000</v>
      </c>
      <c r="H98" s="145" t="s">
        <v>672</v>
      </c>
    </row>
    <row r="99" spans="1:8" ht="22.5" customHeight="1">
      <c r="A99" s="146"/>
      <c r="B99" s="145" t="s">
        <v>853</v>
      </c>
      <c r="C99" s="141" t="s">
        <v>854</v>
      </c>
      <c r="D99" s="142">
        <v>329000</v>
      </c>
      <c r="E99" s="142">
        <v>164500</v>
      </c>
      <c r="F99" s="143" t="s">
        <v>674</v>
      </c>
      <c r="G99" s="144">
        <f t="shared" si="2"/>
        <v>164500</v>
      </c>
      <c r="H99" s="145" t="s">
        <v>855</v>
      </c>
    </row>
    <row r="100" spans="1:8" ht="26.25" customHeight="1">
      <c r="A100" s="146"/>
      <c r="B100" s="145" t="s">
        <v>856</v>
      </c>
      <c r="C100" s="141" t="s">
        <v>857</v>
      </c>
      <c r="D100" s="142">
        <v>352000</v>
      </c>
      <c r="E100" s="142">
        <v>176600</v>
      </c>
      <c r="F100" s="143" t="s">
        <v>672</v>
      </c>
      <c r="G100" s="144">
        <f t="shared" si="2"/>
        <v>175400</v>
      </c>
      <c r="H100" s="145" t="s">
        <v>672</v>
      </c>
    </row>
    <row r="101" spans="1:8" ht="21.75" customHeight="1">
      <c r="A101" s="139"/>
      <c r="B101" s="145" t="s">
        <v>858</v>
      </c>
      <c r="C101" s="141" t="s">
        <v>859</v>
      </c>
      <c r="D101" s="142">
        <v>352000</v>
      </c>
      <c r="E101" s="142">
        <v>176000</v>
      </c>
      <c r="F101" s="143" t="s">
        <v>672</v>
      </c>
      <c r="G101" s="144">
        <f t="shared" si="2"/>
        <v>176000</v>
      </c>
      <c r="H101" s="145" t="s">
        <v>672</v>
      </c>
    </row>
    <row r="102" spans="1:8" ht="22.5" customHeight="1">
      <c r="A102" s="155"/>
      <c r="B102" s="145" t="s">
        <v>860</v>
      </c>
      <c r="C102" s="141" t="s">
        <v>861</v>
      </c>
      <c r="D102" s="142">
        <v>152000</v>
      </c>
      <c r="E102" s="142"/>
      <c r="F102" s="143"/>
      <c r="G102" s="144">
        <f t="shared" si="2"/>
        <v>152000</v>
      </c>
      <c r="H102" s="145" t="s">
        <v>672</v>
      </c>
    </row>
    <row r="103" spans="1:8" ht="22.5" customHeight="1">
      <c r="A103" s="139"/>
      <c r="B103" s="145" t="s">
        <v>862</v>
      </c>
      <c r="C103" s="141" t="s">
        <v>863</v>
      </c>
      <c r="D103" s="142">
        <v>100000</v>
      </c>
      <c r="E103" s="142"/>
      <c r="F103" s="143"/>
      <c r="G103" s="144">
        <f t="shared" si="2"/>
        <v>100000</v>
      </c>
      <c r="H103" s="145" t="s">
        <v>672</v>
      </c>
    </row>
    <row r="104" spans="1:8" ht="19.5" customHeight="1">
      <c r="A104" s="146"/>
      <c r="B104" s="162" t="s">
        <v>682</v>
      </c>
      <c r="C104" s="14" t="s">
        <v>864</v>
      </c>
      <c r="D104" s="163">
        <v>297500</v>
      </c>
      <c r="E104" s="164">
        <v>148750</v>
      </c>
      <c r="F104" s="165" t="s">
        <v>672</v>
      </c>
      <c r="G104" s="166">
        <f t="shared" si="2"/>
        <v>148750</v>
      </c>
      <c r="H104" s="167" t="s">
        <v>672</v>
      </c>
    </row>
    <row r="105" spans="1:8" ht="23.25" customHeight="1">
      <c r="A105" s="146"/>
      <c r="B105" s="162" t="s">
        <v>865</v>
      </c>
      <c r="C105" s="14" t="s">
        <v>866</v>
      </c>
      <c r="D105" s="163">
        <v>202000</v>
      </c>
      <c r="E105" s="164"/>
      <c r="F105" s="165"/>
      <c r="G105" s="166">
        <f t="shared" si="2"/>
        <v>202000</v>
      </c>
      <c r="H105" s="167" t="s">
        <v>674</v>
      </c>
    </row>
    <row r="106" spans="1:8" ht="22.5" customHeight="1">
      <c r="A106" s="146"/>
      <c r="B106" s="162" t="s">
        <v>867</v>
      </c>
      <c r="C106" s="14" t="s">
        <v>868</v>
      </c>
      <c r="D106" s="163">
        <v>378000</v>
      </c>
      <c r="E106" s="164"/>
      <c r="F106" s="165"/>
      <c r="G106" s="166">
        <f t="shared" si="2"/>
        <v>378000</v>
      </c>
      <c r="H106" s="167" t="s">
        <v>672</v>
      </c>
    </row>
    <row r="107" spans="1:8" ht="22.5" customHeight="1">
      <c r="A107" s="146"/>
      <c r="B107" s="168" t="s">
        <v>869</v>
      </c>
      <c r="C107" s="14" t="s">
        <v>870</v>
      </c>
      <c r="D107" s="163">
        <v>152000</v>
      </c>
      <c r="E107" s="164"/>
      <c r="F107" s="165"/>
      <c r="G107" s="166">
        <f t="shared" si="2"/>
        <v>152000</v>
      </c>
      <c r="H107" s="167" t="s">
        <v>674</v>
      </c>
    </row>
    <row r="108" spans="1:8" ht="21.75" customHeight="1">
      <c r="A108" s="146"/>
      <c r="B108" s="169" t="s">
        <v>778</v>
      </c>
      <c r="C108" s="165"/>
      <c r="D108" s="163"/>
      <c r="E108" s="164"/>
      <c r="F108" s="165"/>
      <c r="G108" s="166">
        <f t="shared" si="2"/>
        <v>0</v>
      </c>
      <c r="H108" s="167"/>
    </row>
    <row r="109" spans="1:8" ht="24.75" customHeight="1">
      <c r="A109" s="139"/>
      <c r="B109" s="170"/>
      <c r="C109" s="171"/>
      <c r="D109" s="172"/>
      <c r="E109" s="164"/>
      <c r="F109" s="171"/>
      <c r="G109" s="166">
        <f t="shared" si="2"/>
        <v>0</v>
      </c>
      <c r="H109" s="167"/>
    </row>
    <row r="110" spans="1:8" ht="19.5" customHeight="1">
      <c r="A110" s="146"/>
      <c r="B110" s="162"/>
      <c r="C110" s="165"/>
      <c r="D110" s="163"/>
      <c r="E110" s="164"/>
      <c r="F110" s="165"/>
      <c r="G110" s="166">
        <f t="shared" si="2"/>
        <v>0</v>
      </c>
      <c r="H110" s="167"/>
    </row>
    <row r="111" spans="1:8" ht="21.75" customHeight="1">
      <c r="A111" s="139"/>
      <c r="B111" s="170"/>
      <c r="C111" s="171"/>
      <c r="D111" s="172"/>
      <c r="E111" s="164"/>
      <c r="F111" s="171"/>
      <c r="G111" s="166">
        <f t="shared" si="2"/>
        <v>0</v>
      </c>
      <c r="H111" s="167"/>
    </row>
    <row r="112" spans="1:8" ht="22.5" customHeight="1">
      <c r="A112" s="146"/>
      <c r="B112" s="162"/>
      <c r="C112" s="165"/>
      <c r="D112" s="163"/>
      <c r="E112" s="164"/>
      <c r="F112" s="165"/>
      <c r="G112" s="166">
        <f t="shared" si="2"/>
        <v>0</v>
      </c>
      <c r="H112" s="167"/>
    </row>
    <row r="113" spans="1:8" ht="22.5" customHeight="1">
      <c r="A113" s="139"/>
      <c r="B113" s="170"/>
      <c r="C113" s="171"/>
      <c r="D113" s="172"/>
      <c r="E113" s="164"/>
      <c r="F113" s="171"/>
      <c r="G113" s="166">
        <f t="shared" si="2"/>
        <v>0</v>
      </c>
      <c r="H113" s="167"/>
    </row>
    <row r="114" spans="1:8" ht="19.5" customHeight="1">
      <c r="A114" s="146"/>
      <c r="B114" s="162"/>
      <c r="C114" s="165"/>
      <c r="D114" s="163"/>
      <c r="E114" s="164"/>
      <c r="F114" s="165"/>
      <c r="G114" s="166">
        <f t="shared" si="2"/>
        <v>0</v>
      </c>
      <c r="H114" s="167"/>
    </row>
    <row r="115" spans="1:8" ht="23.25" customHeight="1">
      <c r="A115" s="139"/>
      <c r="B115" s="170"/>
      <c r="C115" s="171"/>
      <c r="D115" s="172"/>
      <c r="E115" s="164"/>
      <c r="F115" s="171"/>
      <c r="G115" s="166">
        <f t="shared" si="2"/>
        <v>0</v>
      </c>
      <c r="H115" s="167"/>
    </row>
    <row r="116" spans="1:8" ht="20.25" customHeight="1">
      <c r="A116" s="146"/>
      <c r="B116" s="162"/>
      <c r="C116" s="165"/>
      <c r="D116" s="163"/>
      <c r="E116" s="164"/>
      <c r="F116" s="165"/>
      <c r="G116" s="166">
        <f t="shared" si="2"/>
        <v>0</v>
      </c>
      <c r="H116" s="167"/>
    </row>
    <row r="117" spans="1:8" ht="22.5" customHeight="1">
      <c r="A117" s="139"/>
      <c r="B117" s="170"/>
      <c r="C117" s="171"/>
      <c r="D117" s="172"/>
      <c r="E117" s="164"/>
      <c r="F117" s="171"/>
      <c r="G117" s="166">
        <f t="shared" si="2"/>
        <v>0</v>
      </c>
      <c r="H117" s="167"/>
    </row>
    <row r="118" spans="1:8" ht="22.5" customHeight="1">
      <c r="A118" s="146"/>
      <c r="B118" s="162"/>
      <c r="C118" s="165"/>
      <c r="D118" s="163"/>
      <c r="E118" s="164"/>
      <c r="F118" s="165"/>
      <c r="G118" s="166">
        <f t="shared" si="2"/>
        <v>0</v>
      </c>
      <c r="H118" s="167"/>
    </row>
    <row r="119" spans="1:8" ht="26.25" customHeight="1">
      <c r="A119" s="139"/>
      <c r="B119" s="170"/>
      <c r="C119" s="171"/>
      <c r="D119" s="172"/>
      <c r="E119" s="164"/>
      <c r="F119" s="171"/>
      <c r="G119" s="166">
        <f t="shared" si="2"/>
        <v>0</v>
      </c>
      <c r="H119" s="167"/>
    </row>
    <row r="120" spans="1:8" ht="22.5" customHeight="1">
      <c r="A120" s="146"/>
      <c r="B120" s="162"/>
      <c r="C120" s="165"/>
      <c r="D120" s="163"/>
      <c r="E120" s="164"/>
      <c r="F120" s="165"/>
      <c r="G120" s="166">
        <f t="shared" si="2"/>
        <v>0</v>
      </c>
      <c r="H120" s="167"/>
    </row>
    <row r="121" spans="1:8" ht="23.25" customHeight="1">
      <c r="A121" s="139"/>
      <c r="B121" s="170"/>
      <c r="C121" s="171"/>
      <c r="D121" s="172"/>
      <c r="E121" s="164"/>
      <c r="F121" s="171"/>
      <c r="G121" s="166">
        <f t="shared" si="2"/>
        <v>0</v>
      </c>
      <c r="H121" s="167"/>
    </row>
    <row r="122" spans="1:8" ht="21" customHeight="1">
      <c r="A122" s="146"/>
      <c r="B122" s="162"/>
      <c r="C122" s="165"/>
      <c r="D122" s="163"/>
      <c r="E122" s="164"/>
      <c r="F122" s="165"/>
      <c r="G122" s="166">
        <f t="shared" si="2"/>
        <v>0</v>
      </c>
      <c r="H122" s="167"/>
    </row>
    <row r="123" spans="1:8" ht="21" customHeight="1">
      <c r="A123" s="139"/>
      <c r="B123" s="170"/>
      <c r="C123" s="171"/>
      <c r="D123" s="172"/>
      <c r="E123" s="164"/>
      <c r="F123" s="171"/>
      <c r="G123" s="166">
        <f t="shared" si="2"/>
        <v>0</v>
      </c>
      <c r="H123" s="167"/>
    </row>
    <row r="124" spans="1:8" ht="22.5" customHeight="1">
      <c r="A124" s="146"/>
      <c r="B124" s="162"/>
      <c r="C124" s="165"/>
      <c r="D124" s="163"/>
      <c r="E124" s="164"/>
      <c r="F124" s="165"/>
      <c r="G124" s="166">
        <f t="shared" si="2"/>
        <v>0</v>
      </c>
      <c r="H124" s="167"/>
    </row>
    <row r="125" spans="1:8" ht="22.5" customHeight="1">
      <c r="A125" s="139"/>
      <c r="B125" s="170"/>
      <c r="C125" s="171"/>
      <c r="D125" s="172"/>
      <c r="E125" s="164"/>
      <c r="F125" s="171"/>
      <c r="G125" s="166">
        <f t="shared" si="2"/>
        <v>0</v>
      </c>
      <c r="H125" s="167"/>
    </row>
    <row r="126" spans="1:8" ht="22.5" customHeight="1">
      <c r="A126" s="146"/>
      <c r="B126" s="162"/>
      <c r="C126" s="165"/>
      <c r="D126" s="163"/>
      <c r="E126" s="164"/>
      <c r="F126" s="165"/>
      <c r="G126" s="166">
        <f t="shared" si="2"/>
        <v>0</v>
      </c>
      <c r="H126" s="167"/>
    </row>
    <row r="127" spans="1:8" ht="22.5" customHeight="1">
      <c r="A127" s="139"/>
      <c r="B127" s="170"/>
      <c r="C127" s="171"/>
      <c r="D127" s="172"/>
      <c r="E127" s="164"/>
      <c r="F127" s="171"/>
      <c r="G127" s="166">
        <f t="shared" si="2"/>
        <v>0</v>
      </c>
      <c r="H127" s="167"/>
    </row>
    <row r="128" spans="1:8" ht="22.5" customHeight="1">
      <c r="A128" s="146"/>
      <c r="B128" s="162"/>
      <c r="C128" s="165"/>
      <c r="D128" s="163"/>
      <c r="E128" s="164"/>
      <c r="F128" s="165"/>
      <c r="G128" s="166">
        <f t="shared" si="2"/>
        <v>0</v>
      </c>
      <c r="H128" s="167"/>
    </row>
    <row r="129" spans="1:8" ht="24" customHeight="1">
      <c r="A129" s="139"/>
      <c r="B129" s="170"/>
      <c r="C129" s="171"/>
      <c r="D129" s="172"/>
      <c r="E129" s="164"/>
      <c r="F129" s="171"/>
      <c r="G129" s="166">
        <f t="shared" si="2"/>
        <v>0</v>
      </c>
      <c r="H129" s="167"/>
    </row>
    <row r="130" spans="1:8" ht="22.5" customHeight="1">
      <c r="A130" s="146"/>
      <c r="B130" s="162"/>
      <c r="C130" s="165"/>
      <c r="D130" s="163"/>
      <c r="E130" s="164"/>
      <c r="F130" s="165"/>
      <c r="G130" s="166">
        <f t="shared" si="2"/>
        <v>0</v>
      </c>
      <c r="H130" s="167"/>
    </row>
    <row r="131" spans="1:8" ht="21.75" customHeight="1">
      <c r="A131" s="139"/>
      <c r="B131" s="170"/>
      <c r="C131" s="171"/>
      <c r="D131" s="172"/>
      <c r="E131" s="164"/>
      <c r="F131" s="171"/>
      <c r="G131" s="166">
        <f t="shared" si="2"/>
        <v>0</v>
      </c>
      <c r="H131" s="167"/>
    </row>
    <row r="132" spans="1:8" ht="18.75" customHeight="1">
      <c r="A132" s="146"/>
      <c r="B132" s="162"/>
      <c r="C132" s="165"/>
      <c r="D132" s="163"/>
      <c r="E132" s="164"/>
      <c r="F132" s="165"/>
      <c r="G132" s="166">
        <f t="shared" si="2"/>
        <v>0</v>
      </c>
      <c r="H132" s="167"/>
    </row>
    <row r="133" spans="1:8" ht="21" customHeight="1">
      <c r="A133" s="139"/>
      <c r="B133" s="170"/>
      <c r="C133" s="171"/>
      <c r="D133" s="172"/>
      <c r="E133" s="164"/>
      <c r="F133" s="171"/>
      <c r="G133" s="166">
        <f t="shared" si="2"/>
        <v>0</v>
      </c>
      <c r="H133" s="167"/>
    </row>
    <row r="134" spans="1:8" ht="19.5" customHeight="1">
      <c r="A134" s="146"/>
      <c r="B134" s="162"/>
      <c r="C134" s="165"/>
      <c r="D134" s="163"/>
      <c r="E134" s="164"/>
      <c r="F134" s="165"/>
      <c r="G134" s="166">
        <f t="shared" si="2"/>
        <v>0</v>
      </c>
      <c r="H134" s="167"/>
    </row>
    <row r="135" spans="1:8" ht="18" customHeight="1">
      <c r="A135" s="139"/>
      <c r="B135" s="170"/>
      <c r="C135" s="171"/>
      <c r="D135" s="172"/>
      <c r="E135" s="164"/>
      <c r="F135" s="171"/>
      <c r="G135" s="166">
        <f t="shared" si="2"/>
        <v>0</v>
      </c>
      <c r="H135" s="167"/>
    </row>
    <row r="136" spans="1:8" ht="22.5" customHeight="1">
      <c r="A136" s="146"/>
      <c r="B136" s="162"/>
      <c r="C136" s="165"/>
      <c r="D136" s="163"/>
      <c r="E136" s="164"/>
      <c r="F136" s="165"/>
      <c r="G136" s="166">
        <f t="shared" si="2"/>
        <v>0</v>
      </c>
      <c r="H136" s="167"/>
    </row>
    <row r="137" spans="1:8" ht="21" customHeight="1">
      <c r="A137" s="139"/>
      <c r="B137" s="170"/>
      <c r="C137" s="171"/>
      <c r="D137" s="172"/>
      <c r="E137" s="164"/>
      <c r="F137" s="171"/>
      <c r="G137" s="166">
        <f t="shared" si="2"/>
        <v>0</v>
      </c>
      <c r="H137" s="167"/>
    </row>
    <row r="138" spans="1:8" ht="22.5" customHeight="1">
      <c r="A138" s="146"/>
      <c r="B138" s="162"/>
      <c r="C138" s="165"/>
      <c r="D138" s="163"/>
      <c r="E138" s="164"/>
      <c r="F138" s="165"/>
      <c r="G138" s="166">
        <f t="shared" si="2"/>
        <v>0</v>
      </c>
      <c r="H138" s="167"/>
    </row>
    <row r="139" spans="1:8" ht="19.5" customHeight="1">
      <c r="A139" s="139"/>
      <c r="B139" s="170"/>
      <c r="C139" s="171"/>
      <c r="D139" s="172"/>
      <c r="E139" s="164"/>
      <c r="F139" s="171"/>
      <c r="G139" s="166">
        <f t="shared" si="2"/>
        <v>0</v>
      </c>
      <c r="H139" s="167"/>
    </row>
    <row r="140" spans="1:8" ht="21" customHeight="1">
      <c r="A140" s="146"/>
      <c r="B140" s="162"/>
      <c r="C140" s="165"/>
      <c r="D140" s="163"/>
      <c r="E140" s="164"/>
      <c r="F140" s="165"/>
      <c r="G140" s="166">
        <f t="shared" si="2"/>
        <v>0</v>
      </c>
      <c r="H140" s="167"/>
    </row>
    <row r="141" spans="1:8" ht="22.5" customHeight="1">
      <c r="A141" s="139"/>
      <c r="B141" s="170"/>
      <c r="C141" s="171"/>
      <c r="D141" s="172"/>
      <c r="E141" s="164"/>
      <c r="F141" s="171"/>
      <c r="G141" s="166">
        <f t="shared" si="2"/>
        <v>0</v>
      </c>
      <c r="H141" s="167"/>
    </row>
    <row r="142" spans="1:8" ht="22.5" customHeight="1">
      <c r="A142" s="146"/>
      <c r="B142" s="162"/>
      <c r="C142" s="165"/>
      <c r="D142" s="163"/>
      <c r="E142" s="164"/>
      <c r="F142" s="165"/>
      <c r="G142" s="166">
        <f t="shared" si="2"/>
        <v>0</v>
      </c>
      <c r="H142" s="167"/>
    </row>
    <row r="143" spans="1:8" ht="22.5" customHeight="1">
      <c r="A143" s="139"/>
      <c r="B143" s="170"/>
      <c r="C143" s="171"/>
      <c r="D143" s="172"/>
      <c r="E143" s="164"/>
      <c r="F143" s="171"/>
      <c r="G143" s="166">
        <f t="shared" si="2"/>
        <v>0</v>
      </c>
      <c r="H143" s="167"/>
    </row>
    <row r="144" spans="1:8" ht="22.5" customHeight="1">
      <c r="A144" s="146"/>
      <c r="B144" s="162"/>
      <c r="C144" s="165"/>
      <c r="D144" s="163"/>
      <c r="E144" s="164"/>
      <c r="F144" s="165"/>
      <c r="G144" s="166">
        <f t="shared" si="2"/>
        <v>0</v>
      </c>
      <c r="H144" s="167"/>
    </row>
    <row r="145" spans="1:8" ht="18.75" customHeight="1">
      <c r="A145" s="139"/>
      <c r="B145" s="170"/>
      <c r="C145" s="171"/>
      <c r="D145" s="172"/>
      <c r="E145" s="164"/>
      <c r="F145" s="171"/>
      <c r="G145" s="166">
        <f t="shared" si="2"/>
        <v>0</v>
      </c>
      <c r="H145" s="167"/>
    </row>
    <row r="146" spans="1:8" ht="18" customHeight="1">
      <c r="A146" s="146"/>
      <c r="B146" s="162"/>
      <c r="C146" s="165"/>
      <c r="D146" s="163"/>
      <c r="E146" s="164"/>
      <c r="F146" s="165"/>
      <c r="G146" s="166">
        <f t="shared" si="2"/>
        <v>0</v>
      </c>
      <c r="H146" s="167"/>
    </row>
    <row r="147" spans="1:8" ht="22.5" customHeight="1">
      <c r="A147" s="139"/>
      <c r="B147" s="170"/>
      <c r="C147" s="171"/>
      <c r="D147" s="172"/>
      <c r="E147" s="164"/>
      <c r="F147" s="171"/>
      <c r="G147" s="166">
        <f t="shared" si="2"/>
        <v>0</v>
      </c>
      <c r="H147" s="167"/>
    </row>
    <row r="148" spans="1:8" ht="20.25" customHeight="1">
      <c r="A148" s="146"/>
      <c r="B148" s="162"/>
      <c r="C148" s="165"/>
      <c r="D148" s="163"/>
      <c r="E148" s="164"/>
      <c r="F148" s="165"/>
      <c r="G148" s="166">
        <f t="shared" si="2"/>
        <v>0</v>
      </c>
      <c r="H148" s="167"/>
    </row>
    <row r="149" spans="1:8" ht="22.5" customHeight="1">
      <c r="A149" s="139"/>
      <c r="B149" s="170"/>
      <c r="C149" s="171"/>
      <c r="D149" s="172"/>
      <c r="E149" s="164"/>
      <c r="F149" s="171"/>
      <c r="G149" s="166">
        <f t="shared" si="2"/>
        <v>0</v>
      </c>
      <c r="H149" s="167"/>
    </row>
    <row r="150" spans="1:8" ht="20.25" customHeight="1">
      <c r="A150" s="146"/>
      <c r="B150" s="162"/>
      <c r="C150" s="165"/>
      <c r="D150" s="163"/>
      <c r="E150" s="164"/>
      <c r="F150" s="165"/>
      <c r="G150" s="166">
        <f t="shared" si="2"/>
        <v>0</v>
      </c>
      <c r="H150" s="167"/>
    </row>
    <row r="151" spans="1:8" ht="22.5" customHeight="1">
      <c r="A151" s="139"/>
      <c r="B151" s="170"/>
      <c r="C151" s="171"/>
      <c r="D151" s="172"/>
      <c r="E151" s="164"/>
      <c r="F151" s="171"/>
      <c r="G151" s="166">
        <f t="shared" si="2"/>
        <v>0</v>
      </c>
      <c r="H151" s="167"/>
    </row>
    <row r="152" spans="1:8" ht="21.75" customHeight="1">
      <c r="A152" s="146"/>
      <c r="B152" s="162"/>
      <c r="C152" s="165"/>
      <c r="D152" s="163"/>
      <c r="E152" s="164"/>
      <c r="F152" s="165"/>
      <c r="G152" s="166">
        <f t="shared" si="2"/>
        <v>0</v>
      </c>
      <c r="H152" s="167"/>
    </row>
    <row r="153" spans="1:8" ht="22.5" customHeight="1">
      <c r="A153" s="139"/>
      <c r="B153" s="170"/>
      <c r="C153" s="171"/>
      <c r="D153" s="172"/>
      <c r="E153" s="164"/>
      <c r="F153" s="171"/>
      <c r="G153" s="166">
        <f t="shared" si="2"/>
        <v>0</v>
      </c>
      <c r="H153" s="167"/>
    </row>
    <row r="154" spans="1:8" ht="22.5" customHeight="1">
      <c r="A154" s="146"/>
      <c r="B154" s="162"/>
      <c r="C154" s="165"/>
      <c r="D154" s="163"/>
      <c r="E154" s="164"/>
      <c r="F154" s="165"/>
      <c r="G154" s="166">
        <f t="shared" si="2"/>
        <v>0</v>
      </c>
      <c r="H154" s="167"/>
    </row>
    <row r="155" spans="1:8" ht="22.5" customHeight="1">
      <c r="A155" s="139"/>
      <c r="B155" s="170"/>
      <c r="C155" s="171"/>
      <c r="D155" s="172"/>
      <c r="E155" s="164"/>
      <c r="F155" s="171"/>
      <c r="G155" s="166">
        <f t="shared" si="2"/>
        <v>0</v>
      </c>
      <c r="H155" s="167"/>
    </row>
    <row r="156" spans="1:8" ht="21.75" customHeight="1">
      <c r="A156" s="146"/>
      <c r="B156" s="162"/>
      <c r="C156" s="165"/>
      <c r="D156" s="163"/>
      <c r="E156" s="164"/>
      <c r="F156" s="165"/>
      <c r="G156" s="166">
        <f t="shared" si="2"/>
        <v>0</v>
      </c>
      <c r="H156" s="167"/>
    </row>
    <row r="157" spans="1:8" ht="22.5" customHeight="1">
      <c r="A157" s="139"/>
      <c r="B157" s="170"/>
      <c r="C157" s="171"/>
      <c r="D157" s="172"/>
      <c r="E157" s="164"/>
      <c r="F157" s="171"/>
      <c r="G157" s="166">
        <f t="shared" si="2"/>
        <v>0</v>
      </c>
      <c r="H157" s="167"/>
    </row>
    <row r="158" spans="1:8" ht="20.25" customHeight="1">
      <c r="A158" s="146"/>
      <c r="B158" s="162"/>
      <c r="C158" s="165"/>
      <c r="D158" s="163"/>
      <c r="E158" s="164"/>
      <c r="F158" s="165"/>
      <c r="G158" s="166">
        <f t="shared" si="2"/>
        <v>0</v>
      </c>
      <c r="H158" s="167"/>
    </row>
    <row r="159" spans="1:8" ht="20.25" customHeight="1">
      <c r="A159" s="139"/>
      <c r="B159" s="170"/>
      <c r="C159" s="171"/>
      <c r="D159" s="172"/>
      <c r="E159" s="164"/>
      <c r="F159" s="171"/>
      <c r="G159" s="166">
        <f t="shared" si="2"/>
        <v>0</v>
      </c>
      <c r="H159" s="167"/>
    </row>
    <row r="160" spans="1:8" ht="19.5" customHeight="1">
      <c r="A160" s="146"/>
      <c r="B160" s="162"/>
      <c r="C160" s="165"/>
      <c r="D160" s="163"/>
      <c r="E160" s="164"/>
      <c r="F160" s="165"/>
      <c r="G160" s="166">
        <f t="shared" si="2"/>
        <v>0</v>
      </c>
      <c r="H160" s="167"/>
    </row>
    <row r="161" spans="1:8" ht="22.5" customHeight="1">
      <c r="A161" s="139"/>
      <c r="B161" s="170"/>
      <c r="C161" s="171"/>
      <c r="D161" s="172"/>
      <c r="E161" s="164"/>
      <c r="F161" s="171"/>
      <c r="G161" s="166">
        <f t="shared" si="2"/>
        <v>0</v>
      </c>
      <c r="H161" s="167"/>
    </row>
    <row r="162" spans="1:8" ht="22.5" customHeight="1">
      <c r="A162" s="146"/>
      <c r="B162" s="162"/>
      <c r="C162" s="165"/>
      <c r="D162" s="163"/>
      <c r="E162" s="164"/>
      <c r="F162" s="165"/>
      <c r="G162" s="166">
        <f t="shared" si="2"/>
        <v>0</v>
      </c>
      <c r="H162" s="167"/>
    </row>
    <row r="163" spans="1:8" ht="24" customHeight="1">
      <c r="A163" s="139"/>
      <c r="B163" s="170"/>
      <c r="C163" s="171"/>
      <c r="D163" s="172"/>
      <c r="E163" s="164"/>
      <c r="F163" s="171"/>
      <c r="G163" s="166">
        <f t="shared" si="2"/>
        <v>0</v>
      </c>
      <c r="H163" s="167"/>
    </row>
    <row r="164" spans="1:8" ht="22.5" customHeight="1">
      <c r="A164" s="146"/>
      <c r="B164" s="162"/>
      <c r="C164" s="165"/>
      <c r="D164" s="163"/>
      <c r="E164" s="164"/>
      <c r="F164" s="165"/>
      <c r="G164" s="166">
        <f t="shared" si="2"/>
        <v>0</v>
      </c>
      <c r="H164" s="167"/>
    </row>
    <row r="165" spans="1:8" ht="21" customHeight="1">
      <c r="A165" s="139"/>
      <c r="B165" s="170"/>
      <c r="C165" s="171"/>
      <c r="D165" s="172"/>
      <c r="E165" s="164"/>
      <c r="F165" s="171"/>
      <c r="G165" s="166">
        <f t="shared" si="2"/>
        <v>0</v>
      </c>
      <c r="H165" s="167"/>
    </row>
    <row r="166" spans="1:8" ht="21" customHeight="1">
      <c r="A166" s="146"/>
      <c r="B166" s="162"/>
      <c r="C166" s="165"/>
      <c r="D166" s="163"/>
      <c r="E166" s="164"/>
      <c r="F166" s="165"/>
      <c r="G166" s="166">
        <f t="shared" si="2"/>
        <v>0</v>
      </c>
      <c r="H166" s="167"/>
    </row>
    <row r="167" spans="1:8" ht="21" customHeight="1">
      <c r="A167" s="139"/>
      <c r="B167" s="170"/>
      <c r="C167" s="171"/>
      <c r="D167" s="172"/>
      <c r="E167" s="164"/>
      <c r="F167" s="171"/>
      <c r="G167" s="166">
        <f t="shared" si="2"/>
        <v>0</v>
      </c>
      <c r="H167" s="167"/>
    </row>
    <row r="168" spans="1:8" ht="20.25" customHeight="1">
      <c r="A168" s="146"/>
      <c r="B168" s="162"/>
      <c r="C168" s="165"/>
      <c r="D168" s="163"/>
      <c r="E168" s="164"/>
      <c r="F168" s="165"/>
      <c r="G168" s="166">
        <f t="shared" si="2"/>
        <v>0</v>
      </c>
      <c r="H168" s="167"/>
    </row>
    <row r="169" spans="1:8" ht="22.5" customHeight="1">
      <c r="A169" s="139"/>
      <c r="B169" s="170"/>
      <c r="C169" s="171"/>
      <c r="D169" s="172"/>
      <c r="E169" s="164"/>
      <c r="F169" s="171"/>
      <c r="G169" s="166">
        <f t="shared" si="2"/>
        <v>0</v>
      </c>
      <c r="H169" s="167"/>
    </row>
    <row r="170" spans="1:8" ht="24.75" customHeight="1">
      <c r="A170" s="146"/>
      <c r="B170" s="162"/>
      <c r="C170" s="165"/>
      <c r="D170" s="163"/>
      <c r="E170" s="164"/>
      <c r="F170" s="165"/>
      <c r="G170" s="166">
        <f t="shared" si="2"/>
        <v>0</v>
      </c>
      <c r="H170" s="167"/>
    </row>
    <row r="171" spans="1:8" ht="22.5" customHeight="1">
      <c r="A171" s="139"/>
      <c r="B171" s="170"/>
      <c r="C171" s="171"/>
      <c r="D171" s="172"/>
      <c r="E171" s="164"/>
      <c r="F171" s="171"/>
      <c r="G171" s="166">
        <f t="shared" si="2"/>
        <v>0</v>
      </c>
      <c r="H171" s="167"/>
    </row>
    <row r="172" spans="1:8" ht="24.75" customHeight="1">
      <c r="A172" s="146"/>
      <c r="B172" s="162"/>
      <c r="C172" s="165"/>
      <c r="D172" s="163"/>
      <c r="E172" s="164"/>
      <c r="F172" s="165"/>
      <c r="G172" s="166">
        <f t="shared" si="2"/>
        <v>0</v>
      </c>
      <c r="H172" s="167"/>
    </row>
    <row r="173" spans="1:8" ht="21" customHeight="1">
      <c r="A173" s="139"/>
      <c r="B173" s="170"/>
      <c r="C173" s="171"/>
      <c r="D173" s="172"/>
      <c r="E173" s="164"/>
      <c r="F173" s="171"/>
      <c r="G173" s="166">
        <f t="shared" si="2"/>
        <v>0</v>
      </c>
      <c r="H173" s="167"/>
    </row>
    <row r="174" spans="1:8" ht="22.5" customHeight="1">
      <c r="A174" s="146"/>
      <c r="B174" s="162"/>
      <c r="C174" s="165"/>
      <c r="D174" s="163"/>
      <c r="E174" s="164"/>
      <c r="F174" s="165"/>
      <c r="G174" s="166">
        <f t="shared" si="2"/>
        <v>0</v>
      </c>
      <c r="H174" s="167"/>
    </row>
    <row r="175" spans="1:8" ht="21" customHeight="1">
      <c r="A175" s="139"/>
      <c r="B175" s="170"/>
      <c r="C175" s="171"/>
      <c r="D175" s="172"/>
      <c r="E175" s="164"/>
      <c r="F175" s="171"/>
      <c r="G175" s="166">
        <f t="shared" si="2"/>
        <v>0</v>
      </c>
      <c r="H175" s="167"/>
    </row>
    <row r="176" spans="1:8" ht="20.25" customHeight="1">
      <c r="A176" s="146"/>
      <c r="B176" s="162"/>
      <c r="C176" s="165"/>
      <c r="D176" s="173"/>
      <c r="E176" s="174"/>
      <c r="F176" s="175"/>
      <c r="G176" s="166">
        <f t="shared" si="2"/>
        <v>0</v>
      </c>
      <c r="H176" s="167"/>
    </row>
    <row r="177" spans="1:8" ht="22.5" customHeight="1">
      <c r="A177" s="139"/>
      <c r="B177" s="170"/>
      <c r="C177" s="171"/>
      <c r="D177" s="172"/>
      <c r="E177" s="164"/>
      <c r="F177" s="171"/>
      <c r="G177" s="166">
        <f t="shared" si="2"/>
        <v>0</v>
      </c>
      <c r="H177" s="167"/>
    </row>
    <row r="178" spans="1:8" ht="22.5" customHeight="1">
      <c r="A178" s="146"/>
      <c r="B178" s="162"/>
      <c r="C178" s="165"/>
      <c r="D178" s="163"/>
      <c r="E178" s="164"/>
      <c r="F178" s="165"/>
      <c r="G178" s="166">
        <f t="shared" si="2"/>
        <v>0</v>
      </c>
      <c r="H178" s="167"/>
    </row>
    <row r="179" spans="1:8" ht="22.5" customHeight="1">
      <c r="A179" s="139"/>
      <c r="B179" s="170"/>
      <c r="C179" s="171"/>
      <c r="D179" s="172"/>
      <c r="E179" s="164"/>
      <c r="F179" s="171"/>
      <c r="G179" s="166">
        <f t="shared" si="2"/>
        <v>0</v>
      </c>
      <c r="H179" s="167"/>
    </row>
    <row r="180" spans="1:8" ht="21.75" customHeight="1">
      <c r="A180" s="146"/>
      <c r="B180" s="162"/>
      <c r="C180" s="165"/>
      <c r="D180" s="163"/>
      <c r="E180" s="164"/>
      <c r="F180" s="165"/>
      <c r="G180" s="166">
        <f t="shared" si="2"/>
        <v>0</v>
      </c>
      <c r="H180" s="167"/>
    </row>
    <row r="181" spans="1:8" ht="24" customHeight="1">
      <c r="A181" s="139"/>
      <c r="B181" s="170"/>
      <c r="C181" s="171"/>
      <c r="D181" s="172"/>
      <c r="E181" s="164"/>
      <c r="F181" s="171"/>
      <c r="G181" s="166">
        <f t="shared" si="2"/>
        <v>0</v>
      </c>
      <c r="H181" s="167"/>
    </row>
    <row r="182" spans="1:8" ht="24.75" customHeight="1">
      <c r="A182" s="146"/>
      <c r="B182" s="162"/>
      <c r="C182" s="165"/>
      <c r="D182" s="163"/>
      <c r="E182" s="164"/>
      <c r="F182" s="165"/>
      <c r="G182" s="166">
        <f t="shared" si="2"/>
        <v>0</v>
      </c>
      <c r="H182" s="167"/>
    </row>
    <row r="183" spans="1:8" ht="22.5" customHeight="1">
      <c r="A183" s="139"/>
      <c r="B183" s="170"/>
      <c r="C183" s="171"/>
      <c r="D183" s="172"/>
      <c r="E183" s="164"/>
      <c r="F183" s="171"/>
      <c r="G183" s="166">
        <f t="shared" si="2"/>
        <v>0</v>
      </c>
      <c r="H183" s="167"/>
    </row>
    <row r="184" spans="1:8" ht="21.75" customHeight="1">
      <c r="A184" s="146"/>
      <c r="B184" s="162"/>
      <c r="C184" s="165"/>
      <c r="D184" s="163"/>
      <c r="E184" s="164"/>
      <c r="F184" s="165"/>
      <c r="G184" s="166">
        <f t="shared" si="2"/>
        <v>0</v>
      </c>
      <c r="H184" s="167"/>
    </row>
    <row r="185" spans="1:8" ht="24" customHeight="1">
      <c r="A185" s="139"/>
      <c r="B185" s="170"/>
      <c r="C185" s="171"/>
      <c r="D185" s="172"/>
      <c r="E185" s="164"/>
      <c r="F185" s="171"/>
      <c r="G185" s="166">
        <f t="shared" si="2"/>
        <v>0</v>
      </c>
      <c r="H185" s="167"/>
    </row>
    <row r="186" spans="1:8" ht="22.5" customHeight="1">
      <c r="A186" s="146"/>
      <c r="B186" s="162"/>
      <c r="C186" s="165"/>
      <c r="D186" s="163"/>
      <c r="E186" s="164"/>
      <c r="F186" s="165"/>
      <c r="G186" s="166">
        <f t="shared" si="2"/>
        <v>0</v>
      </c>
      <c r="H186" s="167"/>
    </row>
    <row r="187" spans="1:8" ht="21" customHeight="1">
      <c r="A187" s="139"/>
      <c r="B187" s="170"/>
      <c r="C187" s="171"/>
      <c r="D187" s="172"/>
      <c r="E187" s="164"/>
      <c r="F187" s="171"/>
      <c r="G187" s="166">
        <f t="shared" si="2"/>
        <v>0</v>
      </c>
      <c r="H187" s="167"/>
    </row>
    <row r="188" spans="1:8" ht="24.75" customHeight="1">
      <c r="A188" s="146"/>
      <c r="B188" s="176"/>
      <c r="C188" s="165"/>
      <c r="D188" s="163"/>
      <c r="E188" s="164"/>
      <c r="F188" s="165"/>
      <c r="G188" s="166">
        <f t="shared" si="2"/>
        <v>0</v>
      </c>
      <c r="H188" s="167"/>
    </row>
    <row r="189" spans="1:8" ht="22.5" customHeight="1">
      <c r="A189" s="139"/>
      <c r="B189" s="170"/>
      <c r="C189" s="171"/>
      <c r="D189" s="172"/>
      <c r="E189" s="164"/>
      <c r="F189" s="171"/>
      <c r="G189" s="166">
        <f t="shared" si="2"/>
        <v>0</v>
      </c>
      <c r="H189" s="167"/>
    </row>
    <row r="190" spans="1:8" ht="21.75" customHeight="1">
      <c r="A190" s="146"/>
      <c r="B190" s="162"/>
      <c r="C190" s="165"/>
      <c r="D190" s="163"/>
      <c r="E190" s="164"/>
      <c r="F190" s="165"/>
      <c r="G190" s="166">
        <f t="shared" si="2"/>
        <v>0</v>
      </c>
      <c r="H190" s="167"/>
    </row>
    <row r="191" spans="1:8" ht="23.25" customHeight="1">
      <c r="A191" s="139"/>
      <c r="B191" s="170"/>
      <c r="C191" s="171"/>
      <c r="D191" s="172"/>
      <c r="E191" s="164"/>
      <c r="F191" s="171"/>
      <c r="G191" s="166">
        <f t="shared" si="2"/>
        <v>0</v>
      </c>
      <c r="H191" s="167"/>
    </row>
    <row r="192" spans="1:8" ht="21" customHeight="1">
      <c r="A192" s="146"/>
      <c r="B192" s="162"/>
      <c r="C192" s="165"/>
      <c r="D192" s="163"/>
      <c r="E192" s="164"/>
      <c r="F192" s="165"/>
      <c r="G192" s="166">
        <f t="shared" si="2"/>
        <v>0</v>
      </c>
      <c r="H192" s="167"/>
    </row>
    <row r="193" spans="1:8" ht="22.5" customHeight="1">
      <c r="A193" s="139"/>
      <c r="B193" s="170"/>
      <c r="C193" s="171"/>
      <c r="D193" s="172"/>
      <c r="E193" s="164"/>
      <c r="F193" s="171"/>
      <c r="G193" s="166">
        <f t="shared" si="2"/>
        <v>0</v>
      </c>
      <c r="H193" s="167"/>
    </row>
    <row r="194" spans="1:8" ht="22.5" customHeight="1">
      <c r="A194" s="146"/>
      <c r="B194" s="162"/>
      <c r="C194" s="165"/>
      <c r="D194" s="163"/>
      <c r="E194" s="164"/>
      <c r="F194" s="165"/>
      <c r="G194" s="166">
        <f t="shared" si="2"/>
        <v>0</v>
      </c>
      <c r="H194" s="167"/>
    </row>
    <row r="195" spans="1:8" ht="20.25" customHeight="1">
      <c r="A195" s="139"/>
      <c r="B195" s="170"/>
      <c r="C195" s="171"/>
      <c r="D195" s="172"/>
      <c r="E195" s="164"/>
      <c r="F195" s="171"/>
      <c r="G195" s="166">
        <f t="shared" si="2"/>
        <v>0</v>
      </c>
      <c r="H195" s="167"/>
    </row>
    <row r="196" spans="1:8" ht="22.5" customHeight="1">
      <c r="A196" s="146"/>
      <c r="B196" s="162"/>
      <c r="C196" s="165"/>
      <c r="D196" s="163"/>
      <c r="E196" s="164"/>
      <c r="F196" s="165"/>
      <c r="G196" s="166">
        <f t="shared" si="2"/>
        <v>0</v>
      </c>
      <c r="H196" s="167"/>
    </row>
    <row r="197" spans="1:8" ht="22.5" customHeight="1">
      <c r="A197" s="139"/>
      <c r="B197" s="170"/>
      <c r="C197" s="171"/>
      <c r="D197" s="172"/>
      <c r="E197" s="164"/>
      <c r="F197" s="171"/>
      <c r="G197" s="166">
        <f t="shared" si="2"/>
        <v>0</v>
      </c>
      <c r="H197" s="167"/>
    </row>
    <row r="198" spans="1:8" ht="22.5" customHeight="1">
      <c r="A198" s="146"/>
      <c r="B198" s="162"/>
      <c r="C198" s="165"/>
      <c r="D198" s="163"/>
      <c r="E198" s="164"/>
      <c r="F198" s="165"/>
      <c r="G198" s="166">
        <f t="shared" si="2"/>
        <v>0</v>
      </c>
      <c r="H198" s="167"/>
    </row>
    <row r="199" spans="1:8" ht="18.75" customHeight="1">
      <c r="A199" s="139"/>
      <c r="B199" s="170"/>
      <c r="C199" s="171"/>
      <c r="D199" s="172"/>
      <c r="E199" s="164"/>
      <c r="F199" s="171"/>
      <c r="G199" s="166">
        <f t="shared" si="2"/>
        <v>0</v>
      </c>
      <c r="H199" s="167"/>
    </row>
    <row r="200" spans="1:8" ht="21.75" customHeight="1">
      <c r="A200" s="146"/>
      <c r="B200" s="162"/>
      <c r="C200" s="165"/>
      <c r="D200" s="163"/>
      <c r="E200" s="164"/>
      <c r="F200" s="165"/>
      <c r="G200" s="166">
        <f t="shared" si="2"/>
        <v>0</v>
      </c>
      <c r="H200" s="167"/>
    </row>
    <row r="201" spans="1:8" ht="19.5" customHeight="1">
      <c r="A201" s="139"/>
      <c r="B201" s="170"/>
      <c r="C201" s="171"/>
      <c r="D201" s="172"/>
      <c r="E201" s="164"/>
      <c r="F201" s="171"/>
      <c r="G201" s="166">
        <f t="shared" si="2"/>
        <v>0</v>
      </c>
      <c r="H201" s="167"/>
    </row>
    <row r="202" spans="1:8" ht="22.5" customHeight="1">
      <c r="A202" s="146"/>
      <c r="B202" s="162"/>
      <c r="C202" s="165"/>
      <c r="D202" s="173"/>
      <c r="E202" s="174"/>
      <c r="F202" s="175"/>
      <c r="G202" s="166">
        <f t="shared" si="2"/>
        <v>0</v>
      </c>
      <c r="H202" s="167"/>
    </row>
    <row r="203" spans="1:8" ht="22.5" customHeight="1">
      <c r="A203" s="139"/>
      <c r="B203" s="170"/>
      <c r="C203" s="171"/>
      <c r="D203" s="172"/>
      <c r="E203" s="164"/>
      <c r="F203" s="171"/>
      <c r="G203" s="166">
        <f t="shared" si="2"/>
        <v>0</v>
      </c>
      <c r="H203" s="167"/>
    </row>
    <row r="204" spans="1:8" ht="22.5" customHeight="1">
      <c r="A204" s="146"/>
      <c r="B204" s="162"/>
      <c r="C204" s="165"/>
      <c r="D204" s="163"/>
      <c r="E204" s="164"/>
      <c r="F204" s="165"/>
      <c r="G204" s="166">
        <f t="shared" si="2"/>
        <v>0</v>
      </c>
      <c r="H204" s="167"/>
    </row>
    <row r="205" spans="1:8" ht="24" customHeight="1">
      <c r="A205" s="139"/>
      <c r="B205" s="170"/>
      <c r="C205" s="171"/>
      <c r="D205" s="172"/>
      <c r="E205" s="164"/>
      <c r="F205" s="171"/>
      <c r="G205" s="166">
        <f t="shared" si="2"/>
        <v>0</v>
      </c>
      <c r="H205" s="167"/>
    </row>
    <row r="206" spans="1:8" ht="24" customHeight="1">
      <c r="A206" s="146"/>
      <c r="B206" s="162"/>
      <c r="C206" s="165"/>
      <c r="D206" s="163"/>
      <c r="E206" s="164"/>
      <c r="F206" s="165"/>
      <c r="G206" s="166">
        <f t="shared" si="2"/>
        <v>0</v>
      </c>
      <c r="H206" s="167"/>
    </row>
    <row r="207" spans="1:8" ht="22.5" customHeight="1">
      <c r="A207" s="139"/>
      <c r="B207" s="170"/>
      <c r="C207" s="171"/>
      <c r="D207" s="172"/>
      <c r="E207" s="164"/>
      <c r="F207" s="171"/>
      <c r="G207" s="166">
        <f t="shared" si="2"/>
        <v>0</v>
      </c>
      <c r="H207" s="167"/>
    </row>
    <row r="208" spans="1:8" ht="27" customHeight="1">
      <c r="A208" s="146"/>
      <c r="B208" s="162"/>
      <c r="C208" s="165"/>
      <c r="D208" s="163"/>
      <c r="E208" s="164"/>
      <c r="F208" s="165"/>
      <c r="G208" s="166">
        <f t="shared" si="2"/>
        <v>0</v>
      </c>
      <c r="H208" s="167"/>
    </row>
    <row r="209" spans="1:8" ht="22.5" customHeight="1">
      <c r="A209" s="139"/>
      <c r="B209" s="170"/>
      <c r="C209" s="171"/>
      <c r="D209" s="172"/>
      <c r="E209" s="164"/>
      <c r="F209" s="171"/>
      <c r="G209" s="166">
        <f t="shared" si="2"/>
        <v>0</v>
      </c>
      <c r="H209" s="167"/>
    </row>
    <row r="210" spans="1:8" ht="20.25" customHeight="1">
      <c r="A210" s="146"/>
      <c r="B210" s="162"/>
      <c r="C210" s="165"/>
      <c r="D210" s="163"/>
      <c r="E210" s="164"/>
      <c r="F210" s="165"/>
      <c r="G210" s="166">
        <f t="shared" si="2"/>
        <v>0</v>
      </c>
      <c r="H210" s="167"/>
    </row>
    <row r="211" spans="1:8" ht="21.75" customHeight="1">
      <c r="A211" s="139"/>
      <c r="B211" s="170"/>
      <c r="C211" s="171"/>
      <c r="D211" s="172"/>
      <c r="E211" s="164"/>
      <c r="F211" s="171"/>
      <c r="G211" s="166">
        <f t="shared" si="2"/>
        <v>0</v>
      </c>
      <c r="H211" s="167"/>
    </row>
    <row r="212" spans="1:8" ht="22.5" customHeight="1">
      <c r="A212" s="146"/>
      <c r="B212" s="162"/>
      <c r="C212" s="165"/>
      <c r="D212" s="163"/>
      <c r="E212" s="164"/>
      <c r="F212" s="165"/>
      <c r="G212" s="166">
        <f t="shared" si="2"/>
        <v>0</v>
      </c>
      <c r="H212" s="167"/>
    </row>
    <row r="213" spans="1:8" ht="22.5" customHeight="1">
      <c r="A213" s="139"/>
      <c r="B213" s="170"/>
      <c r="C213" s="171"/>
      <c r="D213" s="172"/>
      <c r="E213" s="164"/>
      <c r="F213" s="171"/>
      <c r="G213" s="166">
        <f t="shared" si="2"/>
        <v>0</v>
      </c>
      <c r="H213" s="167"/>
    </row>
    <row r="214" spans="1:8" ht="22.5" customHeight="1">
      <c r="A214" s="146"/>
      <c r="B214" s="162"/>
      <c r="C214" s="165"/>
      <c r="D214" s="163"/>
      <c r="E214" s="164"/>
      <c r="F214" s="165"/>
      <c r="G214" s="166">
        <f t="shared" si="2"/>
        <v>0</v>
      </c>
      <c r="H214" s="167"/>
    </row>
    <row r="215" spans="1:8" ht="22.5" customHeight="1">
      <c r="A215" s="139"/>
      <c r="B215" s="170"/>
      <c r="C215" s="171"/>
      <c r="D215" s="172"/>
      <c r="E215" s="164"/>
      <c r="F215" s="171"/>
      <c r="G215" s="166">
        <f t="shared" si="2"/>
        <v>0</v>
      </c>
      <c r="H215" s="167"/>
    </row>
    <row r="216" spans="1:8" ht="22.5" customHeight="1">
      <c r="A216" s="146"/>
      <c r="B216" s="162"/>
      <c r="C216" s="165"/>
      <c r="D216" s="163"/>
      <c r="E216" s="164"/>
      <c r="F216" s="165"/>
      <c r="G216" s="166">
        <f t="shared" si="2"/>
        <v>0</v>
      </c>
      <c r="H216" s="167"/>
    </row>
    <row r="217" spans="1:8" ht="24.75" customHeight="1">
      <c r="A217" s="139"/>
      <c r="B217" s="170"/>
      <c r="C217" s="171"/>
      <c r="D217" s="172"/>
      <c r="E217" s="164"/>
      <c r="F217" s="171"/>
      <c r="G217" s="166">
        <f t="shared" si="2"/>
        <v>0</v>
      </c>
      <c r="H217" s="167"/>
    </row>
    <row r="218" spans="1:8" ht="22.5" customHeight="1">
      <c r="A218" s="146"/>
      <c r="B218" s="162"/>
      <c r="C218" s="165"/>
      <c r="D218" s="163"/>
      <c r="E218" s="164"/>
      <c r="F218" s="165"/>
      <c r="G218" s="166">
        <f t="shared" si="2"/>
        <v>0</v>
      </c>
      <c r="H218" s="167"/>
    </row>
    <row r="219" spans="1:8" ht="22.5" customHeight="1">
      <c r="A219" s="139"/>
      <c r="B219" s="170"/>
      <c r="C219" s="171"/>
      <c r="D219" s="172"/>
      <c r="E219" s="164"/>
      <c r="F219" s="171"/>
      <c r="G219" s="166">
        <f t="shared" si="2"/>
        <v>0</v>
      </c>
      <c r="H219" s="167"/>
    </row>
    <row r="220" spans="1:8" ht="24" customHeight="1">
      <c r="A220" s="146"/>
      <c r="B220" s="162"/>
      <c r="C220" s="165"/>
      <c r="D220" s="163"/>
      <c r="E220" s="164"/>
      <c r="F220" s="165"/>
      <c r="G220" s="166">
        <f t="shared" si="2"/>
        <v>0</v>
      </c>
      <c r="H220" s="167"/>
    </row>
    <row r="221" spans="1:8" ht="22.5" customHeight="1">
      <c r="A221" s="139"/>
      <c r="B221" s="170"/>
      <c r="C221" s="171"/>
      <c r="D221" s="172"/>
      <c r="E221" s="164"/>
      <c r="F221" s="171"/>
      <c r="G221" s="166">
        <f t="shared" si="2"/>
        <v>0</v>
      </c>
      <c r="H221" s="167"/>
    </row>
    <row r="222" spans="1:8" ht="21.75" customHeight="1">
      <c r="A222" s="146"/>
      <c r="B222" s="162"/>
      <c r="C222" s="165"/>
      <c r="D222" s="163"/>
      <c r="E222" s="164"/>
      <c r="F222" s="165"/>
      <c r="G222" s="166">
        <f t="shared" si="2"/>
        <v>0</v>
      </c>
      <c r="H222" s="167"/>
    </row>
    <row r="223" spans="1:8" ht="23.25" customHeight="1">
      <c r="A223" s="139"/>
      <c r="B223" s="170"/>
      <c r="C223" s="171"/>
      <c r="D223" s="172"/>
      <c r="E223" s="164"/>
      <c r="F223" s="171"/>
      <c r="G223" s="166">
        <f t="shared" si="2"/>
        <v>0</v>
      </c>
      <c r="H223" s="167"/>
    </row>
    <row r="224" spans="1:8" ht="24" customHeight="1">
      <c r="A224" s="146"/>
      <c r="B224" s="162"/>
      <c r="C224" s="165"/>
      <c r="D224" s="163"/>
      <c r="E224" s="164"/>
      <c r="F224" s="165"/>
      <c r="G224" s="166">
        <f t="shared" si="2"/>
        <v>0</v>
      </c>
      <c r="H224" s="167"/>
    </row>
    <row r="225" spans="1:8" ht="24" customHeight="1">
      <c r="A225" s="139"/>
      <c r="B225" s="170"/>
      <c r="C225" s="171"/>
      <c r="D225" s="172"/>
      <c r="E225" s="164"/>
      <c r="F225" s="171"/>
      <c r="G225" s="166">
        <f t="shared" si="2"/>
        <v>0</v>
      </c>
      <c r="H225" s="167"/>
    </row>
    <row r="226" spans="1:8" ht="22.5" customHeight="1">
      <c r="A226" s="146"/>
      <c r="B226" s="162"/>
      <c r="C226" s="165"/>
      <c r="D226" s="163"/>
      <c r="E226" s="164"/>
      <c r="F226" s="165"/>
      <c r="G226" s="166">
        <f t="shared" si="2"/>
        <v>0</v>
      </c>
      <c r="H226" s="167"/>
    </row>
    <row r="227" spans="1:8" ht="22.5" customHeight="1">
      <c r="A227" s="139"/>
      <c r="B227" s="170"/>
      <c r="C227" s="171"/>
      <c r="D227" s="172"/>
      <c r="E227" s="164"/>
      <c r="F227" s="171"/>
      <c r="G227" s="166">
        <f t="shared" si="2"/>
        <v>0</v>
      </c>
      <c r="H227" s="167"/>
    </row>
    <row r="228" spans="1:8" ht="24" customHeight="1">
      <c r="A228" s="146"/>
      <c r="B228" s="162"/>
      <c r="C228" s="165"/>
      <c r="D228" s="163"/>
      <c r="E228" s="164"/>
      <c r="F228" s="165"/>
      <c r="G228" s="166">
        <f t="shared" si="2"/>
        <v>0</v>
      </c>
      <c r="H228" s="167"/>
    </row>
    <row r="229" spans="1:8" ht="22.5" customHeight="1">
      <c r="A229" s="139"/>
      <c r="B229" s="170"/>
      <c r="C229" s="171"/>
      <c r="D229" s="172"/>
      <c r="E229" s="164"/>
      <c r="F229" s="171"/>
      <c r="G229" s="166">
        <f t="shared" si="2"/>
        <v>0</v>
      </c>
      <c r="H229" s="167"/>
    </row>
    <row r="230" spans="1:8" ht="19.5" customHeight="1">
      <c r="A230" s="146"/>
      <c r="B230" s="162"/>
      <c r="C230" s="165"/>
      <c r="D230" s="163"/>
      <c r="E230" s="164"/>
      <c r="F230" s="165"/>
      <c r="G230" s="166">
        <f t="shared" si="2"/>
        <v>0</v>
      </c>
      <c r="H230" s="167"/>
    </row>
    <row r="231" spans="1:8" ht="22.5" customHeight="1">
      <c r="A231" s="139"/>
      <c r="B231" s="170"/>
      <c r="C231" s="171"/>
      <c r="D231" s="172"/>
      <c r="E231" s="164"/>
      <c r="F231" s="171"/>
      <c r="G231" s="166">
        <f t="shared" si="2"/>
        <v>0</v>
      </c>
      <c r="H231" s="167"/>
    </row>
    <row r="232" spans="1:8" ht="22.5" customHeight="1">
      <c r="A232" s="146"/>
      <c r="B232" s="162"/>
      <c r="C232" s="165"/>
      <c r="D232" s="163"/>
      <c r="E232" s="164"/>
      <c r="F232" s="165"/>
      <c r="G232" s="166">
        <f t="shared" si="2"/>
        <v>0</v>
      </c>
      <c r="H232" s="167"/>
    </row>
    <row r="233" spans="1:8" ht="21" customHeight="1">
      <c r="A233" s="139"/>
      <c r="B233" s="170"/>
      <c r="C233" s="171"/>
      <c r="D233" s="177"/>
      <c r="E233" s="174"/>
      <c r="F233" s="178"/>
      <c r="G233" s="166">
        <f t="shared" si="2"/>
        <v>0</v>
      </c>
      <c r="H233" s="167"/>
    </row>
    <row r="234" spans="1:8" ht="21" customHeight="1">
      <c r="A234" s="146"/>
      <c r="B234" s="162"/>
      <c r="C234" s="165"/>
      <c r="D234" s="163"/>
      <c r="E234" s="164"/>
      <c r="F234" s="165"/>
      <c r="G234" s="166">
        <f t="shared" si="2"/>
        <v>0</v>
      </c>
      <c r="H234" s="167"/>
    </row>
    <row r="235" spans="1:8" ht="21" customHeight="1">
      <c r="A235" s="139"/>
      <c r="B235" s="170"/>
      <c r="C235" s="171"/>
      <c r="D235" s="172"/>
      <c r="E235" s="164"/>
      <c r="F235" s="171"/>
      <c r="G235" s="166">
        <f t="shared" si="2"/>
        <v>0</v>
      </c>
      <c r="H235" s="167"/>
    </row>
    <row r="236" spans="1:8" ht="24" customHeight="1">
      <c r="A236" s="146"/>
      <c r="B236" s="162"/>
      <c r="C236" s="165"/>
      <c r="D236" s="163"/>
      <c r="E236" s="164"/>
      <c r="F236" s="165"/>
      <c r="G236" s="166">
        <f t="shared" si="2"/>
        <v>0</v>
      </c>
      <c r="H236" s="167"/>
    </row>
    <row r="237" spans="1:8" ht="21.75" customHeight="1">
      <c r="A237" s="139"/>
      <c r="B237" s="170"/>
      <c r="C237" s="171"/>
      <c r="D237" s="172"/>
      <c r="E237" s="164"/>
      <c r="F237" s="171"/>
      <c r="G237" s="166">
        <f t="shared" si="2"/>
        <v>0</v>
      </c>
      <c r="H237" s="167"/>
    </row>
    <row r="238" spans="1:8" ht="19.5" customHeight="1">
      <c r="A238" s="146"/>
      <c r="B238" s="162"/>
      <c r="C238" s="165"/>
      <c r="D238" s="163"/>
      <c r="E238" s="164"/>
      <c r="F238" s="165"/>
      <c r="G238" s="166">
        <f t="shared" si="2"/>
        <v>0</v>
      </c>
      <c r="H238" s="167"/>
    </row>
    <row r="239" spans="1:8" ht="21.75" customHeight="1">
      <c r="A239" s="139"/>
      <c r="B239" s="170"/>
      <c r="C239" s="171"/>
      <c r="D239" s="172"/>
      <c r="E239" s="164"/>
      <c r="F239" s="171"/>
      <c r="G239" s="166">
        <f t="shared" si="2"/>
        <v>0</v>
      </c>
      <c r="H239" s="167"/>
    </row>
    <row r="240" spans="1:8" ht="22.5" customHeight="1">
      <c r="A240" s="146"/>
      <c r="B240" s="162"/>
      <c r="C240" s="165"/>
      <c r="D240" s="163"/>
      <c r="E240" s="164"/>
      <c r="F240" s="165"/>
      <c r="G240" s="166">
        <f t="shared" si="2"/>
        <v>0</v>
      </c>
      <c r="H240" s="167"/>
    </row>
    <row r="241" spans="1:8" ht="22.5" customHeight="1">
      <c r="A241" s="139"/>
      <c r="B241" s="170"/>
      <c r="C241" s="171"/>
      <c r="D241" s="172"/>
      <c r="E241" s="164"/>
      <c r="F241" s="171"/>
      <c r="G241" s="166">
        <f t="shared" si="2"/>
        <v>0</v>
      </c>
      <c r="H241" s="167"/>
    </row>
    <row r="242" spans="1:8" ht="22.5" customHeight="1">
      <c r="A242" s="146"/>
      <c r="B242" s="162"/>
      <c r="C242" s="165"/>
      <c r="D242" s="163"/>
      <c r="E242" s="164"/>
      <c r="F242" s="165"/>
      <c r="G242" s="166">
        <f t="shared" si="2"/>
        <v>0</v>
      </c>
      <c r="H242" s="167"/>
    </row>
    <row r="243" spans="1:8" ht="22.5" customHeight="1">
      <c r="A243" s="139"/>
      <c r="B243" s="170"/>
      <c r="C243" s="171"/>
      <c r="D243" s="172"/>
      <c r="E243" s="164"/>
      <c r="F243" s="171"/>
      <c r="G243" s="166">
        <f t="shared" si="2"/>
        <v>0</v>
      </c>
      <c r="H243" s="167"/>
    </row>
    <row r="244" spans="1:8" ht="21.75" customHeight="1">
      <c r="A244" s="146"/>
      <c r="B244" s="162"/>
      <c r="C244" s="165"/>
      <c r="D244" s="163"/>
      <c r="E244" s="164"/>
      <c r="F244" s="165"/>
      <c r="G244" s="166">
        <f t="shared" si="2"/>
        <v>0</v>
      </c>
      <c r="H244" s="167"/>
    </row>
    <row r="245" spans="1:8" ht="24" customHeight="1">
      <c r="A245" s="139"/>
      <c r="B245" s="170"/>
      <c r="C245" s="171"/>
      <c r="D245" s="172"/>
      <c r="E245" s="164"/>
      <c r="F245" s="171"/>
      <c r="G245" s="166">
        <f t="shared" si="2"/>
        <v>0</v>
      </c>
      <c r="H245" s="167"/>
    </row>
    <row r="246" spans="1:8" ht="22.5" customHeight="1">
      <c r="A246" s="146"/>
      <c r="B246" s="162"/>
      <c r="C246" s="165"/>
      <c r="D246" s="163"/>
      <c r="E246" s="164"/>
      <c r="F246" s="165"/>
      <c r="G246" s="166">
        <f t="shared" si="2"/>
        <v>0</v>
      </c>
      <c r="H246" s="167"/>
    </row>
    <row r="247" spans="1:8" ht="20.25" customHeight="1">
      <c r="A247" s="139"/>
      <c r="B247" s="170"/>
      <c r="C247" s="171"/>
      <c r="D247" s="172"/>
      <c r="E247" s="164"/>
      <c r="F247" s="171"/>
      <c r="G247" s="166">
        <f t="shared" si="2"/>
        <v>0</v>
      </c>
      <c r="H247" s="167"/>
    </row>
    <row r="248" spans="1:8" ht="22.5" customHeight="1">
      <c r="A248" s="146"/>
      <c r="B248" s="162"/>
      <c r="C248" s="165"/>
      <c r="D248" s="163"/>
      <c r="E248" s="164"/>
      <c r="F248" s="165"/>
      <c r="G248" s="166">
        <f t="shared" si="2"/>
        <v>0</v>
      </c>
      <c r="H248" s="167"/>
    </row>
    <row r="249" spans="1:8" ht="22.5" customHeight="1">
      <c r="A249" s="139"/>
      <c r="B249" s="170"/>
      <c r="C249" s="171"/>
      <c r="D249" s="172"/>
      <c r="E249" s="164"/>
      <c r="F249" s="171"/>
      <c r="G249" s="166">
        <f t="shared" si="2"/>
        <v>0</v>
      </c>
      <c r="H249" s="167"/>
    </row>
    <row r="250" spans="1:8" ht="22.5" customHeight="1">
      <c r="A250" s="146"/>
      <c r="B250" s="162"/>
      <c r="C250" s="165"/>
      <c r="D250" s="163"/>
      <c r="E250" s="164"/>
      <c r="F250" s="165"/>
      <c r="G250" s="166">
        <f t="shared" si="2"/>
        <v>0</v>
      </c>
      <c r="H250" s="167"/>
    </row>
    <row r="251" spans="1:8" ht="22.5" customHeight="1">
      <c r="A251" s="139"/>
      <c r="B251" s="170"/>
      <c r="C251" s="171"/>
      <c r="D251" s="172"/>
      <c r="E251" s="164"/>
      <c r="F251" s="171"/>
      <c r="G251" s="166">
        <f t="shared" si="2"/>
        <v>0</v>
      </c>
      <c r="H251" s="167"/>
    </row>
    <row r="252" spans="1:8" ht="19.5" customHeight="1">
      <c r="A252" s="146"/>
      <c r="B252" s="162"/>
      <c r="C252" s="165"/>
      <c r="D252" s="163"/>
      <c r="E252" s="164"/>
      <c r="F252" s="165"/>
      <c r="G252" s="166">
        <f t="shared" si="2"/>
        <v>0</v>
      </c>
      <c r="H252" s="167"/>
    </row>
    <row r="253" spans="1:8" ht="22.5" customHeight="1">
      <c r="A253" s="139"/>
      <c r="B253" s="170"/>
      <c r="C253" s="171"/>
      <c r="D253" s="172"/>
      <c r="E253" s="164"/>
      <c r="F253" s="171"/>
      <c r="G253" s="166">
        <f t="shared" si="2"/>
        <v>0</v>
      </c>
      <c r="H253" s="167"/>
    </row>
    <row r="254" spans="1:8" ht="22.5" customHeight="1">
      <c r="A254" s="146"/>
      <c r="B254" s="162"/>
      <c r="C254" s="165"/>
      <c r="D254" s="163"/>
      <c r="E254" s="164"/>
      <c r="F254" s="165"/>
      <c r="G254" s="166">
        <f t="shared" si="2"/>
        <v>0</v>
      </c>
      <c r="H254" s="167"/>
    </row>
    <row r="255" spans="1:8" ht="18.75" customHeight="1">
      <c r="A255" s="139"/>
      <c r="B255" s="170"/>
      <c r="C255" s="171"/>
      <c r="D255" s="172"/>
      <c r="E255" s="164"/>
      <c r="F255" s="171"/>
      <c r="G255" s="166">
        <f t="shared" si="2"/>
        <v>0</v>
      </c>
      <c r="H255" s="167"/>
    </row>
    <row r="256" spans="1:8" ht="19.5" customHeight="1">
      <c r="A256" s="146"/>
      <c r="B256" s="162"/>
      <c r="C256" s="165"/>
      <c r="D256" s="163"/>
      <c r="E256" s="164"/>
      <c r="F256" s="165"/>
      <c r="G256" s="166">
        <f t="shared" si="2"/>
        <v>0</v>
      </c>
      <c r="H256" s="167"/>
    </row>
    <row r="257" spans="1:8" ht="22.5" customHeight="1">
      <c r="A257" s="139"/>
      <c r="B257" s="170"/>
      <c r="C257" s="171"/>
      <c r="D257" s="172"/>
      <c r="E257" s="164"/>
      <c r="F257" s="171"/>
      <c r="G257" s="166">
        <f t="shared" si="2"/>
        <v>0</v>
      </c>
      <c r="H257" s="167"/>
    </row>
    <row r="258" spans="1:8" ht="23.25" customHeight="1">
      <c r="A258" s="146"/>
      <c r="B258" s="162"/>
      <c r="C258" s="165"/>
      <c r="D258" s="163"/>
      <c r="E258" s="164"/>
      <c r="F258" s="165"/>
      <c r="G258" s="166">
        <f t="shared" si="2"/>
        <v>0</v>
      </c>
      <c r="H258" s="167"/>
    </row>
    <row r="259" spans="1:8" ht="22.5" customHeight="1">
      <c r="A259" s="139"/>
      <c r="B259" s="170"/>
      <c r="C259" s="171"/>
      <c r="D259" s="172"/>
      <c r="E259" s="164"/>
      <c r="F259" s="171"/>
      <c r="G259" s="166">
        <f t="shared" si="2"/>
        <v>0</v>
      </c>
      <c r="H259" s="167"/>
    </row>
    <row r="260" spans="1:8" ht="21" customHeight="1">
      <c r="A260" s="146"/>
      <c r="B260" s="162"/>
      <c r="C260" s="165"/>
      <c r="D260" s="163"/>
      <c r="E260" s="164"/>
      <c r="F260" s="165"/>
      <c r="G260" s="166">
        <f t="shared" si="2"/>
        <v>0</v>
      </c>
      <c r="H260" s="167"/>
    </row>
    <row r="261" spans="1:8" ht="21" customHeight="1">
      <c r="A261" s="139"/>
      <c r="B261" s="170"/>
      <c r="C261" s="171"/>
      <c r="D261" s="177"/>
      <c r="E261" s="174"/>
      <c r="F261" s="178"/>
      <c r="G261" s="166">
        <f t="shared" si="2"/>
        <v>0</v>
      </c>
      <c r="H261" s="167"/>
    </row>
    <row r="262" spans="1:8" ht="21" customHeight="1">
      <c r="A262" s="146"/>
      <c r="B262" s="162"/>
      <c r="C262" s="165"/>
      <c r="D262" s="163"/>
      <c r="E262" s="164"/>
      <c r="F262" s="165"/>
      <c r="G262" s="166">
        <f t="shared" si="2"/>
        <v>0</v>
      </c>
      <c r="H262" s="167"/>
    </row>
    <row r="263" spans="1:8" ht="22.5" customHeight="1">
      <c r="A263" s="139"/>
      <c r="B263" s="170"/>
      <c r="C263" s="171"/>
      <c r="D263" s="172"/>
      <c r="E263" s="164"/>
      <c r="F263" s="171"/>
      <c r="G263" s="166">
        <f t="shared" si="2"/>
        <v>0</v>
      </c>
      <c r="H263" s="167"/>
    </row>
    <row r="264" spans="1:8" ht="22.5" customHeight="1">
      <c r="A264" s="146"/>
      <c r="B264" s="162"/>
      <c r="C264" s="165"/>
      <c r="D264" s="163"/>
      <c r="E264" s="164"/>
      <c r="F264" s="165"/>
      <c r="G264" s="166">
        <f t="shared" si="2"/>
        <v>0</v>
      </c>
      <c r="H264" s="167"/>
    </row>
    <row r="265" spans="1:8" ht="21" customHeight="1">
      <c r="A265" s="139"/>
      <c r="B265" s="170"/>
      <c r="C265" s="171"/>
      <c r="D265" s="172"/>
      <c r="E265" s="164"/>
      <c r="F265" s="171"/>
      <c r="G265" s="166">
        <f t="shared" si="2"/>
        <v>0</v>
      </c>
      <c r="H265" s="167"/>
    </row>
    <row r="266" spans="1:8" ht="22.5" customHeight="1">
      <c r="A266" s="146"/>
      <c r="B266" s="162"/>
      <c r="C266" s="165"/>
      <c r="D266" s="173"/>
      <c r="E266" s="174"/>
      <c r="F266" s="175"/>
      <c r="G266" s="166">
        <f t="shared" si="2"/>
        <v>0</v>
      </c>
      <c r="H266" s="167"/>
    </row>
    <row r="267" spans="1:8" ht="19.5" customHeight="1">
      <c r="A267" s="139"/>
      <c r="B267" s="170"/>
      <c r="C267" s="171"/>
      <c r="D267" s="172"/>
      <c r="E267" s="164"/>
      <c r="F267" s="171"/>
      <c r="G267" s="166">
        <f t="shared" si="2"/>
        <v>0</v>
      </c>
      <c r="H267" s="167"/>
    </row>
    <row r="268" spans="1:8" ht="21.75" customHeight="1">
      <c r="A268" s="146"/>
      <c r="B268" s="162"/>
      <c r="C268" s="165"/>
      <c r="D268" s="163"/>
      <c r="E268" s="164"/>
      <c r="F268" s="165"/>
      <c r="G268" s="166">
        <f t="shared" si="2"/>
        <v>0</v>
      </c>
      <c r="H268" s="167"/>
    </row>
    <row r="269" spans="1:8" ht="22.5" customHeight="1">
      <c r="A269" s="139"/>
      <c r="B269" s="179"/>
      <c r="C269" s="171"/>
      <c r="D269" s="172"/>
      <c r="E269" s="164"/>
      <c r="F269" s="171"/>
      <c r="G269" s="166">
        <f t="shared" si="2"/>
        <v>0</v>
      </c>
      <c r="H269" s="167"/>
    </row>
    <row r="270" spans="1:8" ht="22.5" customHeight="1">
      <c r="A270" s="146"/>
      <c r="B270" s="162"/>
      <c r="C270" s="165"/>
      <c r="D270" s="163"/>
      <c r="E270" s="164"/>
      <c r="F270" s="165"/>
      <c r="G270" s="166">
        <f t="shared" si="2"/>
        <v>0</v>
      </c>
      <c r="H270" s="167"/>
    </row>
    <row r="271" spans="1:8" ht="19.5" customHeight="1">
      <c r="A271" s="139"/>
      <c r="B271" s="170"/>
      <c r="C271" s="171"/>
      <c r="D271" s="172"/>
      <c r="E271" s="164"/>
      <c r="F271" s="171"/>
      <c r="G271" s="166">
        <f t="shared" si="2"/>
        <v>0</v>
      </c>
      <c r="H271" s="167"/>
    </row>
    <row r="272" spans="1:8" ht="22.5" customHeight="1">
      <c r="A272" s="146"/>
      <c r="B272" s="162"/>
      <c r="C272" s="165"/>
      <c r="D272" s="163"/>
      <c r="E272" s="164"/>
      <c r="F272" s="165"/>
      <c r="G272" s="166">
        <f t="shared" si="2"/>
        <v>0</v>
      </c>
      <c r="H272" s="167"/>
    </row>
    <row r="273" spans="1:8" ht="20.25" customHeight="1">
      <c r="A273" s="139"/>
      <c r="B273" s="170"/>
      <c r="C273" s="171"/>
      <c r="D273" s="172"/>
      <c r="E273" s="164"/>
      <c r="F273" s="171"/>
      <c r="G273" s="166">
        <f t="shared" si="2"/>
        <v>0</v>
      </c>
      <c r="H273" s="167"/>
    </row>
    <row r="274" spans="1:8" ht="23.25" customHeight="1">
      <c r="A274" s="146"/>
      <c r="B274" s="162"/>
      <c r="C274" s="165"/>
      <c r="D274" s="163"/>
      <c r="E274" s="164"/>
      <c r="F274" s="165"/>
      <c r="G274" s="166">
        <f t="shared" si="2"/>
        <v>0</v>
      </c>
      <c r="H274" s="167"/>
    </row>
    <row r="275" spans="1:8" ht="21.75" customHeight="1">
      <c r="A275" s="139"/>
      <c r="B275" s="170"/>
      <c r="C275" s="171"/>
      <c r="D275" s="172"/>
      <c r="E275" s="164"/>
      <c r="F275" s="171"/>
      <c r="G275" s="166">
        <f t="shared" si="2"/>
        <v>0</v>
      </c>
      <c r="H275" s="167"/>
    </row>
    <row r="276" spans="1:8" ht="22.5" customHeight="1">
      <c r="A276" s="146"/>
      <c r="B276" s="162"/>
      <c r="C276" s="165"/>
      <c r="D276" s="163"/>
      <c r="E276" s="164"/>
      <c r="F276" s="165"/>
      <c r="G276" s="166">
        <f t="shared" si="2"/>
        <v>0</v>
      </c>
      <c r="H276" s="167"/>
    </row>
    <row r="277" spans="1:8" ht="23.25" customHeight="1">
      <c r="A277" s="139"/>
      <c r="B277" s="170"/>
      <c r="C277" s="171"/>
      <c r="D277" s="172"/>
      <c r="E277" s="164"/>
      <c r="F277" s="171"/>
      <c r="G277" s="166">
        <f t="shared" si="2"/>
        <v>0</v>
      </c>
      <c r="H277" s="167"/>
    </row>
    <row r="278" spans="1:8" ht="22.5" customHeight="1">
      <c r="A278" s="146"/>
      <c r="B278" s="162"/>
      <c r="C278" s="165"/>
      <c r="D278" s="163"/>
      <c r="E278" s="164"/>
      <c r="F278" s="165"/>
      <c r="G278" s="166">
        <f t="shared" si="2"/>
        <v>0</v>
      </c>
      <c r="H278" s="167"/>
    </row>
    <row r="279" spans="1:8" ht="22.5" customHeight="1">
      <c r="A279" s="139"/>
      <c r="B279" s="170"/>
      <c r="C279" s="171"/>
      <c r="D279" s="172"/>
      <c r="E279" s="164"/>
      <c r="F279" s="171"/>
      <c r="G279" s="166">
        <f t="shared" si="2"/>
        <v>0</v>
      </c>
      <c r="H279" s="167"/>
    </row>
    <row r="280" spans="1:8" ht="22.5" customHeight="1">
      <c r="A280" s="146"/>
      <c r="B280" s="162"/>
      <c r="C280" s="165"/>
      <c r="D280" s="163"/>
      <c r="E280" s="164"/>
      <c r="F280" s="165"/>
      <c r="G280" s="166">
        <f t="shared" si="2"/>
        <v>0</v>
      </c>
      <c r="H280" s="167"/>
    </row>
    <row r="281" spans="1:8" ht="22.5" customHeight="1">
      <c r="A281" s="139"/>
      <c r="B281" s="170"/>
      <c r="C281" s="171"/>
      <c r="D281" s="172"/>
      <c r="E281" s="164"/>
      <c r="F281" s="171"/>
      <c r="G281" s="166">
        <f t="shared" si="2"/>
        <v>0</v>
      </c>
      <c r="H281" s="167"/>
    </row>
    <row r="282" spans="1:8" ht="22.5" customHeight="1">
      <c r="A282" s="146"/>
      <c r="B282" s="162"/>
      <c r="C282" s="165"/>
      <c r="D282" s="163"/>
      <c r="E282" s="164"/>
      <c r="F282" s="165"/>
      <c r="G282" s="166">
        <f t="shared" si="2"/>
        <v>0</v>
      </c>
      <c r="H282" s="167"/>
    </row>
    <row r="283" spans="1:8" ht="22.5" customHeight="1">
      <c r="A283" s="139"/>
      <c r="B283" s="170"/>
      <c r="C283" s="171"/>
      <c r="D283" s="172"/>
      <c r="E283" s="164"/>
      <c r="F283" s="171"/>
      <c r="G283" s="166">
        <f t="shared" si="2"/>
        <v>0</v>
      </c>
      <c r="H283" s="167"/>
    </row>
    <row r="284" spans="1:8" ht="22.5" customHeight="1">
      <c r="A284" s="146"/>
      <c r="B284" s="162"/>
      <c r="C284" s="165"/>
      <c r="D284" s="163"/>
      <c r="E284" s="164"/>
      <c r="F284" s="165"/>
      <c r="G284" s="166">
        <f t="shared" si="2"/>
        <v>0</v>
      </c>
      <c r="H284" s="167"/>
    </row>
    <row r="285" spans="1:8" ht="22.5" customHeight="1">
      <c r="A285" s="139"/>
      <c r="B285" s="170"/>
      <c r="C285" s="171"/>
      <c r="D285" s="172"/>
      <c r="E285" s="164"/>
      <c r="F285" s="171"/>
      <c r="G285" s="166">
        <f t="shared" si="2"/>
        <v>0</v>
      </c>
      <c r="H285" s="167"/>
    </row>
    <row r="286" spans="1:8" ht="22.5" customHeight="1">
      <c r="A286" s="146"/>
      <c r="B286" s="162"/>
      <c r="C286" s="165"/>
      <c r="D286" s="173"/>
      <c r="E286" s="174"/>
      <c r="F286" s="175"/>
      <c r="G286" s="166">
        <f t="shared" si="2"/>
        <v>0</v>
      </c>
      <c r="H286" s="167"/>
    </row>
    <row r="287" spans="1:8" ht="22.5" customHeight="1">
      <c r="A287" s="139"/>
      <c r="B287" s="170"/>
      <c r="C287" s="171"/>
      <c r="D287" s="177"/>
      <c r="E287" s="174"/>
      <c r="F287" s="178"/>
      <c r="G287" s="166">
        <f t="shared" si="2"/>
        <v>0</v>
      </c>
      <c r="H287" s="167"/>
    </row>
    <row r="288" spans="1:8" ht="22.5" customHeight="1">
      <c r="A288" s="146"/>
      <c r="B288" s="162"/>
      <c r="C288" s="165"/>
      <c r="D288" s="163"/>
      <c r="E288" s="164"/>
      <c r="F288" s="165"/>
      <c r="G288" s="166">
        <f t="shared" si="2"/>
        <v>0</v>
      </c>
      <c r="H288" s="167"/>
    </row>
    <row r="289" spans="1:8" ht="22.5" customHeight="1">
      <c r="A289" s="139"/>
      <c r="B289" s="170"/>
      <c r="C289" s="171"/>
      <c r="D289" s="172"/>
      <c r="E289" s="164"/>
      <c r="F289" s="171"/>
      <c r="G289" s="166">
        <f t="shared" si="2"/>
        <v>0</v>
      </c>
      <c r="H289" s="167"/>
    </row>
    <row r="290" spans="1:8" ht="22.5" customHeight="1">
      <c r="A290" s="146"/>
      <c r="B290" s="162"/>
      <c r="C290" s="165"/>
      <c r="D290" s="163"/>
      <c r="E290" s="164"/>
      <c r="F290" s="165"/>
      <c r="G290" s="166">
        <f t="shared" si="2"/>
        <v>0</v>
      </c>
      <c r="H290" s="167"/>
    </row>
    <row r="291" spans="1:8" ht="21" customHeight="1">
      <c r="A291" s="139"/>
      <c r="B291" s="170"/>
      <c r="C291" s="171"/>
      <c r="D291" s="172"/>
      <c r="E291" s="164"/>
      <c r="F291" s="171"/>
      <c r="G291" s="166">
        <f t="shared" si="2"/>
        <v>0</v>
      </c>
      <c r="H291" s="167"/>
    </row>
    <row r="292" spans="1:8" ht="21.75" customHeight="1">
      <c r="A292" s="146"/>
      <c r="B292" s="162"/>
      <c r="C292" s="165"/>
      <c r="D292" s="163"/>
      <c r="E292" s="164"/>
      <c r="F292" s="165"/>
      <c r="G292" s="166">
        <f t="shared" si="2"/>
        <v>0</v>
      </c>
      <c r="H292" s="167"/>
    </row>
    <row r="293" spans="1:8" ht="21" customHeight="1">
      <c r="A293" s="139"/>
      <c r="B293" s="170"/>
      <c r="C293" s="171"/>
      <c r="D293" s="172"/>
      <c r="E293" s="164"/>
      <c r="F293" s="171"/>
      <c r="G293" s="166">
        <f t="shared" si="2"/>
        <v>0</v>
      </c>
      <c r="H293" s="167"/>
    </row>
    <row r="294" spans="1:8" ht="22.5" customHeight="1">
      <c r="A294" s="146"/>
      <c r="B294" s="162"/>
      <c r="C294" s="165"/>
      <c r="D294" s="163"/>
      <c r="E294" s="164"/>
      <c r="F294" s="165"/>
      <c r="G294" s="166">
        <f t="shared" si="2"/>
        <v>0</v>
      </c>
      <c r="H294" s="167"/>
    </row>
    <row r="295" spans="1:8" ht="22.5" customHeight="1">
      <c r="A295" s="139"/>
      <c r="B295" s="170"/>
      <c r="C295" s="171"/>
      <c r="D295" s="172"/>
      <c r="E295" s="164"/>
      <c r="F295" s="171"/>
      <c r="G295" s="166">
        <f t="shared" si="2"/>
        <v>0</v>
      </c>
      <c r="H295" s="167"/>
    </row>
    <row r="296" spans="1:8" ht="22.5" customHeight="1">
      <c r="A296" s="146"/>
      <c r="B296" s="162"/>
      <c r="C296" s="165"/>
      <c r="D296" s="163"/>
      <c r="E296" s="164"/>
      <c r="F296" s="165"/>
      <c r="G296" s="166">
        <f t="shared" si="2"/>
        <v>0</v>
      </c>
      <c r="H296" s="167"/>
    </row>
    <row r="297" spans="1:8" ht="22.5" customHeight="1">
      <c r="A297" s="139"/>
      <c r="B297" s="170"/>
      <c r="C297" s="171"/>
      <c r="D297" s="172"/>
      <c r="E297" s="164"/>
      <c r="F297" s="171"/>
      <c r="G297" s="166">
        <f t="shared" si="2"/>
        <v>0</v>
      </c>
      <c r="H297" s="167"/>
    </row>
    <row r="298" spans="1:8" ht="22.5" customHeight="1">
      <c r="A298" s="146"/>
      <c r="B298" s="162"/>
      <c r="C298" s="165"/>
      <c r="D298" s="163"/>
      <c r="E298" s="164"/>
      <c r="F298" s="165"/>
      <c r="G298" s="166">
        <f t="shared" si="2"/>
        <v>0</v>
      </c>
      <c r="H298" s="167"/>
    </row>
    <row r="299" spans="1:8" ht="23.25" customHeight="1">
      <c r="A299" s="139"/>
      <c r="B299" s="170"/>
      <c r="C299" s="171"/>
      <c r="D299" s="172"/>
      <c r="E299" s="164"/>
      <c r="F299" s="171"/>
      <c r="G299" s="166">
        <f t="shared" si="2"/>
        <v>0</v>
      </c>
      <c r="H299" s="167"/>
    </row>
    <row r="300" spans="1:8" ht="20.25" customHeight="1">
      <c r="A300" s="146"/>
      <c r="B300" s="162"/>
      <c r="C300" s="165"/>
      <c r="D300" s="163"/>
      <c r="E300" s="164"/>
      <c r="F300" s="165"/>
      <c r="G300" s="166">
        <f t="shared" si="2"/>
        <v>0</v>
      </c>
      <c r="H300" s="167"/>
    </row>
    <row r="301" spans="1:8" ht="21" customHeight="1">
      <c r="A301" s="139"/>
      <c r="B301" s="170"/>
      <c r="C301" s="171"/>
      <c r="D301" s="172"/>
      <c r="E301" s="164"/>
      <c r="F301" s="171"/>
      <c r="G301" s="166">
        <f t="shared" si="2"/>
        <v>0</v>
      </c>
      <c r="H301" s="167"/>
    </row>
    <row r="302" spans="1:8" ht="23.25" customHeight="1">
      <c r="A302" s="146"/>
      <c r="B302" s="162"/>
      <c r="C302" s="165"/>
      <c r="D302" s="163"/>
      <c r="E302" s="164"/>
      <c r="F302" s="165"/>
      <c r="G302" s="166">
        <f t="shared" si="2"/>
        <v>0</v>
      </c>
      <c r="H302" s="167"/>
    </row>
    <row r="303" spans="1:8" ht="22.5" customHeight="1">
      <c r="A303" s="139"/>
      <c r="B303" s="170"/>
      <c r="C303" s="171"/>
      <c r="D303" s="172"/>
      <c r="E303" s="164"/>
      <c r="F303" s="171"/>
      <c r="G303" s="166">
        <f t="shared" si="2"/>
        <v>0</v>
      </c>
      <c r="H303" s="167"/>
    </row>
    <row r="304" spans="1:8" ht="22.5" customHeight="1">
      <c r="A304" s="146"/>
      <c r="B304" s="162"/>
      <c r="C304" s="165"/>
      <c r="D304" s="163"/>
      <c r="E304" s="164"/>
      <c r="F304" s="165"/>
      <c r="G304" s="166">
        <f t="shared" si="2"/>
        <v>0</v>
      </c>
      <c r="H304" s="167"/>
    </row>
    <row r="305" spans="1:8" ht="23.25" customHeight="1">
      <c r="A305" s="139"/>
      <c r="B305" s="170"/>
      <c r="C305" s="171"/>
      <c r="D305" s="172"/>
      <c r="E305" s="164"/>
      <c r="F305" s="171"/>
      <c r="G305" s="166">
        <f t="shared" si="2"/>
        <v>0</v>
      </c>
      <c r="H305" s="167"/>
    </row>
    <row r="306" spans="1:8" ht="24" customHeight="1">
      <c r="A306" s="146"/>
      <c r="B306" s="162"/>
      <c r="C306" s="165"/>
      <c r="D306" s="163"/>
      <c r="E306" s="164"/>
      <c r="F306" s="165"/>
      <c r="G306" s="166">
        <f t="shared" si="2"/>
        <v>0</v>
      </c>
      <c r="H306" s="167"/>
    </row>
    <row r="307" spans="1:8" ht="22.5" customHeight="1">
      <c r="A307" s="139"/>
      <c r="B307" s="170"/>
      <c r="C307" s="171"/>
      <c r="D307" s="172"/>
      <c r="E307" s="164"/>
      <c r="F307" s="171"/>
      <c r="G307" s="166">
        <f t="shared" si="2"/>
        <v>0</v>
      </c>
      <c r="H307" s="167"/>
    </row>
    <row r="308" spans="1:8" ht="21.75" customHeight="1">
      <c r="A308" s="146"/>
      <c r="B308" s="162"/>
      <c r="C308" s="165"/>
      <c r="D308" s="163"/>
      <c r="E308" s="164"/>
      <c r="F308" s="165"/>
      <c r="G308" s="166">
        <f t="shared" si="2"/>
        <v>0</v>
      </c>
      <c r="H308" s="167"/>
    </row>
    <row r="309" spans="1:8" ht="22.5" customHeight="1">
      <c r="A309" s="139"/>
      <c r="B309" s="170"/>
      <c r="C309" s="171"/>
      <c r="D309" s="172"/>
      <c r="E309" s="164"/>
      <c r="F309" s="171"/>
      <c r="G309" s="166">
        <f t="shared" si="2"/>
        <v>0</v>
      </c>
      <c r="H309" s="167"/>
    </row>
    <row r="310" spans="1:8" ht="22.5" customHeight="1">
      <c r="A310" s="146"/>
      <c r="B310" s="162"/>
      <c r="C310" s="165"/>
      <c r="D310" s="163"/>
      <c r="E310" s="164"/>
      <c r="F310" s="165"/>
      <c r="G310" s="166">
        <f t="shared" si="2"/>
        <v>0</v>
      </c>
      <c r="H310" s="167"/>
    </row>
    <row r="311" spans="1:8" ht="23.25" customHeight="1">
      <c r="A311" s="139"/>
      <c r="B311" s="170"/>
      <c r="C311" s="171"/>
      <c r="D311" s="172"/>
      <c r="E311" s="164"/>
      <c r="F311" s="171"/>
      <c r="G311" s="166">
        <f t="shared" si="2"/>
        <v>0</v>
      </c>
      <c r="H311" s="167"/>
    </row>
    <row r="312" spans="1:8" ht="22.5" customHeight="1">
      <c r="A312" s="146"/>
      <c r="B312" s="162"/>
      <c r="C312" s="165"/>
      <c r="D312" s="163"/>
      <c r="E312" s="164"/>
      <c r="F312" s="165"/>
      <c r="G312" s="166">
        <f t="shared" si="2"/>
        <v>0</v>
      </c>
      <c r="H312" s="167"/>
    </row>
    <row r="313" spans="1:8" ht="21.75" customHeight="1">
      <c r="A313" s="139"/>
      <c r="B313" s="170"/>
      <c r="C313" s="171"/>
      <c r="D313" s="172"/>
      <c r="E313" s="164"/>
      <c r="F313" s="171"/>
      <c r="G313" s="166">
        <f t="shared" si="2"/>
        <v>0</v>
      </c>
      <c r="H313" s="167"/>
    </row>
    <row r="314" spans="1:8" ht="22.5" customHeight="1">
      <c r="A314" s="146"/>
      <c r="B314" s="162"/>
      <c r="C314" s="165"/>
      <c r="D314" s="163"/>
      <c r="E314" s="164"/>
      <c r="F314" s="165"/>
      <c r="G314" s="166">
        <f t="shared" si="2"/>
        <v>0</v>
      </c>
      <c r="H314" s="167"/>
    </row>
    <row r="315" spans="1:8" ht="22.5" customHeight="1">
      <c r="A315" s="139"/>
      <c r="B315" s="170"/>
      <c r="C315" s="171"/>
      <c r="D315" s="172"/>
      <c r="E315" s="164"/>
      <c r="F315" s="171"/>
      <c r="G315" s="166">
        <f t="shared" si="2"/>
        <v>0</v>
      </c>
      <c r="H315" s="167"/>
    </row>
    <row r="316" spans="1:8" ht="22.5" customHeight="1">
      <c r="A316" s="146"/>
      <c r="B316" s="162"/>
      <c r="C316" s="165"/>
      <c r="D316" s="163"/>
      <c r="E316" s="164"/>
      <c r="F316" s="165"/>
      <c r="G316" s="166">
        <f t="shared" si="2"/>
        <v>0</v>
      </c>
      <c r="H316" s="167"/>
    </row>
    <row r="317" spans="1:8" ht="22.5" customHeight="1">
      <c r="A317" s="139"/>
      <c r="B317" s="170"/>
      <c r="C317" s="171"/>
      <c r="D317" s="172"/>
      <c r="E317" s="164"/>
      <c r="F317" s="171"/>
      <c r="G317" s="166">
        <f t="shared" si="2"/>
        <v>0</v>
      </c>
      <c r="H317" s="167"/>
    </row>
    <row r="318" spans="1:8" ht="22.5" customHeight="1">
      <c r="A318" s="146"/>
      <c r="B318" s="162"/>
      <c r="C318" s="165"/>
      <c r="D318" s="163"/>
      <c r="E318" s="164"/>
      <c r="F318" s="165"/>
      <c r="G318" s="166">
        <f t="shared" si="2"/>
        <v>0</v>
      </c>
      <c r="H318" s="167"/>
    </row>
    <row r="319" spans="1:8" ht="21.75" customHeight="1">
      <c r="A319" s="139"/>
      <c r="B319" s="170"/>
      <c r="C319" s="171"/>
      <c r="D319" s="172"/>
      <c r="E319" s="164"/>
      <c r="F319" s="171"/>
      <c r="G319" s="166">
        <f t="shared" si="2"/>
        <v>0</v>
      </c>
      <c r="H319" s="167"/>
    </row>
    <row r="320" spans="1:8" ht="21" customHeight="1">
      <c r="A320" s="146"/>
      <c r="B320" s="162"/>
      <c r="C320" s="165"/>
      <c r="D320" s="163"/>
      <c r="E320" s="164"/>
      <c r="F320" s="165"/>
      <c r="G320" s="166">
        <f t="shared" si="2"/>
        <v>0</v>
      </c>
      <c r="H320" s="167"/>
    </row>
    <row r="321" spans="1:8" ht="19.5" customHeight="1">
      <c r="A321" s="139"/>
      <c r="B321" s="170"/>
      <c r="C321" s="171"/>
      <c r="D321" s="172"/>
      <c r="E321" s="164"/>
      <c r="F321" s="171"/>
      <c r="G321" s="166">
        <f t="shared" si="2"/>
        <v>0</v>
      </c>
      <c r="H321" s="167"/>
    </row>
    <row r="322" spans="1:8" ht="22.5" customHeight="1">
      <c r="A322" s="146"/>
      <c r="B322" s="162"/>
      <c r="C322" s="165"/>
      <c r="D322" s="163"/>
      <c r="E322" s="164"/>
      <c r="F322" s="165"/>
      <c r="G322" s="166">
        <f t="shared" si="2"/>
        <v>0</v>
      </c>
      <c r="H322" s="167"/>
    </row>
    <row r="323" spans="1:8" ht="22.5" customHeight="1">
      <c r="A323" s="139"/>
      <c r="B323" s="170"/>
      <c r="C323" s="171"/>
      <c r="D323" s="172"/>
      <c r="E323" s="164"/>
      <c r="F323" s="171"/>
      <c r="G323" s="166">
        <f t="shared" si="2"/>
        <v>0</v>
      </c>
      <c r="H323" s="167"/>
    </row>
    <row r="324" spans="1:8" ht="22.5" customHeight="1">
      <c r="A324" s="146"/>
      <c r="B324" s="162"/>
      <c r="C324" s="165"/>
      <c r="D324" s="163"/>
      <c r="E324" s="164"/>
      <c r="F324" s="165"/>
      <c r="G324" s="166">
        <f t="shared" si="2"/>
        <v>0</v>
      </c>
      <c r="H324" s="167"/>
    </row>
    <row r="325" spans="1:8" ht="19.5" customHeight="1">
      <c r="A325" s="139"/>
      <c r="B325" s="170"/>
      <c r="C325" s="171"/>
      <c r="D325" s="172"/>
      <c r="E325" s="164"/>
      <c r="F325" s="171"/>
      <c r="G325" s="166">
        <f t="shared" si="2"/>
        <v>0</v>
      </c>
      <c r="H325" s="167"/>
    </row>
    <row r="326" spans="1:8" ht="22.5" customHeight="1">
      <c r="A326" s="146"/>
      <c r="B326" s="162"/>
      <c r="C326" s="165"/>
      <c r="D326" s="163"/>
      <c r="E326" s="164"/>
      <c r="F326" s="165"/>
      <c r="G326" s="166">
        <f t="shared" si="2"/>
        <v>0</v>
      </c>
      <c r="H326" s="167"/>
    </row>
    <row r="327" spans="1:8" ht="19.5" customHeight="1">
      <c r="A327" s="139"/>
      <c r="B327" s="170"/>
      <c r="C327" s="171"/>
      <c r="D327" s="172"/>
      <c r="E327" s="164"/>
      <c r="F327" s="171"/>
      <c r="G327" s="166">
        <f t="shared" si="2"/>
        <v>0</v>
      </c>
      <c r="H327" s="167"/>
    </row>
    <row r="328" spans="1:8" ht="22.5" customHeight="1">
      <c r="A328" s="146"/>
      <c r="B328" s="162"/>
      <c r="C328" s="165"/>
      <c r="D328" s="163"/>
      <c r="E328" s="164"/>
      <c r="F328" s="165"/>
      <c r="G328" s="166">
        <f t="shared" si="2"/>
        <v>0</v>
      </c>
      <c r="H328" s="167"/>
    </row>
    <row r="329" spans="1:8" ht="24.75" customHeight="1">
      <c r="A329" s="139"/>
      <c r="B329" s="170"/>
      <c r="C329" s="171"/>
      <c r="D329" s="172"/>
      <c r="E329" s="164"/>
      <c r="F329" s="171"/>
      <c r="G329" s="166">
        <f t="shared" si="2"/>
        <v>0</v>
      </c>
      <c r="H329" s="167"/>
    </row>
    <row r="330" spans="1:8" ht="22.5" customHeight="1">
      <c r="A330" s="146"/>
      <c r="B330" s="162"/>
      <c r="C330" s="165"/>
      <c r="D330" s="163"/>
      <c r="E330" s="164"/>
      <c r="F330" s="165"/>
      <c r="G330" s="166">
        <f t="shared" si="2"/>
        <v>0</v>
      </c>
      <c r="H330" s="167"/>
    </row>
    <row r="331" spans="1:8" ht="22.5" customHeight="1">
      <c r="A331" s="139"/>
      <c r="B331" s="170"/>
      <c r="C331" s="171"/>
      <c r="D331" s="172"/>
      <c r="E331" s="164"/>
      <c r="F331" s="171"/>
      <c r="G331" s="166">
        <f t="shared" si="2"/>
        <v>0</v>
      </c>
      <c r="H331" s="167"/>
    </row>
    <row r="332" spans="1:8" ht="21" customHeight="1">
      <c r="A332" s="146"/>
      <c r="B332" s="162"/>
      <c r="C332" s="165"/>
      <c r="D332" s="163"/>
      <c r="E332" s="164"/>
      <c r="F332" s="165"/>
      <c r="G332" s="166">
        <f t="shared" si="2"/>
        <v>0</v>
      </c>
      <c r="H332" s="167"/>
    </row>
    <row r="333" spans="1:8" ht="20.25" customHeight="1">
      <c r="A333" s="139"/>
      <c r="B333" s="170"/>
      <c r="C333" s="171"/>
      <c r="D333" s="172"/>
      <c r="E333" s="164"/>
      <c r="F333" s="171"/>
      <c r="G333" s="166">
        <f t="shared" si="2"/>
        <v>0</v>
      </c>
      <c r="H333" s="167"/>
    </row>
    <row r="334" spans="1:8" ht="21.75" customHeight="1">
      <c r="A334" s="146"/>
      <c r="B334" s="162"/>
      <c r="C334" s="165"/>
      <c r="D334" s="163"/>
      <c r="E334" s="164"/>
      <c r="F334" s="165"/>
      <c r="G334" s="166">
        <f t="shared" si="2"/>
        <v>0</v>
      </c>
      <c r="H334" s="167"/>
    </row>
    <row r="335" spans="1:8" ht="21.75" customHeight="1">
      <c r="A335" s="139"/>
      <c r="B335" s="170"/>
      <c r="C335" s="171"/>
      <c r="D335" s="172"/>
      <c r="E335" s="164"/>
      <c r="F335" s="171"/>
      <c r="G335" s="166">
        <f t="shared" si="2"/>
        <v>0</v>
      </c>
      <c r="H335" s="167"/>
    </row>
    <row r="336" spans="1:8" ht="22.5" customHeight="1">
      <c r="A336" s="146"/>
      <c r="B336" s="162"/>
      <c r="C336" s="165"/>
      <c r="D336" s="163"/>
      <c r="E336" s="164"/>
      <c r="F336" s="165"/>
      <c r="G336" s="166">
        <f t="shared" si="2"/>
        <v>0</v>
      </c>
      <c r="H336" s="167"/>
    </row>
    <row r="337" spans="1:8" ht="22.5" customHeight="1">
      <c r="A337" s="139"/>
      <c r="B337" s="170"/>
      <c r="C337" s="171"/>
      <c r="D337" s="172"/>
      <c r="E337" s="164"/>
      <c r="F337" s="171"/>
      <c r="G337" s="166">
        <f t="shared" ref="G337:G591" si="3">D337-E337</f>
        <v>0</v>
      </c>
      <c r="H337" s="167"/>
    </row>
    <row r="338" spans="1:8" ht="22.5" customHeight="1">
      <c r="A338" s="146"/>
      <c r="B338" s="162"/>
      <c r="C338" s="165"/>
      <c r="D338" s="163"/>
      <c r="E338" s="164"/>
      <c r="F338" s="165"/>
      <c r="G338" s="166">
        <f t="shared" si="3"/>
        <v>0</v>
      </c>
      <c r="H338" s="167"/>
    </row>
    <row r="339" spans="1:8" ht="22.5" customHeight="1">
      <c r="A339" s="139"/>
      <c r="B339" s="170"/>
      <c r="C339" s="171"/>
      <c r="D339" s="172"/>
      <c r="E339" s="164"/>
      <c r="F339" s="171"/>
      <c r="G339" s="166">
        <f t="shared" si="3"/>
        <v>0</v>
      </c>
      <c r="H339" s="167"/>
    </row>
    <row r="340" spans="1:8" ht="22.5" customHeight="1">
      <c r="A340" s="146"/>
      <c r="B340" s="162"/>
      <c r="C340" s="165"/>
      <c r="D340" s="163"/>
      <c r="E340" s="164"/>
      <c r="F340" s="165"/>
      <c r="G340" s="166">
        <f t="shared" si="3"/>
        <v>0</v>
      </c>
      <c r="H340" s="167"/>
    </row>
    <row r="341" spans="1:8" ht="22.5" customHeight="1">
      <c r="A341" s="139"/>
      <c r="B341" s="170"/>
      <c r="C341" s="171"/>
      <c r="D341" s="172"/>
      <c r="E341" s="164"/>
      <c r="F341" s="171"/>
      <c r="G341" s="166">
        <f t="shared" si="3"/>
        <v>0</v>
      </c>
      <c r="H341" s="167"/>
    </row>
    <row r="342" spans="1:8" ht="21" customHeight="1">
      <c r="A342" s="146"/>
      <c r="B342" s="162"/>
      <c r="C342" s="165"/>
      <c r="D342" s="163"/>
      <c r="E342" s="164"/>
      <c r="F342" s="165"/>
      <c r="G342" s="166">
        <f t="shared" si="3"/>
        <v>0</v>
      </c>
      <c r="H342" s="167"/>
    </row>
    <row r="343" spans="1:8" ht="21.75" customHeight="1">
      <c r="A343" s="139"/>
      <c r="B343" s="170"/>
      <c r="C343" s="171"/>
      <c r="D343" s="172"/>
      <c r="E343" s="164"/>
      <c r="F343" s="171"/>
      <c r="G343" s="166">
        <f t="shared" si="3"/>
        <v>0</v>
      </c>
      <c r="H343" s="167"/>
    </row>
    <row r="344" spans="1:8" ht="22.5" customHeight="1">
      <c r="A344" s="146"/>
      <c r="B344" s="162"/>
      <c r="C344" s="165"/>
      <c r="D344" s="163"/>
      <c r="E344" s="164"/>
      <c r="F344" s="165"/>
      <c r="G344" s="166">
        <f t="shared" si="3"/>
        <v>0</v>
      </c>
      <c r="H344" s="167"/>
    </row>
    <row r="345" spans="1:8" ht="22.5" customHeight="1">
      <c r="A345" s="139"/>
      <c r="B345" s="170"/>
      <c r="C345" s="171"/>
      <c r="D345" s="172"/>
      <c r="E345" s="164"/>
      <c r="F345" s="171"/>
      <c r="G345" s="166">
        <f t="shared" si="3"/>
        <v>0</v>
      </c>
      <c r="H345" s="167"/>
    </row>
    <row r="346" spans="1:8" ht="21" customHeight="1">
      <c r="A346" s="146"/>
      <c r="B346" s="162"/>
      <c r="C346" s="165"/>
      <c r="D346" s="163"/>
      <c r="E346" s="164"/>
      <c r="F346" s="165"/>
      <c r="G346" s="166">
        <f t="shared" si="3"/>
        <v>0</v>
      </c>
      <c r="H346" s="167"/>
    </row>
    <row r="347" spans="1:8" ht="22.5" customHeight="1">
      <c r="A347" s="139"/>
      <c r="B347" s="170"/>
      <c r="C347" s="171"/>
      <c r="D347" s="172"/>
      <c r="E347" s="164"/>
      <c r="F347" s="171"/>
      <c r="G347" s="166">
        <f t="shared" si="3"/>
        <v>0</v>
      </c>
      <c r="H347" s="167"/>
    </row>
    <row r="348" spans="1:8" ht="22.5" customHeight="1">
      <c r="A348" s="146"/>
      <c r="B348" s="162"/>
      <c r="C348" s="165"/>
      <c r="D348" s="163"/>
      <c r="E348" s="164"/>
      <c r="F348" s="165"/>
      <c r="G348" s="166">
        <f t="shared" si="3"/>
        <v>0</v>
      </c>
      <c r="H348" s="167"/>
    </row>
    <row r="349" spans="1:8" ht="23.25" customHeight="1">
      <c r="A349" s="139"/>
      <c r="B349" s="170"/>
      <c r="C349" s="171"/>
      <c r="D349" s="172"/>
      <c r="E349" s="164"/>
      <c r="F349" s="171"/>
      <c r="G349" s="166">
        <f t="shared" si="3"/>
        <v>0</v>
      </c>
      <c r="H349" s="167"/>
    </row>
    <row r="350" spans="1:8" ht="21" customHeight="1">
      <c r="A350" s="146"/>
      <c r="B350" s="162"/>
      <c r="C350" s="165"/>
      <c r="D350" s="163"/>
      <c r="E350" s="164"/>
      <c r="F350" s="165"/>
      <c r="G350" s="166">
        <f t="shared" si="3"/>
        <v>0</v>
      </c>
      <c r="H350" s="167"/>
    </row>
    <row r="351" spans="1:8" ht="22.5" customHeight="1">
      <c r="A351" s="139"/>
      <c r="B351" s="170"/>
      <c r="C351" s="171"/>
      <c r="D351" s="172"/>
      <c r="E351" s="164"/>
      <c r="F351" s="171"/>
      <c r="G351" s="166">
        <f t="shared" si="3"/>
        <v>0</v>
      </c>
      <c r="H351" s="167"/>
    </row>
    <row r="352" spans="1:8" ht="20.25" customHeight="1">
      <c r="A352" s="146"/>
      <c r="B352" s="162"/>
      <c r="C352" s="165"/>
      <c r="D352" s="163"/>
      <c r="E352" s="164"/>
      <c r="F352" s="165"/>
      <c r="G352" s="166">
        <f t="shared" si="3"/>
        <v>0</v>
      </c>
      <c r="H352" s="167"/>
    </row>
    <row r="353" spans="1:8" ht="20.25" customHeight="1">
      <c r="A353" s="139"/>
      <c r="B353" s="170"/>
      <c r="C353" s="171"/>
      <c r="D353" s="172"/>
      <c r="E353" s="164"/>
      <c r="F353" s="171"/>
      <c r="G353" s="166">
        <f t="shared" si="3"/>
        <v>0</v>
      </c>
      <c r="H353" s="167"/>
    </row>
    <row r="354" spans="1:8" ht="22.5" customHeight="1">
      <c r="A354" s="146"/>
      <c r="B354" s="162"/>
      <c r="C354" s="165"/>
      <c r="D354" s="163"/>
      <c r="E354" s="164"/>
      <c r="F354" s="165"/>
      <c r="G354" s="166">
        <f t="shared" si="3"/>
        <v>0</v>
      </c>
      <c r="H354" s="167"/>
    </row>
    <row r="355" spans="1:8" ht="22.5" customHeight="1">
      <c r="A355" s="139"/>
      <c r="B355" s="170"/>
      <c r="C355" s="171"/>
      <c r="D355" s="172"/>
      <c r="E355" s="164"/>
      <c r="F355" s="171"/>
      <c r="G355" s="166">
        <f t="shared" si="3"/>
        <v>0</v>
      </c>
      <c r="H355" s="167"/>
    </row>
    <row r="356" spans="1:8" ht="21" customHeight="1">
      <c r="A356" s="146"/>
      <c r="B356" s="162"/>
      <c r="C356" s="165"/>
      <c r="D356" s="163"/>
      <c r="E356" s="164"/>
      <c r="F356" s="165"/>
      <c r="G356" s="166">
        <f t="shared" si="3"/>
        <v>0</v>
      </c>
      <c r="H356" s="167"/>
    </row>
    <row r="357" spans="1:8" ht="23.25" customHeight="1">
      <c r="A357" s="139"/>
      <c r="B357" s="170"/>
      <c r="C357" s="171"/>
      <c r="D357" s="172"/>
      <c r="E357" s="164"/>
      <c r="F357" s="171"/>
      <c r="G357" s="166">
        <f t="shared" si="3"/>
        <v>0</v>
      </c>
      <c r="H357" s="167"/>
    </row>
    <row r="358" spans="1:8" ht="21.75" customHeight="1">
      <c r="A358" s="146"/>
      <c r="B358" s="162"/>
      <c r="C358" s="165"/>
      <c r="D358" s="163"/>
      <c r="E358" s="164"/>
      <c r="F358" s="165"/>
      <c r="G358" s="166">
        <f t="shared" si="3"/>
        <v>0</v>
      </c>
      <c r="H358" s="167"/>
    </row>
    <row r="359" spans="1:8" ht="24" customHeight="1">
      <c r="A359" s="139"/>
      <c r="B359" s="170"/>
      <c r="C359" s="171"/>
      <c r="D359" s="172"/>
      <c r="E359" s="164"/>
      <c r="F359" s="171"/>
      <c r="G359" s="166">
        <f t="shared" si="3"/>
        <v>0</v>
      </c>
      <c r="H359" s="167"/>
    </row>
    <row r="360" spans="1:8" ht="22.5" customHeight="1">
      <c r="A360" s="146"/>
      <c r="B360" s="162"/>
      <c r="C360" s="165"/>
      <c r="D360" s="163"/>
      <c r="E360" s="164"/>
      <c r="F360" s="165"/>
      <c r="G360" s="166">
        <f t="shared" si="3"/>
        <v>0</v>
      </c>
      <c r="H360" s="167"/>
    </row>
    <row r="361" spans="1:8" ht="23.25" customHeight="1">
      <c r="A361" s="139"/>
      <c r="B361" s="170"/>
      <c r="C361" s="171"/>
      <c r="D361" s="172"/>
      <c r="E361" s="164"/>
      <c r="F361" s="171"/>
      <c r="G361" s="166">
        <f t="shared" si="3"/>
        <v>0</v>
      </c>
      <c r="H361" s="167"/>
    </row>
    <row r="362" spans="1:8" ht="22.5" customHeight="1">
      <c r="A362" s="146"/>
      <c r="B362" s="162"/>
      <c r="C362" s="165"/>
      <c r="D362" s="163"/>
      <c r="E362" s="164"/>
      <c r="F362" s="165"/>
      <c r="G362" s="166">
        <f t="shared" si="3"/>
        <v>0</v>
      </c>
      <c r="H362" s="167"/>
    </row>
    <row r="363" spans="1:8" ht="22.5" customHeight="1">
      <c r="A363" s="139"/>
      <c r="B363" s="170"/>
      <c r="C363" s="171"/>
      <c r="D363" s="172"/>
      <c r="E363" s="164"/>
      <c r="F363" s="171"/>
      <c r="G363" s="166">
        <f t="shared" si="3"/>
        <v>0</v>
      </c>
      <c r="H363" s="167"/>
    </row>
    <row r="364" spans="1:8" ht="21" customHeight="1">
      <c r="A364" s="146"/>
      <c r="B364" s="162"/>
      <c r="C364" s="165"/>
      <c r="D364" s="163"/>
      <c r="E364" s="164"/>
      <c r="F364" s="165"/>
      <c r="G364" s="166">
        <f t="shared" si="3"/>
        <v>0</v>
      </c>
      <c r="H364" s="167"/>
    </row>
    <row r="365" spans="1:8" ht="22.5" customHeight="1">
      <c r="A365" s="139"/>
      <c r="B365" s="170"/>
      <c r="C365" s="171"/>
      <c r="D365" s="172"/>
      <c r="E365" s="164"/>
      <c r="F365" s="171"/>
      <c r="G365" s="166">
        <f t="shared" si="3"/>
        <v>0</v>
      </c>
      <c r="H365" s="167"/>
    </row>
    <row r="366" spans="1:8" ht="22.5" customHeight="1">
      <c r="A366" s="146"/>
      <c r="B366" s="162"/>
      <c r="C366" s="165"/>
      <c r="D366" s="163"/>
      <c r="E366" s="164"/>
      <c r="F366" s="165"/>
      <c r="G366" s="166">
        <f t="shared" si="3"/>
        <v>0</v>
      </c>
      <c r="H366" s="167"/>
    </row>
    <row r="367" spans="1:8" ht="22.5" customHeight="1">
      <c r="A367" s="139"/>
      <c r="B367" s="170"/>
      <c r="C367" s="171"/>
      <c r="D367" s="172"/>
      <c r="E367" s="164"/>
      <c r="F367" s="171"/>
      <c r="G367" s="166">
        <f t="shared" si="3"/>
        <v>0</v>
      </c>
      <c r="H367" s="167"/>
    </row>
    <row r="368" spans="1:8" ht="22.5" customHeight="1">
      <c r="A368" s="146"/>
      <c r="B368" s="162"/>
      <c r="C368" s="165"/>
      <c r="D368" s="163"/>
      <c r="E368" s="164"/>
      <c r="F368" s="165"/>
      <c r="G368" s="166">
        <f t="shared" si="3"/>
        <v>0</v>
      </c>
      <c r="H368" s="167"/>
    </row>
    <row r="369" spans="1:8" ht="19.5" customHeight="1">
      <c r="A369" s="139"/>
      <c r="B369" s="170"/>
      <c r="C369" s="171"/>
      <c r="D369" s="172"/>
      <c r="E369" s="164"/>
      <c r="F369" s="171"/>
      <c r="G369" s="166">
        <f t="shared" si="3"/>
        <v>0</v>
      </c>
      <c r="H369" s="167"/>
    </row>
    <row r="370" spans="1:8" ht="18.75" customHeight="1">
      <c r="A370" s="146"/>
      <c r="B370" s="162"/>
      <c r="C370" s="165"/>
      <c r="D370" s="163"/>
      <c r="E370" s="164"/>
      <c r="F370" s="165"/>
      <c r="G370" s="166">
        <f t="shared" si="3"/>
        <v>0</v>
      </c>
      <c r="H370" s="167"/>
    </row>
    <row r="371" spans="1:8" ht="21" customHeight="1">
      <c r="A371" s="139"/>
      <c r="B371" s="170"/>
      <c r="C371" s="171"/>
      <c r="D371" s="172"/>
      <c r="E371" s="164"/>
      <c r="F371" s="171"/>
      <c r="G371" s="166">
        <f t="shared" si="3"/>
        <v>0</v>
      </c>
      <c r="H371" s="167"/>
    </row>
    <row r="372" spans="1:8" ht="24.75" customHeight="1">
      <c r="A372" s="146"/>
      <c r="B372" s="162"/>
      <c r="C372" s="165"/>
      <c r="D372" s="163"/>
      <c r="E372" s="164"/>
      <c r="F372" s="165"/>
      <c r="G372" s="166">
        <f t="shared" si="3"/>
        <v>0</v>
      </c>
      <c r="H372" s="167"/>
    </row>
    <row r="373" spans="1:8" ht="22.5" customHeight="1">
      <c r="A373" s="139"/>
      <c r="B373" s="170"/>
      <c r="C373" s="171"/>
      <c r="D373" s="172"/>
      <c r="E373" s="164"/>
      <c r="F373" s="171"/>
      <c r="G373" s="166">
        <f t="shared" si="3"/>
        <v>0</v>
      </c>
      <c r="H373" s="167"/>
    </row>
    <row r="374" spans="1:8" ht="22.5" customHeight="1">
      <c r="A374" s="146"/>
      <c r="B374" s="162"/>
      <c r="C374" s="165"/>
      <c r="D374" s="163"/>
      <c r="E374" s="164"/>
      <c r="F374" s="165"/>
      <c r="G374" s="166">
        <f t="shared" si="3"/>
        <v>0</v>
      </c>
      <c r="H374" s="167"/>
    </row>
    <row r="375" spans="1:8" ht="22.5" customHeight="1">
      <c r="A375" s="139"/>
      <c r="B375" s="170"/>
      <c r="C375" s="171"/>
      <c r="D375" s="177"/>
      <c r="E375" s="174"/>
      <c r="F375" s="178"/>
      <c r="G375" s="166">
        <f t="shared" si="3"/>
        <v>0</v>
      </c>
      <c r="H375" s="167"/>
    </row>
    <row r="376" spans="1:8" ht="22.5" customHeight="1">
      <c r="A376" s="146"/>
      <c r="B376" s="162"/>
      <c r="C376" s="165"/>
      <c r="D376" s="163"/>
      <c r="E376" s="164"/>
      <c r="F376" s="165"/>
      <c r="G376" s="166">
        <f t="shared" si="3"/>
        <v>0</v>
      </c>
      <c r="H376" s="167"/>
    </row>
    <row r="377" spans="1:8" ht="22.5" customHeight="1">
      <c r="A377" s="139"/>
      <c r="B377" s="170"/>
      <c r="C377" s="171"/>
      <c r="D377" s="172"/>
      <c r="E377" s="164"/>
      <c r="F377" s="171"/>
      <c r="G377" s="166">
        <f t="shared" si="3"/>
        <v>0</v>
      </c>
      <c r="H377" s="167"/>
    </row>
    <row r="378" spans="1:8" ht="22.5" customHeight="1">
      <c r="A378" s="146"/>
      <c r="B378" s="162"/>
      <c r="C378" s="165"/>
      <c r="D378" s="163"/>
      <c r="E378" s="164"/>
      <c r="F378" s="165"/>
      <c r="G378" s="166">
        <f t="shared" si="3"/>
        <v>0</v>
      </c>
      <c r="H378" s="167"/>
    </row>
    <row r="379" spans="1:8" ht="22.5" customHeight="1">
      <c r="A379" s="139"/>
      <c r="B379" s="170"/>
      <c r="C379" s="171"/>
      <c r="D379" s="172"/>
      <c r="E379" s="164"/>
      <c r="F379" s="171"/>
      <c r="G379" s="166">
        <f t="shared" si="3"/>
        <v>0</v>
      </c>
      <c r="H379" s="167"/>
    </row>
    <row r="380" spans="1:8" ht="22.5" customHeight="1">
      <c r="A380" s="146"/>
      <c r="B380" s="162"/>
      <c r="C380" s="165"/>
      <c r="D380" s="163"/>
      <c r="E380" s="164"/>
      <c r="F380" s="165"/>
      <c r="G380" s="166">
        <f t="shared" si="3"/>
        <v>0</v>
      </c>
      <c r="H380" s="167"/>
    </row>
    <row r="381" spans="1:8" ht="22.5" customHeight="1">
      <c r="A381" s="139"/>
      <c r="B381" s="170"/>
      <c r="C381" s="171"/>
      <c r="D381" s="172"/>
      <c r="E381" s="164"/>
      <c r="F381" s="171"/>
      <c r="G381" s="166">
        <f t="shared" si="3"/>
        <v>0</v>
      </c>
      <c r="H381" s="167"/>
    </row>
    <row r="382" spans="1:8" ht="21" customHeight="1">
      <c r="A382" s="146"/>
      <c r="B382" s="162"/>
      <c r="C382" s="165"/>
      <c r="D382" s="163"/>
      <c r="E382" s="164"/>
      <c r="F382" s="165"/>
      <c r="G382" s="166">
        <f t="shared" si="3"/>
        <v>0</v>
      </c>
      <c r="H382" s="167"/>
    </row>
    <row r="383" spans="1:8" ht="22.5" customHeight="1">
      <c r="A383" s="139"/>
      <c r="B383" s="170"/>
      <c r="C383" s="171"/>
      <c r="D383" s="172"/>
      <c r="E383" s="164"/>
      <c r="F383" s="171"/>
      <c r="G383" s="166">
        <f t="shared" si="3"/>
        <v>0</v>
      </c>
      <c r="H383" s="167"/>
    </row>
    <row r="384" spans="1:8" ht="21.75" customHeight="1">
      <c r="A384" s="146"/>
      <c r="B384" s="162"/>
      <c r="C384" s="165"/>
      <c r="D384" s="163"/>
      <c r="E384" s="164"/>
      <c r="F384" s="165"/>
      <c r="G384" s="166">
        <f t="shared" si="3"/>
        <v>0</v>
      </c>
      <c r="H384" s="167"/>
    </row>
    <row r="385" spans="1:8" ht="22.5" customHeight="1">
      <c r="A385" s="139"/>
      <c r="B385" s="170"/>
      <c r="C385" s="171"/>
      <c r="D385" s="172"/>
      <c r="E385" s="164"/>
      <c r="F385" s="171"/>
      <c r="G385" s="166">
        <f t="shared" si="3"/>
        <v>0</v>
      </c>
      <c r="H385" s="167"/>
    </row>
    <row r="386" spans="1:8" ht="22.5" customHeight="1">
      <c r="A386" s="146"/>
      <c r="B386" s="162"/>
      <c r="C386" s="165"/>
      <c r="D386" s="163"/>
      <c r="E386" s="164"/>
      <c r="F386" s="165"/>
      <c r="G386" s="166">
        <f t="shared" si="3"/>
        <v>0</v>
      </c>
      <c r="H386" s="167"/>
    </row>
    <row r="387" spans="1:8" ht="22.5" customHeight="1">
      <c r="A387" s="139"/>
      <c r="B387" s="170"/>
      <c r="C387" s="171"/>
      <c r="D387" s="172"/>
      <c r="E387" s="164"/>
      <c r="F387" s="171"/>
      <c r="G387" s="166">
        <f t="shared" si="3"/>
        <v>0</v>
      </c>
      <c r="H387" s="167"/>
    </row>
    <row r="388" spans="1:8" ht="22.5" customHeight="1">
      <c r="A388" s="146"/>
      <c r="B388" s="162"/>
      <c r="C388" s="165"/>
      <c r="D388" s="163"/>
      <c r="E388" s="164"/>
      <c r="F388" s="165"/>
      <c r="G388" s="166">
        <f t="shared" si="3"/>
        <v>0</v>
      </c>
      <c r="H388" s="167"/>
    </row>
    <row r="389" spans="1:8" ht="24.75" customHeight="1">
      <c r="A389" s="139"/>
      <c r="B389" s="170"/>
      <c r="C389" s="171"/>
      <c r="D389" s="172"/>
      <c r="E389" s="164"/>
      <c r="F389" s="171"/>
      <c r="G389" s="166">
        <f t="shared" si="3"/>
        <v>0</v>
      </c>
      <c r="H389" s="167"/>
    </row>
    <row r="390" spans="1:8" ht="23.25" customHeight="1">
      <c r="A390" s="146"/>
      <c r="B390" s="162"/>
      <c r="C390" s="165"/>
      <c r="D390" s="163"/>
      <c r="E390" s="164"/>
      <c r="F390" s="165"/>
      <c r="G390" s="166">
        <f t="shared" si="3"/>
        <v>0</v>
      </c>
      <c r="H390" s="167"/>
    </row>
    <row r="391" spans="1:8" ht="21" customHeight="1">
      <c r="A391" s="139"/>
      <c r="B391" s="170"/>
      <c r="C391" s="171"/>
      <c r="D391" s="172"/>
      <c r="E391" s="164"/>
      <c r="F391" s="171"/>
      <c r="G391" s="166">
        <f t="shared" si="3"/>
        <v>0</v>
      </c>
      <c r="H391" s="167"/>
    </row>
    <row r="392" spans="1:8" ht="22.5" customHeight="1">
      <c r="A392" s="146"/>
      <c r="B392" s="162"/>
      <c r="C392" s="165"/>
      <c r="D392" s="163"/>
      <c r="E392" s="164"/>
      <c r="F392" s="165"/>
      <c r="G392" s="166">
        <f t="shared" si="3"/>
        <v>0</v>
      </c>
      <c r="H392" s="167"/>
    </row>
    <row r="393" spans="1:8" ht="21.75" customHeight="1">
      <c r="A393" s="139"/>
      <c r="B393" s="170"/>
      <c r="C393" s="171"/>
      <c r="D393" s="172"/>
      <c r="E393" s="164"/>
      <c r="F393" s="171"/>
      <c r="G393" s="166">
        <f t="shared" si="3"/>
        <v>0</v>
      </c>
      <c r="H393" s="167"/>
    </row>
    <row r="394" spans="1:8" ht="21.75" customHeight="1">
      <c r="A394" s="146"/>
      <c r="B394" s="162"/>
      <c r="C394" s="165"/>
      <c r="D394" s="163"/>
      <c r="E394" s="164"/>
      <c r="F394" s="165"/>
      <c r="G394" s="166">
        <f t="shared" si="3"/>
        <v>0</v>
      </c>
      <c r="H394" s="167"/>
    </row>
    <row r="395" spans="1:8" ht="21.75" customHeight="1">
      <c r="A395" s="139"/>
      <c r="B395" s="170"/>
      <c r="C395" s="171"/>
      <c r="D395" s="172"/>
      <c r="E395" s="164"/>
      <c r="F395" s="171"/>
      <c r="G395" s="166">
        <f t="shared" si="3"/>
        <v>0</v>
      </c>
      <c r="H395" s="167"/>
    </row>
    <row r="396" spans="1:8" ht="22.5" customHeight="1">
      <c r="A396" s="146"/>
      <c r="B396" s="162"/>
      <c r="C396" s="165"/>
      <c r="D396" s="163"/>
      <c r="E396" s="164"/>
      <c r="F396" s="165"/>
      <c r="G396" s="166">
        <f t="shared" si="3"/>
        <v>0</v>
      </c>
      <c r="H396" s="167"/>
    </row>
    <row r="397" spans="1:8" ht="23.25" customHeight="1">
      <c r="A397" s="139"/>
      <c r="B397" s="170"/>
      <c r="C397" s="171"/>
      <c r="D397" s="172"/>
      <c r="E397" s="164"/>
      <c r="F397" s="171"/>
      <c r="G397" s="166">
        <f t="shared" si="3"/>
        <v>0</v>
      </c>
      <c r="H397" s="167"/>
    </row>
    <row r="398" spans="1:8" ht="20.25" customHeight="1">
      <c r="A398" s="146"/>
      <c r="B398" s="162"/>
      <c r="C398" s="165"/>
      <c r="D398" s="163"/>
      <c r="E398" s="164"/>
      <c r="F398" s="165"/>
      <c r="G398" s="166">
        <f t="shared" si="3"/>
        <v>0</v>
      </c>
      <c r="H398" s="167"/>
    </row>
    <row r="399" spans="1:8" ht="20.25" customHeight="1">
      <c r="A399" s="139"/>
      <c r="B399" s="170"/>
      <c r="C399" s="171"/>
      <c r="D399" s="172"/>
      <c r="E399" s="164"/>
      <c r="F399" s="171"/>
      <c r="G399" s="166">
        <f t="shared" si="3"/>
        <v>0</v>
      </c>
      <c r="H399" s="167"/>
    </row>
    <row r="400" spans="1:8" ht="20.25" customHeight="1">
      <c r="A400" s="146"/>
      <c r="B400" s="162"/>
      <c r="C400" s="165"/>
      <c r="D400" s="163"/>
      <c r="E400" s="164"/>
      <c r="F400" s="165"/>
      <c r="G400" s="166">
        <f t="shared" si="3"/>
        <v>0</v>
      </c>
      <c r="H400" s="167"/>
    </row>
    <row r="401" spans="1:8" ht="19.5" customHeight="1">
      <c r="A401" s="139"/>
      <c r="B401" s="170"/>
      <c r="C401" s="171"/>
      <c r="D401" s="172"/>
      <c r="E401" s="164"/>
      <c r="F401" s="171"/>
      <c r="G401" s="166">
        <f t="shared" si="3"/>
        <v>0</v>
      </c>
      <c r="H401" s="167"/>
    </row>
    <row r="402" spans="1:8" ht="22.5" customHeight="1">
      <c r="A402" s="146"/>
      <c r="B402" s="162"/>
      <c r="C402" s="165"/>
      <c r="D402" s="163"/>
      <c r="E402" s="164"/>
      <c r="F402" s="165"/>
      <c r="G402" s="166">
        <f t="shared" si="3"/>
        <v>0</v>
      </c>
      <c r="H402" s="167"/>
    </row>
    <row r="403" spans="1:8" ht="20.25" customHeight="1">
      <c r="A403" s="139"/>
      <c r="B403" s="170"/>
      <c r="C403" s="171"/>
      <c r="D403" s="172"/>
      <c r="E403" s="164"/>
      <c r="F403" s="171"/>
      <c r="G403" s="166">
        <f t="shared" si="3"/>
        <v>0</v>
      </c>
      <c r="H403" s="167"/>
    </row>
    <row r="404" spans="1:8" ht="23.25" customHeight="1">
      <c r="A404" s="146"/>
      <c r="B404" s="162"/>
      <c r="C404" s="165"/>
      <c r="D404" s="163"/>
      <c r="E404" s="164"/>
      <c r="F404" s="165"/>
      <c r="G404" s="166">
        <f t="shared" si="3"/>
        <v>0</v>
      </c>
      <c r="H404" s="167"/>
    </row>
    <row r="405" spans="1:8" ht="22.5" customHeight="1">
      <c r="A405" s="139"/>
      <c r="B405" s="170"/>
      <c r="C405" s="171"/>
      <c r="D405" s="172"/>
      <c r="E405" s="164"/>
      <c r="F405" s="171"/>
      <c r="G405" s="166">
        <f t="shared" si="3"/>
        <v>0</v>
      </c>
      <c r="H405" s="167"/>
    </row>
    <row r="406" spans="1:8" ht="21" customHeight="1">
      <c r="A406" s="146"/>
      <c r="B406" s="162"/>
      <c r="C406" s="165"/>
      <c r="D406" s="163"/>
      <c r="E406" s="164"/>
      <c r="F406" s="165"/>
      <c r="G406" s="166">
        <f t="shared" si="3"/>
        <v>0</v>
      </c>
      <c r="H406" s="167"/>
    </row>
    <row r="407" spans="1:8" ht="20.25" customHeight="1">
      <c r="A407" s="139"/>
      <c r="B407" s="170"/>
      <c r="C407" s="171"/>
      <c r="D407" s="172"/>
      <c r="E407" s="164"/>
      <c r="F407" s="171"/>
      <c r="G407" s="166">
        <f t="shared" si="3"/>
        <v>0</v>
      </c>
      <c r="H407" s="167"/>
    </row>
    <row r="408" spans="1:8" ht="24.75" customHeight="1">
      <c r="A408" s="146"/>
      <c r="B408" s="162"/>
      <c r="C408" s="165"/>
      <c r="D408" s="163"/>
      <c r="E408" s="164"/>
      <c r="F408" s="165"/>
      <c r="G408" s="166">
        <f t="shared" si="3"/>
        <v>0</v>
      </c>
      <c r="H408" s="167"/>
    </row>
    <row r="409" spans="1:8" ht="22.5" customHeight="1">
      <c r="A409" s="139"/>
      <c r="B409" s="170"/>
      <c r="C409" s="171"/>
      <c r="D409" s="172"/>
      <c r="E409" s="164"/>
      <c r="F409" s="171"/>
      <c r="G409" s="166">
        <f t="shared" si="3"/>
        <v>0</v>
      </c>
      <c r="H409" s="167"/>
    </row>
    <row r="410" spans="1:8" ht="19.5" customHeight="1">
      <c r="A410" s="146"/>
      <c r="B410" s="162"/>
      <c r="C410" s="165"/>
      <c r="D410" s="163"/>
      <c r="E410" s="164"/>
      <c r="F410" s="165"/>
      <c r="G410" s="166">
        <f t="shared" si="3"/>
        <v>0</v>
      </c>
      <c r="H410" s="167"/>
    </row>
    <row r="411" spans="1:8" ht="22.5" customHeight="1">
      <c r="A411" s="139"/>
      <c r="B411" s="170"/>
      <c r="C411" s="171"/>
      <c r="D411" s="172"/>
      <c r="E411" s="164"/>
      <c r="F411" s="171"/>
      <c r="G411" s="166">
        <f t="shared" si="3"/>
        <v>0</v>
      </c>
      <c r="H411" s="167"/>
    </row>
    <row r="412" spans="1:8" ht="21" customHeight="1">
      <c r="A412" s="146"/>
      <c r="B412" s="162"/>
      <c r="C412" s="165"/>
      <c r="D412" s="163"/>
      <c r="E412" s="164"/>
      <c r="F412" s="165"/>
      <c r="G412" s="166">
        <f t="shared" si="3"/>
        <v>0</v>
      </c>
      <c r="H412" s="167"/>
    </row>
    <row r="413" spans="1:8" ht="22.5" customHeight="1">
      <c r="A413" s="139"/>
      <c r="B413" s="170"/>
      <c r="C413" s="171"/>
      <c r="D413" s="172"/>
      <c r="E413" s="164"/>
      <c r="F413" s="171"/>
      <c r="G413" s="166">
        <f t="shared" si="3"/>
        <v>0</v>
      </c>
      <c r="H413" s="167"/>
    </row>
    <row r="414" spans="1:8" ht="22.5" customHeight="1">
      <c r="A414" s="146"/>
      <c r="B414" s="162"/>
      <c r="C414" s="165"/>
      <c r="D414" s="163"/>
      <c r="E414" s="164"/>
      <c r="F414" s="165"/>
      <c r="G414" s="166">
        <f t="shared" si="3"/>
        <v>0</v>
      </c>
      <c r="H414" s="167"/>
    </row>
    <row r="415" spans="1:8" ht="22.5" customHeight="1">
      <c r="A415" s="139"/>
      <c r="B415" s="170"/>
      <c r="C415" s="171"/>
      <c r="D415" s="172"/>
      <c r="E415" s="164"/>
      <c r="F415" s="171"/>
      <c r="G415" s="166">
        <f t="shared" si="3"/>
        <v>0</v>
      </c>
      <c r="H415" s="167"/>
    </row>
    <row r="416" spans="1:8" ht="22.5" customHeight="1">
      <c r="A416" s="146"/>
      <c r="B416" s="162"/>
      <c r="C416" s="165"/>
      <c r="D416" s="163"/>
      <c r="E416" s="164"/>
      <c r="F416" s="165"/>
      <c r="G416" s="166">
        <f t="shared" si="3"/>
        <v>0</v>
      </c>
      <c r="H416" s="167"/>
    </row>
    <row r="417" spans="1:8" ht="21" customHeight="1">
      <c r="A417" s="139"/>
      <c r="B417" s="170"/>
      <c r="C417" s="171"/>
      <c r="D417" s="172"/>
      <c r="E417" s="164"/>
      <c r="F417" s="171"/>
      <c r="G417" s="166">
        <f t="shared" si="3"/>
        <v>0</v>
      </c>
      <c r="H417" s="167"/>
    </row>
    <row r="418" spans="1:8" ht="22.5" customHeight="1">
      <c r="A418" s="146"/>
      <c r="B418" s="162"/>
      <c r="C418" s="165"/>
      <c r="D418" s="163"/>
      <c r="E418" s="164"/>
      <c r="F418" s="165"/>
      <c r="G418" s="166">
        <f t="shared" si="3"/>
        <v>0</v>
      </c>
      <c r="H418" s="167"/>
    </row>
    <row r="419" spans="1:8" ht="22.5" customHeight="1">
      <c r="A419" s="139"/>
      <c r="B419" s="170"/>
      <c r="C419" s="171"/>
      <c r="D419" s="172"/>
      <c r="E419" s="164"/>
      <c r="F419" s="171"/>
      <c r="G419" s="166">
        <f t="shared" si="3"/>
        <v>0</v>
      </c>
      <c r="H419" s="167"/>
    </row>
    <row r="420" spans="1:8" ht="22.5" customHeight="1">
      <c r="A420" s="146"/>
      <c r="B420" s="162"/>
      <c r="C420" s="165"/>
      <c r="D420" s="163"/>
      <c r="E420" s="164"/>
      <c r="F420" s="165"/>
      <c r="G420" s="166">
        <f t="shared" si="3"/>
        <v>0</v>
      </c>
      <c r="H420" s="167"/>
    </row>
    <row r="421" spans="1:8" ht="18.75" customHeight="1">
      <c r="A421" s="139"/>
      <c r="B421" s="170"/>
      <c r="C421" s="171"/>
      <c r="D421" s="172"/>
      <c r="E421" s="164"/>
      <c r="F421" s="171"/>
      <c r="G421" s="166">
        <f t="shared" si="3"/>
        <v>0</v>
      </c>
      <c r="H421" s="167"/>
    </row>
    <row r="422" spans="1:8" ht="22.5" customHeight="1">
      <c r="A422" s="146"/>
      <c r="B422" s="162"/>
      <c r="C422" s="165"/>
      <c r="D422" s="163"/>
      <c r="E422" s="164"/>
      <c r="F422" s="165"/>
      <c r="G422" s="166">
        <f t="shared" si="3"/>
        <v>0</v>
      </c>
      <c r="H422" s="167"/>
    </row>
    <row r="423" spans="1:8" ht="22.5" customHeight="1">
      <c r="A423" s="139"/>
      <c r="B423" s="170"/>
      <c r="C423" s="171"/>
      <c r="D423" s="172"/>
      <c r="E423" s="164"/>
      <c r="F423" s="171"/>
      <c r="G423" s="166">
        <f t="shared" si="3"/>
        <v>0</v>
      </c>
      <c r="H423" s="167"/>
    </row>
    <row r="424" spans="1:8" ht="22.5" customHeight="1">
      <c r="A424" s="146"/>
      <c r="B424" s="162"/>
      <c r="C424" s="165"/>
      <c r="D424" s="163"/>
      <c r="E424" s="164"/>
      <c r="F424" s="165"/>
      <c r="G424" s="166">
        <f t="shared" si="3"/>
        <v>0</v>
      </c>
      <c r="H424" s="167"/>
    </row>
    <row r="425" spans="1:8" ht="21" customHeight="1">
      <c r="A425" s="139"/>
      <c r="B425" s="170"/>
      <c r="C425" s="171"/>
      <c r="D425" s="172"/>
      <c r="E425" s="164"/>
      <c r="F425" s="171"/>
      <c r="G425" s="166">
        <f t="shared" si="3"/>
        <v>0</v>
      </c>
      <c r="H425" s="167"/>
    </row>
    <row r="426" spans="1:8" ht="19.5" customHeight="1">
      <c r="A426" s="146"/>
      <c r="B426" s="162"/>
      <c r="C426" s="165"/>
      <c r="D426" s="163"/>
      <c r="E426" s="164"/>
      <c r="F426" s="165"/>
      <c r="G426" s="166">
        <f t="shared" si="3"/>
        <v>0</v>
      </c>
      <c r="H426" s="167"/>
    </row>
    <row r="427" spans="1:8" ht="22.5" customHeight="1">
      <c r="A427" s="139"/>
      <c r="B427" s="170"/>
      <c r="C427" s="171"/>
      <c r="D427" s="172"/>
      <c r="E427" s="164"/>
      <c r="F427" s="171"/>
      <c r="G427" s="166">
        <f t="shared" si="3"/>
        <v>0</v>
      </c>
      <c r="H427" s="167"/>
    </row>
    <row r="428" spans="1:8" ht="20.25" customHeight="1">
      <c r="A428" s="146"/>
      <c r="B428" s="162"/>
      <c r="C428" s="165"/>
      <c r="D428" s="163"/>
      <c r="E428" s="164"/>
      <c r="F428" s="165"/>
      <c r="G428" s="166">
        <f t="shared" si="3"/>
        <v>0</v>
      </c>
      <c r="H428" s="167"/>
    </row>
    <row r="429" spans="1:8" ht="20.25" customHeight="1">
      <c r="A429" s="139"/>
      <c r="B429" s="170"/>
      <c r="C429" s="171"/>
      <c r="D429" s="172"/>
      <c r="E429" s="164"/>
      <c r="F429" s="171"/>
      <c r="G429" s="166">
        <f t="shared" si="3"/>
        <v>0</v>
      </c>
      <c r="H429" s="167"/>
    </row>
    <row r="430" spans="1:8" ht="19.5" customHeight="1">
      <c r="A430" s="146"/>
      <c r="B430" s="162"/>
      <c r="C430" s="165"/>
      <c r="D430" s="173"/>
      <c r="E430" s="174"/>
      <c r="F430" s="175"/>
      <c r="G430" s="166">
        <f t="shared" si="3"/>
        <v>0</v>
      </c>
      <c r="H430" s="167"/>
    </row>
    <row r="431" spans="1:8" ht="19.5" customHeight="1">
      <c r="A431" s="139"/>
      <c r="B431" s="170"/>
      <c r="C431" s="171"/>
      <c r="D431" s="172"/>
      <c r="E431" s="164"/>
      <c r="F431" s="171"/>
      <c r="G431" s="166">
        <f t="shared" si="3"/>
        <v>0</v>
      </c>
      <c r="H431" s="167"/>
    </row>
    <row r="432" spans="1:8" ht="20.25" customHeight="1">
      <c r="A432" s="146"/>
      <c r="B432" s="162"/>
      <c r="C432" s="165"/>
      <c r="D432" s="163"/>
      <c r="E432" s="164"/>
      <c r="F432" s="165"/>
      <c r="G432" s="166">
        <f t="shared" si="3"/>
        <v>0</v>
      </c>
      <c r="H432" s="167"/>
    </row>
    <row r="433" spans="1:8" ht="21.75" customHeight="1">
      <c r="A433" s="139"/>
      <c r="B433" s="170"/>
      <c r="C433" s="171"/>
      <c r="D433" s="172"/>
      <c r="E433" s="164"/>
      <c r="F433" s="171"/>
      <c r="G433" s="166">
        <f t="shared" si="3"/>
        <v>0</v>
      </c>
      <c r="H433" s="167"/>
    </row>
    <row r="434" spans="1:8" ht="26.25" customHeight="1">
      <c r="A434" s="146"/>
      <c r="B434" s="162"/>
      <c r="C434" s="165"/>
      <c r="D434" s="163"/>
      <c r="E434" s="164"/>
      <c r="F434" s="165"/>
      <c r="G434" s="166">
        <f t="shared" si="3"/>
        <v>0</v>
      </c>
      <c r="H434" s="167"/>
    </row>
    <row r="435" spans="1:8" ht="22.5" customHeight="1">
      <c r="A435" s="139"/>
      <c r="B435" s="170"/>
      <c r="C435" s="171"/>
      <c r="D435" s="172"/>
      <c r="E435" s="164"/>
      <c r="F435" s="171"/>
      <c r="G435" s="166">
        <f t="shared" si="3"/>
        <v>0</v>
      </c>
      <c r="H435" s="167"/>
    </row>
    <row r="436" spans="1:8" ht="20.25" customHeight="1">
      <c r="A436" s="146"/>
      <c r="B436" s="162"/>
      <c r="C436" s="165"/>
      <c r="D436" s="163"/>
      <c r="E436" s="164"/>
      <c r="F436" s="165"/>
      <c r="G436" s="166">
        <f t="shared" si="3"/>
        <v>0</v>
      </c>
      <c r="H436" s="167"/>
    </row>
    <row r="437" spans="1:8" ht="18" customHeight="1">
      <c r="A437" s="139"/>
      <c r="B437" s="170"/>
      <c r="C437" s="171"/>
      <c r="D437" s="172"/>
      <c r="E437" s="164"/>
      <c r="F437" s="171"/>
      <c r="G437" s="166">
        <f t="shared" si="3"/>
        <v>0</v>
      </c>
      <c r="H437" s="167"/>
    </row>
    <row r="438" spans="1:8" ht="22.5" customHeight="1">
      <c r="A438" s="146"/>
      <c r="B438" s="162"/>
      <c r="C438" s="165"/>
      <c r="D438" s="163"/>
      <c r="E438" s="164"/>
      <c r="F438" s="165"/>
      <c r="G438" s="166">
        <f t="shared" si="3"/>
        <v>0</v>
      </c>
      <c r="H438" s="167"/>
    </row>
    <row r="439" spans="1:8" ht="22.5" customHeight="1">
      <c r="A439" s="139"/>
      <c r="B439" s="170"/>
      <c r="C439" s="171"/>
      <c r="D439" s="172"/>
      <c r="E439" s="164"/>
      <c r="F439" s="171"/>
      <c r="G439" s="166">
        <f t="shared" si="3"/>
        <v>0</v>
      </c>
      <c r="H439" s="167"/>
    </row>
    <row r="440" spans="1:8" ht="20.25" customHeight="1">
      <c r="A440" s="146"/>
      <c r="B440" s="162"/>
      <c r="C440" s="165"/>
      <c r="D440" s="163"/>
      <c r="E440" s="164"/>
      <c r="F440" s="165"/>
      <c r="G440" s="166">
        <f t="shared" si="3"/>
        <v>0</v>
      </c>
      <c r="H440" s="167"/>
    </row>
    <row r="441" spans="1:8" ht="22.5" customHeight="1">
      <c r="A441" s="139"/>
      <c r="B441" s="170"/>
      <c r="C441" s="171"/>
      <c r="D441" s="172"/>
      <c r="E441" s="164"/>
      <c r="F441" s="171"/>
      <c r="G441" s="166">
        <f t="shared" si="3"/>
        <v>0</v>
      </c>
      <c r="H441" s="167"/>
    </row>
    <row r="442" spans="1:8" ht="22.5" customHeight="1">
      <c r="A442" s="146"/>
      <c r="B442" s="162"/>
      <c r="C442" s="165"/>
      <c r="D442" s="163"/>
      <c r="E442" s="164"/>
      <c r="F442" s="165"/>
      <c r="G442" s="166">
        <f t="shared" si="3"/>
        <v>0</v>
      </c>
      <c r="H442" s="167"/>
    </row>
    <row r="443" spans="1:8" ht="22.5" customHeight="1">
      <c r="A443" s="139"/>
      <c r="B443" s="170"/>
      <c r="C443" s="171"/>
      <c r="D443" s="172"/>
      <c r="E443" s="164"/>
      <c r="F443" s="171"/>
      <c r="G443" s="166">
        <f t="shared" si="3"/>
        <v>0</v>
      </c>
      <c r="H443" s="167"/>
    </row>
    <row r="444" spans="1:8" ht="22.5" customHeight="1">
      <c r="A444" s="146"/>
      <c r="B444" s="162"/>
      <c r="C444" s="165"/>
      <c r="D444" s="163"/>
      <c r="E444" s="164"/>
      <c r="F444" s="165"/>
      <c r="G444" s="166">
        <f t="shared" si="3"/>
        <v>0</v>
      </c>
      <c r="H444" s="167"/>
    </row>
    <row r="445" spans="1:8" ht="22.5" customHeight="1">
      <c r="A445" s="139"/>
      <c r="B445" s="179"/>
      <c r="C445" s="171"/>
      <c r="D445" s="172"/>
      <c r="E445" s="164"/>
      <c r="F445" s="171"/>
      <c r="G445" s="166">
        <f t="shared" si="3"/>
        <v>0</v>
      </c>
      <c r="H445" s="167"/>
    </row>
    <row r="446" spans="1:8" ht="20.25" customHeight="1">
      <c r="A446" s="146"/>
      <c r="B446" s="162"/>
      <c r="C446" s="165"/>
      <c r="D446" s="163"/>
      <c r="E446" s="164"/>
      <c r="F446" s="165"/>
      <c r="G446" s="166">
        <f t="shared" si="3"/>
        <v>0</v>
      </c>
      <c r="H446" s="167"/>
    </row>
    <row r="447" spans="1:8" ht="19.5" customHeight="1">
      <c r="A447" s="139"/>
      <c r="B447" s="170"/>
      <c r="C447" s="171"/>
      <c r="D447" s="172"/>
      <c r="E447" s="164"/>
      <c r="F447" s="171"/>
      <c r="G447" s="166">
        <f t="shared" si="3"/>
        <v>0</v>
      </c>
      <c r="H447" s="167"/>
    </row>
    <row r="448" spans="1:8" ht="18" customHeight="1">
      <c r="A448" s="146"/>
      <c r="B448" s="162"/>
      <c r="C448" s="165"/>
      <c r="D448" s="163"/>
      <c r="E448" s="164"/>
      <c r="F448" s="165"/>
      <c r="G448" s="166">
        <f t="shared" si="3"/>
        <v>0</v>
      </c>
      <c r="H448" s="167"/>
    </row>
    <row r="449" spans="1:8" ht="20.25" customHeight="1">
      <c r="A449" s="139"/>
      <c r="B449" s="170"/>
      <c r="C449" s="171"/>
      <c r="D449" s="172"/>
      <c r="E449" s="164"/>
      <c r="F449" s="171"/>
      <c r="G449" s="166">
        <f t="shared" si="3"/>
        <v>0</v>
      </c>
      <c r="H449" s="167"/>
    </row>
    <row r="450" spans="1:8" ht="19.5" customHeight="1">
      <c r="A450" s="146"/>
      <c r="B450" s="162"/>
      <c r="C450" s="165"/>
      <c r="D450" s="163"/>
      <c r="E450" s="164"/>
      <c r="F450" s="165"/>
      <c r="G450" s="166">
        <f t="shared" si="3"/>
        <v>0</v>
      </c>
      <c r="H450" s="167"/>
    </row>
    <row r="451" spans="1:8" ht="21" customHeight="1">
      <c r="A451" s="139"/>
      <c r="B451" s="170"/>
      <c r="C451" s="171"/>
      <c r="D451" s="172"/>
      <c r="E451" s="164"/>
      <c r="F451" s="171"/>
      <c r="G451" s="166">
        <f t="shared" si="3"/>
        <v>0</v>
      </c>
      <c r="H451" s="167"/>
    </row>
    <row r="452" spans="1:8" ht="18.75" customHeight="1">
      <c r="A452" s="146"/>
      <c r="B452" s="162"/>
      <c r="C452" s="165"/>
      <c r="D452" s="163"/>
      <c r="E452" s="164"/>
      <c r="F452" s="165"/>
      <c r="G452" s="166">
        <f t="shared" si="3"/>
        <v>0</v>
      </c>
      <c r="H452" s="167"/>
    </row>
    <row r="453" spans="1:8" ht="22.5" customHeight="1">
      <c r="A453" s="139"/>
      <c r="B453" s="170"/>
      <c r="C453" s="171"/>
      <c r="D453" s="172"/>
      <c r="E453" s="164"/>
      <c r="F453" s="171"/>
      <c r="G453" s="166">
        <f t="shared" si="3"/>
        <v>0</v>
      </c>
      <c r="H453" s="167"/>
    </row>
    <row r="454" spans="1:8" ht="21.75" customHeight="1">
      <c r="A454" s="146"/>
      <c r="B454" s="162"/>
      <c r="C454" s="165"/>
      <c r="D454" s="173"/>
      <c r="E454" s="174"/>
      <c r="F454" s="175"/>
      <c r="G454" s="166">
        <f t="shared" si="3"/>
        <v>0</v>
      </c>
      <c r="H454" s="167"/>
    </row>
    <row r="455" spans="1:8" ht="21" customHeight="1">
      <c r="A455" s="139"/>
      <c r="B455" s="170"/>
      <c r="C455" s="171"/>
      <c r="D455" s="177"/>
      <c r="E455" s="174"/>
      <c r="F455" s="178"/>
      <c r="G455" s="166">
        <f t="shared" si="3"/>
        <v>0</v>
      </c>
      <c r="H455" s="167"/>
    </row>
    <row r="456" spans="1:8" ht="22.5" customHeight="1">
      <c r="A456" s="146"/>
      <c r="B456" s="162"/>
      <c r="C456" s="165"/>
      <c r="D456" s="163"/>
      <c r="E456" s="164"/>
      <c r="F456" s="165"/>
      <c r="G456" s="166">
        <f t="shared" si="3"/>
        <v>0</v>
      </c>
      <c r="H456" s="167"/>
    </row>
    <row r="457" spans="1:8" ht="24" customHeight="1">
      <c r="A457" s="139"/>
      <c r="B457" s="170"/>
      <c r="C457" s="171"/>
      <c r="D457" s="172"/>
      <c r="E457" s="164"/>
      <c r="F457" s="171"/>
      <c r="G457" s="166">
        <f t="shared" si="3"/>
        <v>0</v>
      </c>
      <c r="H457" s="167"/>
    </row>
    <row r="458" spans="1:8" ht="23.25" customHeight="1">
      <c r="A458" s="146"/>
      <c r="B458" s="162"/>
      <c r="C458" s="165"/>
      <c r="D458" s="163"/>
      <c r="E458" s="164"/>
      <c r="F458" s="165"/>
      <c r="G458" s="166">
        <f t="shared" si="3"/>
        <v>0</v>
      </c>
      <c r="H458" s="167"/>
    </row>
    <row r="459" spans="1:8" ht="20.25" customHeight="1">
      <c r="A459" s="139"/>
      <c r="B459" s="170"/>
      <c r="C459" s="171"/>
      <c r="D459" s="172"/>
      <c r="E459" s="164"/>
      <c r="F459" s="171"/>
      <c r="G459" s="166">
        <f t="shared" si="3"/>
        <v>0</v>
      </c>
      <c r="H459" s="167"/>
    </row>
    <row r="460" spans="1:8" ht="20.25" customHeight="1">
      <c r="A460" s="146"/>
      <c r="B460" s="162"/>
      <c r="C460" s="165"/>
      <c r="D460" s="163"/>
      <c r="E460" s="164"/>
      <c r="F460" s="165"/>
      <c r="G460" s="166">
        <f t="shared" si="3"/>
        <v>0</v>
      </c>
      <c r="H460" s="167"/>
    </row>
    <row r="461" spans="1:8" ht="20.25" customHeight="1">
      <c r="A461" s="139"/>
      <c r="B461" s="170"/>
      <c r="C461" s="171"/>
      <c r="D461" s="172"/>
      <c r="E461" s="164"/>
      <c r="F461" s="171"/>
      <c r="G461" s="166">
        <f t="shared" si="3"/>
        <v>0</v>
      </c>
      <c r="H461" s="167"/>
    </row>
    <row r="462" spans="1:8" ht="19.5" customHeight="1">
      <c r="A462" s="146"/>
      <c r="B462" s="162"/>
      <c r="C462" s="165"/>
      <c r="D462" s="163"/>
      <c r="E462" s="164"/>
      <c r="F462" s="165"/>
      <c r="G462" s="166">
        <f t="shared" si="3"/>
        <v>0</v>
      </c>
      <c r="H462" s="167"/>
    </row>
    <row r="463" spans="1:8" ht="20.25" customHeight="1">
      <c r="A463" s="139"/>
      <c r="B463" s="170"/>
      <c r="C463" s="171"/>
      <c r="D463" s="172"/>
      <c r="E463" s="164"/>
      <c r="F463" s="171"/>
      <c r="G463" s="166">
        <f t="shared" si="3"/>
        <v>0</v>
      </c>
      <c r="H463" s="167"/>
    </row>
    <row r="464" spans="1:8" ht="23.25" customHeight="1">
      <c r="A464" s="146"/>
      <c r="B464" s="162"/>
      <c r="C464" s="165"/>
      <c r="D464" s="163"/>
      <c r="E464" s="164"/>
      <c r="F464" s="165"/>
      <c r="G464" s="166">
        <f t="shared" si="3"/>
        <v>0</v>
      </c>
      <c r="H464" s="167"/>
    </row>
    <row r="465" spans="1:8" ht="22.5" customHeight="1">
      <c r="A465" s="139"/>
      <c r="B465" s="170"/>
      <c r="C465" s="171"/>
      <c r="D465" s="172"/>
      <c r="E465" s="164"/>
      <c r="F465" s="171"/>
      <c r="G465" s="166">
        <f t="shared" si="3"/>
        <v>0</v>
      </c>
      <c r="H465" s="167"/>
    </row>
    <row r="466" spans="1:8" ht="22.5" customHeight="1">
      <c r="A466" s="146"/>
      <c r="B466" s="162"/>
      <c r="C466" s="165"/>
      <c r="D466" s="163"/>
      <c r="E466" s="164"/>
      <c r="F466" s="165"/>
      <c r="G466" s="166">
        <f t="shared" si="3"/>
        <v>0</v>
      </c>
      <c r="H466" s="167"/>
    </row>
    <row r="467" spans="1:8" ht="21" customHeight="1">
      <c r="A467" s="139"/>
      <c r="B467" s="170"/>
      <c r="C467" s="171"/>
      <c r="D467" s="172"/>
      <c r="E467" s="164"/>
      <c r="F467" s="171"/>
      <c r="G467" s="166">
        <f t="shared" si="3"/>
        <v>0</v>
      </c>
      <c r="H467" s="167"/>
    </row>
    <row r="468" spans="1:8" ht="21.75" customHeight="1">
      <c r="A468" s="146"/>
      <c r="B468" s="162"/>
      <c r="C468" s="165"/>
      <c r="D468" s="163"/>
      <c r="E468" s="164"/>
      <c r="F468" s="165"/>
      <c r="G468" s="166">
        <f t="shared" si="3"/>
        <v>0</v>
      </c>
      <c r="H468" s="167"/>
    </row>
    <row r="469" spans="1:8" ht="19.5" customHeight="1">
      <c r="A469" s="139"/>
      <c r="B469" s="170"/>
      <c r="C469" s="171"/>
      <c r="D469" s="172"/>
      <c r="E469" s="164"/>
      <c r="F469" s="171"/>
      <c r="G469" s="166">
        <f t="shared" si="3"/>
        <v>0</v>
      </c>
      <c r="H469" s="167"/>
    </row>
    <row r="470" spans="1:8" ht="22.5" customHeight="1">
      <c r="A470" s="146"/>
      <c r="B470" s="162"/>
      <c r="C470" s="165"/>
      <c r="D470" s="163"/>
      <c r="E470" s="164"/>
      <c r="F470" s="165"/>
      <c r="G470" s="166">
        <f t="shared" si="3"/>
        <v>0</v>
      </c>
      <c r="H470" s="167"/>
    </row>
    <row r="471" spans="1:8" ht="18" customHeight="1">
      <c r="A471" s="139"/>
      <c r="B471" s="170"/>
      <c r="C471" s="171"/>
      <c r="D471" s="172"/>
      <c r="E471" s="164"/>
      <c r="F471" s="171"/>
      <c r="G471" s="166">
        <f t="shared" si="3"/>
        <v>0</v>
      </c>
      <c r="H471" s="167"/>
    </row>
    <row r="472" spans="1:8" ht="20.25" customHeight="1">
      <c r="A472" s="146"/>
      <c r="B472" s="162"/>
      <c r="C472" s="165"/>
      <c r="D472" s="163"/>
      <c r="E472" s="164"/>
      <c r="F472" s="165"/>
      <c r="G472" s="166">
        <f t="shared" si="3"/>
        <v>0</v>
      </c>
      <c r="H472" s="167"/>
    </row>
    <row r="473" spans="1:8" ht="21" customHeight="1">
      <c r="A473" s="139"/>
      <c r="B473" s="170"/>
      <c r="C473" s="171"/>
      <c r="D473" s="172"/>
      <c r="E473" s="164"/>
      <c r="F473" s="171"/>
      <c r="G473" s="166">
        <f t="shared" si="3"/>
        <v>0</v>
      </c>
      <c r="H473" s="167"/>
    </row>
    <row r="474" spans="1:8" ht="19.5" customHeight="1">
      <c r="A474" s="146"/>
      <c r="B474" s="162"/>
      <c r="C474" s="165"/>
      <c r="D474" s="163"/>
      <c r="E474" s="164"/>
      <c r="F474" s="165"/>
      <c r="G474" s="166">
        <f t="shared" si="3"/>
        <v>0</v>
      </c>
      <c r="H474" s="167"/>
    </row>
    <row r="475" spans="1:8" ht="22.5" customHeight="1">
      <c r="A475" s="139"/>
      <c r="B475" s="170"/>
      <c r="C475" s="171"/>
      <c r="D475" s="172"/>
      <c r="E475" s="164"/>
      <c r="F475" s="171"/>
      <c r="G475" s="166">
        <f t="shared" si="3"/>
        <v>0</v>
      </c>
      <c r="H475" s="167"/>
    </row>
    <row r="476" spans="1:8" ht="22.5" customHeight="1">
      <c r="A476" s="146"/>
      <c r="B476" s="162"/>
      <c r="C476" s="165"/>
      <c r="D476" s="163"/>
      <c r="E476" s="164"/>
      <c r="F476" s="165"/>
      <c r="G476" s="166">
        <f t="shared" si="3"/>
        <v>0</v>
      </c>
      <c r="H476" s="167"/>
    </row>
    <row r="477" spans="1:8" ht="21.75" customHeight="1">
      <c r="A477" s="139"/>
      <c r="B477" s="170"/>
      <c r="C477" s="171"/>
      <c r="D477" s="172"/>
      <c r="E477" s="164"/>
      <c r="F477" s="171"/>
      <c r="G477" s="166">
        <f t="shared" si="3"/>
        <v>0</v>
      </c>
      <c r="H477" s="167"/>
    </row>
    <row r="478" spans="1:8" ht="23.25" customHeight="1">
      <c r="A478" s="146"/>
      <c r="B478" s="162"/>
      <c r="C478" s="165"/>
      <c r="D478" s="163"/>
      <c r="E478" s="164"/>
      <c r="F478" s="165"/>
      <c r="G478" s="166">
        <f t="shared" si="3"/>
        <v>0</v>
      </c>
      <c r="H478" s="167"/>
    </row>
    <row r="479" spans="1:8" ht="21.75" customHeight="1">
      <c r="A479" s="139"/>
      <c r="B479" s="170"/>
      <c r="C479" s="171"/>
      <c r="D479" s="172"/>
      <c r="E479" s="164"/>
      <c r="F479" s="171"/>
      <c r="G479" s="166">
        <f t="shared" si="3"/>
        <v>0</v>
      </c>
      <c r="H479" s="167"/>
    </row>
    <row r="480" spans="1:8" ht="18.75" customHeight="1">
      <c r="A480" s="146"/>
      <c r="B480" s="162"/>
      <c r="C480" s="165"/>
      <c r="D480" s="163"/>
      <c r="E480" s="164"/>
      <c r="F480" s="165"/>
      <c r="G480" s="166">
        <f t="shared" si="3"/>
        <v>0</v>
      </c>
      <c r="H480" s="167"/>
    </row>
    <row r="481" spans="1:8" ht="23.25" customHeight="1">
      <c r="A481" s="139"/>
      <c r="B481" s="170"/>
      <c r="C481" s="171"/>
      <c r="D481" s="172"/>
      <c r="E481" s="164"/>
      <c r="F481" s="171"/>
      <c r="G481" s="166">
        <f t="shared" si="3"/>
        <v>0</v>
      </c>
      <c r="H481" s="167"/>
    </row>
    <row r="482" spans="1:8" ht="19.5" customHeight="1">
      <c r="A482" s="146"/>
      <c r="B482" s="162"/>
      <c r="C482" s="165"/>
      <c r="D482" s="163"/>
      <c r="E482" s="164"/>
      <c r="F482" s="165"/>
      <c r="G482" s="166">
        <f t="shared" si="3"/>
        <v>0</v>
      </c>
      <c r="H482" s="167"/>
    </row>
    <row r="483" spans="1:8" ht="23.25" customHeight="1">
      <c r="A483" s="139"/>
      <c r="B483" s="170"/>
      <c r="C483" s="171"/>
      <c r="D483" s="177"/>
      <c r="E483" s="174"/>
      <c r="F483" s="178"/>
      <c r="G483" s="166">
        <f t="shared" si="3"/>
        <v>0</v>
      </c>
      <c r="H483" s="167"/>
    </row>
    <row r="484" spans="1:8" ht="23.25" customHeight="1">
      <c r="A484" s="146"/>
      <c r="B484" s="162"/>
      <c r="C484" s="165"/>
      <c r="D484" s="163"/>
      <c r="E484" s="164"/>
      <c r="F484" s="165"/>
      <c r="G484" s="166">
        <f t="shared" si="3"/>
        <v>0</v>
      </c>
      <c r="H484" s="167"/>
    </row>
    <row r="485" spans="1:8" ht="22.5" customHeight="1">
      <c r="A485" s="139"/>
      <c r="B485" s="170"/>
      <c r="C485" s="171"/>
      <c r="D485" s="172"/>
      <c r="E485" s="164"/>
      <c r="F485" s="171"/>
      <c r="G485" s="166">
        <f t="shared" si="3"/>
        <v>0</v>
      </c>
      <c r="H485" s="167"/>
    </row>
    <row r="486" spans="1:8" ht="22.5" customHeight="1">
      <c r="A486" s="146"/>
      <c r="B486" s="162"/>
      <c r="C486" s="165"/>
      <c r="D486" s="163"/>
      <c r="E486" s="164"/>
      <c r="F486" s="165"/>
      <c r="G486" s="166">
        <f t="shared" si="3"/>
        <v>0</v>
      </c>
      <c r="H486" s="167"/>
    </row>
    <row r="487" spans="1:8" ht="22.5" customHeight="1">
      <c r="A487" s="139"/>
      <c r="B487" s="170"/>
      <c r="C487" s="171"/>
      <c r="D487" s="172"/>
      <c r="E487" s="164"/>
      <c r="F487" s="171"/>
      <c r="G487" s="166">
        <f t="shared" si="3"/>
        <v>0</v>
      </c>
      <c r="H487" s="167"/>
    </row>
    <row r="488" spans="1:8" ht="24.75" customHeight="1">
      <c r="A488" s="146"/>
      <c r="B488" s="162"/>
      <c r="C488" s="165"/>
      <c r="D488" s="163"/>
      <c r="E488" s="164"/>
      <c r="F488" s="165"/>
      <c r="G488" s="166">
        <f t="shared" si="3"/>
        <v>0</v>
      </c>
      <c r="H488" s="167"/>
    </row>
    <row r="489" spans="1:8" ht="22.5" customHeight="1">
      <c r="A489" s="139"/>
      <c r="B489" s="170"/>
      <c r="C489" s="171"/>
      <c r="D489" s="172"/>
      <c r="E489" s="164"/>
      <c r="F489" s="171"/>
      <c r="G489" s="166">
        <f t="shared" si="3"/>
        <v>0</v>
      </c>
      <c r="H489" s="167"/>
    </row>
    <row r="490" spans="1:8" ht="22.5" customHeight="1">
      <c r="A490" s="146"/>
      <c r="B490" s="162"/>
      <c r="C490" s="165"/>
      <c r="D490" s="163"/>
      <c r="E490" s="164"/>
      <c r="F490" s="165"/>
      <c r="G490" s="166">
        <f t="shared" si="3"/>
        <v>0</v>
      </c>
      <c r="H490" s="167"/>
    </row>
    <row r="491" spans="1:8" ht="27" customHeight="1">
      <c r="A491" s="139"/>
      <c r="B491" s="170"/>
      <c r="C491" s="171"/>
      <c r="D491" s="172"/>
      <c r="E491" s="164"/>
      <c r="F491" s="171"/>
      <c r="G491" s="166">
        <f t="shared" si="3"/>
        <v>0</v>
      </c>
      <c r="H491" s="167"/>
    </row>
    <row r="492" spans="1:8" ht="22.5" customHeight="1">
      <c r="A492" s="146"/>
      <c r="B492" s="162"/>
      <c r="C492" s="165"/>
      <c r="D492" s="163"/>
      <c r="E492" s="164"/>
      <c r="F492" s="165"/>
      <c r="G492" s="166">
        <f t="shared" si="3"/>
        <v>0</v>
      </c>
      <c r="H492" s="167"/>
    </row>
    <row r="493" spans="1:8" ht="22.5" customHeight="1">
      <c r="A493" s="139"/>
      <c r="B493" s="170"/>
      <c r="C493" s="171"/>
      <c r="D493" s="172"/>
      <c r="E493" s="164"/>
      <c r="F493" s="171"/>
      <c r="G493" s="166">
        <f t="shared" si="3"/>
        <v>0</v>
      </c>
      <c r="H493" s="167"/>
    </row>
    <row r="494" spans="1:8" ht="27" customHeight="1">
      <c r="A494" s="146"/>
      <c r="B494" s="162"/>
      <c r="C494" s="165"/>
      <c r="D494" s="163"/>
      <c r="E494" s="164"/>
      <c r="F494" s="165"/>
      <c r="G494" s="166">
        <f t="shared" si="3"/>
        <v>0</v>
      </c>
      <c r="H494" s="167"/>
    </row>
    <row r="495" spans="1:8" ht="20.25" customHeight="1">
      <c r="A495" s="139"/>
      <c r="B495" s="170"/>
      <c r="C495" s="171"/>
      <c r="D495" s="172"/>
      <c r="E495" s="164"/>
      <c r="F495" s="171"/>
      <c r="G495" s="166">
        <f t="shared" si="3"/>
        <v>0</v>
      </c>
      <c r="H495" s="167"/>
    </row>
    <row r="496" spans="1:8" ht="24.75" customHeight="1">
      <c r="A496" s="146"/>
      <c r="B496" s="162"/>
      <c r="C496" s="165"/>
      <c r="D496" s="163"/>
      <c r="E496" s="164"/>
      <c r="F496" s="165"/>
      <c r="G496" s="166">
        <f t="shared" si="3"/>
        <v>0</v>
      </c>
      <c r="H496" s="167"/>
    </row>
    <row r="497" spans="1:8" ht="23.25" customHeight="1">
      <c r="A497" s="139"/>
      <c r="B497" s="170"/>
      <c r="C497" s="171"/>
      <c r="D497" s="172"/>
      <c r="E497" s="164"/>
      <c r="F497" s="171"/>
      <c r="G497" s="166">
        <f t="shared" si="3"/>
        <v>0</v>
      </c>
      <c r="H497" s="167"/>
    </row>
    <row r="498" spans="1:8" ht="22.5" customHeight="1">
      <c r="A498" s="146"/>
      <c r="B498" s="162"/>
      <c r="C498" s="165"/>
      <c r="D498" s="163"/>
      <c r="E498" s="164"/>
      <c r="F498" s="165"/>
      <c r="G498" s="166">
        <f t="shared" si="3"/>
        <v>0</v>
      </c>
      <c r="H498" s="167"/>
    </row>
    <row r="499" spans="1:8" ht="22.5" customHeight="1">
      <c r="A499" s="139"/>
      <c r="B499" s="170"/>
      <c r="C499" s="171"/>
      <c r="D499" s="172"/>
      <c r="E499" s="164"/>
      <c r="F499" s="171"/>
      <c r="G499" s="166">
        <f t="shared" si="3"/>
        <v>0</v>
      </c>
      <c r="H499" s="167"/>
    </row>
    <row r="500" spans="1:8" ht="21" customHeight="1">
      <c r="A500" s="146"/>
      <c r="B500" s="162"/>
      <c r="C500" s="165"/>
      <c r="D500" s="163"/>
      <c r="E500" s="164"/>
      <c r="F500" s="165"/>
      <c r="G500" s="166">
        <f t="shared" si="3"/>
        <v>0</v>
      </c>
      <c r="H500" s="167"/>
    </row>
    <row r="501" spans="1:8" ht="22.5" customHeight="1">
      <c r="A501" s="139"/>
      <c r="B501" s="170"/>
      <c r="C501" s="171"/>
      <c r="D501" s="172"/>
      <c r="E501" s="164"/>
      <c r="F501" s="171"/>
      <c r="G501" s="166">
        <f t="shared" si="3"/>
        <v>0</v>
      </c>
      <c r="H501" s="167"/>
    </row>
    <row r="502" spans="1:8" ht="22.5" customHeight="1">
      <c r="A502" s="146"/>
      <c r="B502" s="162"/>
      <c r="C502" s="165"/>
      <c r="D502" s="163"/>
      <c r="E502" s="164"/>
      <c r="F502" s="165"/>
      <c r="G502" s="166">
        <f t="shared" si="3"/>
        <v>0</v>
      </c>
      <c r="H502" s="167"/>
    </row>
    <row r="503" spans="1:8" ht="23.25" customHeight="1">
      <c r="A503" s="139"/>
      <c r="B503" s="170"/>
      <c r="C503" s="171"/>
      <c r="D503" s="172"/>
      <c r="E503" s="164"/>
      <c r="F503" s="171"/>
      <c r="G503" s="166">
        <f t="shared" si="3"/>
        <v>0</v>
      </c>
      <c r="H503" s="167"/>
    </row>
    <row r="504" spans="1:8" ht="22.5" customHeight="1">
      <c r="A504" s="146"/>
      <c r="B504" s="162"/>
      <c r="C504" s="165"/>
      <c r="D504" s="163"/>
      <c r="E504" s="164"/>
      <c r="F504" s="165"/>
      <c r="G504" s="166">
        <f t="shared" si="3"/>
        <v>0</v>
      </c>
      <c r="H504" s="167"/>
    </row>
    <row r="505" spans="1:8" ht="22.5" customHeight="1">
      <c r="A505" s="139"/>
      <c r="B505" s="170"/>
      <c r="C505" s="171"/>
      <c r="D505" s="172"/>
      <c r="E505" s="164"/>
      <c r="F505" s="171"/>
      <c r="G505" s="166">
        <f t="shared" si="3"/>
        <v>0</v>
      </c>
      <c r="H505" s="167"/>
    </row>
    <row r="506" spans="1:8" ht="22.5" customHeight="1">
      <c r="A506" s="146"/>
      <c r="B506" s="162"/>
      <c r="C506" s="165"/>
      <c r="D506" s="163"/>
      <c r="E506" s="164"/>
      <c r="F506" s="162"/>
      <c r="G506" s="180">
        <f t="shared" si="3"/>
        <v>0</v>
      </c>
      <c r="H506" s="167"/>
    </row>
    <row r="507" spans="1:8" ht="18.75" customHeight="1">
      <c r="A507" s="139"/>
      <c r="B507" s="170"/>
      <c r="C507" s="171"/>
      <c r="D507" s="172"/>
      <c r="E507" s="164"/>
      <c r="F507" s="171"/>
      <c r="G507" s="166">
        <f t="shared" si="3"/>
        <v>0</v>
      </c>
      <c r="H507" s="167"/>
    </row>
    <row r="508" spans="1:8" ht="22.5" customHeight="1">
      <c r="A508" s="146"/>
      <c r="B508" s="162"/>
      <c r="C508" s="165"/>
      <c r="D508" s="163"/>
      <c r="E508" s="164"/>
      <c r="F508" s="165"/>
      <c r="G508" s="166">
        <f t="shared" si="3"/>
        <v>0</v>
      </c>
      <c r="H508" s="167"/>
    </row>
    <row r="509" spans="1:8" ht="22.5" customHeight="1">
      <c r="A509" s="139"/>
      <c r="B509" s="170"/>
      <c r="C509" s="171"/>
      <c r="D509" s="172"/>
      <c r="E509" s="164"/>
      <c r="F509" s="171"/>
      <c r="G509" s="166">
        <f t="shared" si="3"/>
        <v>0</v>
      </c>
      <c r="H509" s="167"/>
    </row>
    <row r="510" spans="1:8" ht="22.5" customHeight="1">
      <c r="A510" s="146"/>
      <c r="B510" s="162"/>
      <c r="C510" s="165"/>
      <c r="D510" s="163"/>
      <c r="E510" s="164"/>
      <c r="F510" s="165"/>
      <c r="G510" s="166">
        <f t="shared" si="3"/>
        <v>0</v>
      </c>
      <c r="H510" s="167"/>
    </row>
    <row r="511" spans="1:8" ht="22.5" customHeight="1">
      <c r="A511" s="139"/>
      <c r="B511" s="170"/>
      <c r="C511" s="171"/>
      <c r="D511" s="172"/>
      <c r="E511" s="164"/>
      <c r="F511" s="171"/>
      <c r="G511" s="166">
        <f t="shared" si="3"/>
        <v>0</v>
      </c>
      <c r="H511" s="167"/>
    </row>
    <row r="512" spans="1:8" ht="19.5" customHeight="1">
      <c r="A512" s="146"/>
      <c r="B512" s="162"/>
      <c r="C512" s="165"/>
      <c r="D512" s="163"/>
      <c r="E512" s="164"/>
      <c r="F512" s="165"/>
      <c r="G512" s="166">
        <f t="shared" si="3"/>
        <v>0</v>
      </c>
      <c r="H512" s="167"/>
    </row>
    <row r="513" spans="1:8" ht="20.25" customHeight="1">
      <c r="A513" s="139"/>
      <c r="B513" s="170"/>
      <c r="C513" s="171"/>
      <c r="D513" s="172"/>
      <c r="E513" s="164"/>
      <c r="F513" s="171"/>
      <c r="G513" s="166">
        <f t="shared" si="3"/>
        <v>0</v>
      </c>
      <c r="H513" s="167"/>
    </row>
    <row r="514" spans="1:8" ht="22.5" customHeight="1">
      <c r="A514" s="146"/>
      <c r="B514" s="162"/>
      <c r="C514" s="165"/>
      <c r="D514" s="163"/>
      <c r="E514" s="164"/>
      <c r="F514" s="165"/>
      <c r="G514" s="166">
        <f t="shared" si="3"/>
        <v>0</v>
      </c>
      <c r="H514" s="167"/>
    </row>
    <row r="515" spans="1:8" ht="22.5" customHeight="1">
      <c r="A515" s="139"/>
      <c r="B515" s="170"/>
      <c r="C515" s="171"/>
      <c r="D515" s="172"/>
      <c r="E515" s="164"/>
      <c r="F515" s="171"/>
      <c r="G515" s="166">
        <f t="shared" si="3"/>
        <v>0</v>
      </c>
      <c r="H515" s="167"/>
    </row>
    <row r="516" spans="1:8" ht="22.5" customHeight="1">
      <c r="A516" s="146"/>
      <c r="B516" s="162"/>
      <c r="C516" s="165"/>
      <c r="D516" s="163"/>
      <c r="E516" s="164"/>
      <c r="F516" s="165"/>
      <c r="G516" s="166">
        <f t="shared" si="3"/>
        <v>0</v>
      </c>
      <c r="H516" s="167"/>
    </row>
    <row r="517" spans="1:8" ht="23.25" customHeight="1">
      <c r="A517" s="139"/>
      <c r="B517" s="170"/>
      <c r="C517" s="171"/>
      <c r="D517" s="172"/>
      <c r="E517" s="164"/>
      <c r="F517" s="171"/>
      <c r="G517" s="166">
        <f t="shared" si="3"/>
        <v>0</v>
      </c>
      <c r="H517" s="167"/>
    </row>
    <row r="518" spans="1:8" ht="22.5" customHeight="1">
      <c r="A518" s="146"/>
      <c r="B518" s="162"/>
      <c r="C518" s="165"/>
      <c r="D518" s="163"/>
      <c r="E518" s="164"/>
      <c r="F518" s="165"/>
      <c r="G518" s="166">
        <f t="shared" si="3"/>
        <v>0</v>
      </c>
      <c r="H518" s="167"/>
    </row>
    <row r="519" spans="1:8" ht="22.5" customHeight="1">
      <c r="A519" s="139"/>
      <c r="B519" s="170"/>
      <c r="C519" s="181"/>
      <c r="D519" s="177"/>
      <c r="E519" s="174"/>
      <c r="F519" s="178"/>
      <c r="G519" s="166">
        <f t="shared" si="3"/>
        <v>0</v>
      </c>
      <c r="H519" s="167"/>
    </row>
    <row r="520" spans="1:8" ht="24" customHeight="1">
      <c r="A520" s="146"/>
      <c r="B520" s="162"/>
      <c r="C520" s="165"/>
      <c r="D520" s="163"/>
      <c r="E520" s="164"/>
      <c r="F520" s="165"/>
      <c r="G520" s="166">
        <f t="shared" si="3"/>
        <v>0</v>
      </c>
      <c r="H520" s="167"/>
    </row>
    <row r="521" spans="1:8" ht="22.5" customHeight="1">
      <c r="A521" s="139"/>
      <c r="B521" s="170"/>
      <c r="C521" s="171"/>
      <c r="D521" s="172"/>
      <c r="E521" s="164"/>
      <c r="F521" s="171"/>
      <c r="G521" s="166">
        <f t="shared" si="3"/>
        <v>0</v>
      </c>
      <c r="H521" s="167"/>
    </row>
    <row r="522" spans="1:8" ht="22.5" customHeight="1">
      <c r="A522" s="146"/>
      <c r="B522" s="162"/>
      <c r="C522" s="165"/>
      <c r="D522" s="163"/>
      <c r="E522" s="164"/>
      <c r="F522" s="165"/>
      <c r="G522" s="166">
        <f t="shared" si="3"/>
        <v>0</v>
      </c>
      <c r="H522" s="167"/>
    </row>
    <row r="523" spans="1:8" ht="22.5" customHeight="1">
      <c r="A523" s="139"/>
      <c r="B523" s="170"/>
      <c r="C523" s="171"/>
      <c r="D523" s="172"/>
      <c r="E523" s="164"/>
      <c r="F523" s="171"/>
      <c r="G523" s="166">
        <f t="shared" si="3"/>
        <v>0</v>
      </c>
      <c r="H523" s="167"/>
    </row>
    <row r="524" spans="1:8" ht="19.5" customHeight="1">
      <c r="A524" s="146"/>
      <c r="B524" s="162"/>
      <c r="C524" s="165"/>
      <c r="D524" s="163"/>
      <c r="E524" s="164"/>
      <c r="F524" s="165"/>
      <c r="G524" s="166">
        <f t="shared" si="3"/>
        <v>0</v>
      </c>
      <c r="H524" s="167"/>
    </row>
    <row r="525" spans="1:8" ht="21" customHeight="1">
      <c r="A525" s="139"/>
      <c r="B525" s="170"/>
      <c r="C525" s="171"/>
      <c r="D525" s="172"/>
      <c r="E525" s="164"/>
      <c r="F525" s="171"/>
      <c r="G525" s="166">
        <f t="shared" si="3"/>
        <v>0</v>
      </c>
      <c r="H525" s="167"/>
    </row>
    <row r="526" spans="1:8" ht="22.5" customHeight="1">
      <c r="A526" s="146"/>
      <c r="B526" s="162"/>
      <c r="C526" s="165"/>
      <c r="D526" s="163"/>
      <c r="E526" s="164"/>
      <c r="F526" s="165"/>
      <c r="G526" s="166">
        <f t="shared" si="3"/>
        <v>0</v>
      </c>
      <c r="H526" s="167"/>
    </row>
    <row r="527" spans="1:8" ht="22.5" customHeight="1">
      <c r="A527" s="139"/>
      <c r="B527" s="170"/>
      <c r="C527" s="171"/>
      <c r="D527" s="172"/>
      <c r="E527" s="164"/>
      <c r="F527" s="171"/>
      <c r="G527" s="166">
        <f t="shared" si="3"/>
        <v>0</v>
      </c>
      <c r="H527" s="167"/>
    </row>
    <row r="528" spans="1:8" ht="21.75" customHeight="1">
      <c r="A528" s="146"/>
      <c r="B528" s="162"/>
      <c r="C528" s="165"/>
      <c r="D528" s="163"/>
      <c r="E528" s="164"/>
      <c r="F528" s="165"/>
      <c r="G528" s="166">
        <f t="shared" si="3"/>
        <v>0</v>
      </c>
      <c r="H528" s="167"/>
    </row>
    <row r="529" spans="1:8" ht="22.5" customHeight="1">
      <c r="A529" s="139"/>
      <c r="B529" s="170"/>
      <c r="C529" s="171"/>
      <c r="D529" s="177"/>
      <c r="E529" s="174"/>
      <c r="F529" s="178"/>
      <c r="G529" s="166">
        <f t="shared" si="3"/>
        <v>0</v>
      </c>
      <c r="H529" s="167"/>
    </row>
    <row r="530" spans="1:8" ht="24" customHeight="1">
      <c r="A530" s="146"/>
      <c r="B530" s="162"/>
      <c r="C530" s="165"/>
      <c r="D530" s="163"/>
      <c r="E530" s="164"/>
      <c r="F530" s="165"/>
      <c r="G530" s="166">
        <f t="shared" si="3"/>
        <v>0</v>
      </c>
      <c r="H530" s="167"/>
    </row>
    <row r="531" spans="1:8" ht="24" customHeight="1">
      <c r="A531" s="139"/>
      <c r="B531" s="170"/>
      <c r="C531" s="171"/>
      <c r="D531" s="172"/>
      <c r="E531" s="164"/>
      <c r="F531" s="171"/>
      <c r="G531" s="166">
        <f t="shared" si="3"/>
        <v>0</v>
      </c>
      <c r="H531" s="167"/>
    </row>
    <row r="532" spans="1:8" ht="21" customHeight="1">
      <c r="A532" s="146"/>
      <c r="B532" s="162"/>
      <c r="C532" s="165"/>
      <c r="D532" s="163"/>
      <c r="E532" s="164"/>
      <c r="F532" s="162"/>
      <c r="G532" s="180">
        <f t="shared" si="3"/>
        <v>0</v>
      </c>
      <c r="H532" s="167"/>
    </row>
    <row r="533" spans="1:8" ht="22.5" customHeight="1">
      <c r="A533" s="139"/>
      <c r="B533" s="170"/>
      <c r="C533" s="171"/>
      <c r="D533" s="172"/>
      <c r="E533" s="164"/>
      <c r="F533" s="171"/>
      <c r="G533" s="166">
        <f t="shared" si="3"/>
        <v>0</v>
      </c>
      <c r="H533" s="167"/>
    </row>
    <row r="534" spans="1:8" ht="18.75" customHeight="1">
      <c r="A534" s="146"/>
      <c r="B534" s="162"/>
      <c r="C534" s="165"/>
      <c r="D534" s="163"/>
      <c r="E534" s="164"/>
      <c r="F534" s="165"/>
      <c r="G534" s="166">
        <f t="shared" si="3"/>
        <v>0</v>
      </c>
      <c r="H534" s="167"/>
    </row>
    <row r="535" spans="1:8" ht="22.5" customHeight="1">
      <c r="A535" s="139"/>
      <c r="B535" s="170"/>
      <c r="C535" s="171"/>
      <c r="D535" s="172"/>
      <c r="E535" s="164"/>
      <c r="F535" s="171"/>
      <c r="G535" s="166">
        <f t="shared" si="3"/>
        <v>0</v>
      </c>
      <c r="H535" s="167"/>
    </row>
    <row r="536" spans="1:8" ht="20.25" customHeight="1">
      <c r="A536" s="146"/>
      <c r="B536" s="162"/>
      <c r="C536" s="165"/>
      <c r="D536" s="163"/>
      <c r="E536" s="164"/>
      <c r="F536" s="165"/>
      <c r="G536" s="166">
        <f t="shared" si="3"/>
        <v>0</v>
      </c>
      <c r="H536" s="167"/>
    </row>
    <row r="537" spans="1:8" ht="18" customHeight="1">
      <c r="A537" s="139"/>
      <c r="B537" s="170"/>
      <c r="C537" s="171"/>
      <c r="D537" s="172"/>
      <c r="E537" s="164"/>
      <c r="F537" s="171"/>
      <c r="G537" s="166">
        <f t="shared" si="3"/>
        <v>0</v>
      </c>
      <c r="H537" s="167"/>
    </row>
    <row r="538" spans="1:8" ht="22.5" customHeight="1">
      <c r="A538" s="146"/>
      <c r="B538" s="162"/>
      <c r="C538" s="165"/>
      <c r="D538" s="163"/>
      <c r="E538" s="164"/>
      <c r="F538" s="165"/>
      <c r="G538" s="166">
        <f t="shared" si="3"/>
        <v>0</v>
      </c>
      <c r="H538" s="167"/>
    </row>
    <row r="539" spans="1:8" ht="22.5" customHeight="1">
      <c r="A539" s="139"/>
      <c r="B539" s="170"/>
      <c r="C539" s="171"/>
      <c r="D539" s="172"/>
      <c r="E539" s="164"/>
      <c r="F539" s="171"/>
      <c r="G539" s="166">
        <f t="shared" si="3"/>
        <v>0</v>
      </c>
      <c r="H539" s="167"/>
    </row>
    <row r="540" spans="1:8" ht="21.75" customHeight="1">
      <c r="A540" s="146"/>
      <c r="B540" s="162"/>
      <c r="C540" s="165"/>
      <c r="D540" s="163"/>
      <c r="E540" s="164"/>
      <c r="F540" s="165"/>
      <c r="G540" s="166">
        <f t="shared" si="3"/>
        <v>0</v>
      </c>
      <c r="H540" s="167"/>
    </row>
    <row r="541" spans="1:8" ht="23.25" customHeight="1">
      <c r="A541" s="139"/>
      <c r="B541" s="170"/>
      <c r="C541" s="171"/>
      <c r="D541" s="177"/>
      <c r="E541" s="174"/>
      <c r="F541" s="178"/>
      <c r="G541" s="166">
        <f t="shared" si="3"/>
        <v>0</v>
      </c>
      <c r="H541" s="167"/>
    </row>
    <row r="542" spans="1:8" ht="22.5" customHeight="1">
      <c r="A542" s="146"/>
      <c r="B542" s="162"/>
      <c r="C542" s="165"/>
      <c r="D542" s="163"/>
      <c r="E542" s="164"/>
      <c r="F542" s="165"/>
      <c r="G542" s="166">
        <f t="shared" si="3"/>
        <v>0</v>
      </c>
      <c r="H542" s="167"/>
    </row>
    <row r="543" spans="1:8" ht="24" customHeight="1">
      <c r="A543" s="139"/>
      <c r="B543" s="170"/>
      <c r="C543" s="181"/>
      <c r="D543" s="172"/>
      <c r="E543" s="164"/>
      <c r="F543" s="171"/>
      <c r="G543" s="166">
        <f t="shared" si="3"/>
        <v>0</v>
      </c>
      <c r="H543" s="167"/>
    </row>
    <row r="544" spans="1:8" ht="22.5" customHeight="1">
      <c r="A544" s="146"/>
      <c r="B544" s="162"/>
      <c r="C544" s="165"/>
      <c r="D544" s="163"/>
      <c r="E544" s="164"/>
      <c r="F544" s="165"/>
      <c r="G544" s="166">
        <f t="shared" si="3"/>
        <v>0</v>
      </c>
      <c r="H544" s="167"/>
    </row>
    <row r="545" spans="1:8" ht="19.5" customHeight="1">
      <c r="A545" s="139"/>
      <c r="B545" s="170"/>
      <c r="C545" s="171"/>
      <c r="D545" s="172"/>
      <c r="E545" s="164"/>
      <c r="F545" s="171"/>
      <c r="G545" s="166">
        <f t="shared" si="3"/>
        <v>0</v>
      </c>
      <c r="H545" s="167"/>
    </row>
    <row r="546" spans="1:8" ht="22.5" customHeight="1">
      <c r="A546" s="146"/>
      <c r="B546" s="162"/>
      <c r="C546" s="165"/>
      <c r="D546" s="163"/>
      <c r="E546" s="164"/>
      <c r="F546" s="165"/>
      <c r="G546" s="166">
        <f t="shared" si="3"/>
        <v>0</v>
      </c>
      <c r="H546" s="167"/>
    </row>
    <row r="547" spans="1:8" ht="22.5" customHeight="1">
      <c r="A547" s="139"/>
      <c r="B547" s="170"/>
      <c r="C547" s="171"/>
      <c r="D547" s="172"/>
      <c r="E547" s="164"/>
      <c r="F547" s="171"/>
      <c r="G547" s="166">
        <f t="shared" si="3"/>
        <v>0</v>
      </c>
      <c r="H547" s="167"/>
    </row>
    <row r="548" spans="1:8" ht="21.75" customHeight="1">
      <c r="A548" s="146"/>
      <c r="B548" s="162"/>
      <c r="C548" s="165"/>
      <c r="D548" s="163"/>
      <c r="E548" s="164"/>
      <c r="F548" s="162"/>
      <c r="G548" s="180">
        <f t="shared" si="3"/>
        <v>0</v>
      </c>
      <c r="H548" s="167"/>
    </row>
    <row r="549" spans="1:8" ht="20.25" customHeight="1">
      <c r="A549" s="139"/>
      <c r="B549" s="170"/>
      <c r="C549" s="171"/>
      <c r="D549" s="172"/>
      <c r="E549" s="164"/>
      <c r="F549" s="178"/>
      <c r="G549" s="182">
        <f t="shared" si="3"/>
        <v>0</v>
      </c>
      <c r="H549" s="167"/>
    </row>
    <row r="550" spans="1:8" ht="21.75" customHeight="1">
      <c r="A550" s="146"/>
      <c r="B550" s="162"/>
      <c r="C550" s="165"/>
      <c r="D550" s="163"/>
      <c r="E550" s="164"/>
      <c r="F550" s="165"/>
      <c r="G550" s="166">
        <f t="shared" si="3"/>
        <v>0</v>
      </c>
      <c r="H550" s="167"/>
    </row>
    <row r="551" spans="1:8" ht="22.5" customHeight="1">
      <c r="A551" s="139"/>
      <c r="B551" s="170"/>
      <c r="C551" s="171"/>
      <c r="D551" s="172"/>
      <c r="E551" s="164"/>
      <c r="F551" s="171"/>
      <c r="G551" s="166">
        <f t="shared" si="3"/>
        <v>0</v>
      </c>
      <c r="H551" s="167"/>
    </row>
    <row r="552" spans="1:8" ht="21" customHeight="1">
      <c r="A552" s="146"/>
      <c r="B552" s="162"/>
      <c r="C552" s="165"/>
      <c r="D552" s="163"/>
      <c r="E552" s="164"/>
      <c r="F552" s="165"/>
      <c r="G552" s="166">
        <f t="shared" si="3"/>
        <v>0</v>
      </c>
      <c r="H552" s="167"/>
    </row>
    <row r="553" spans="1:8" ht="19.5" customHeight="1">
      <c r="A553" s="139"/>
      <c r="B553" s="170"/>
      <c r="C553" s="171"/>
      <c r="D553" s="172"/>
      <c r="E553" s="164"/>
      <c r="F553" s="171"/>
      <c r="G553" s="166">
        <f t="shared" si="3"/>
        <v>0</v>
      </c>
      <c r="H553" s="167"/>
    </row>
    <row r="554" spans="1:8" ht="18.75" customHeight="1">
      <c r="A554" s="146"/>
      <c r="B554" s="162"/>
      <c r="C554" s="165"/>
      <c r="D554" s="173"/>
      <c r="E554" s="174"/>
      <c r="F554" s="175"/>
      <c r="G554" s="166">
        <f t="shared" si="3"/>
        <v>0</v>
      </c>
      <c r="H554" s="167"/>
    </row>
    <row r="555" spans="1:8" ht="23.25" customHeight="1">
      <c r="A555" s="183"/>
      <c r="B555" s="184"/>
      <c r="C555" s="185"/>
      <c r="D555" s="172"/>
      <c r="E555" s="164"/>
      <c r="F555" s="171"/>
      <c r="G555" s="166">
        <f t="shared" si="3"/>
        <v>0</v>
      </c>
      <c r="H555" s="167"/>
    </row>
    <row r="556" spans="1:8" ht="21" customHeight="1">
      <c r="A556" s="146"/>
      <c r="B556" s="162"/>
      <c r="C556" s="165"/>
      <c r="D556" s="163"/>
      <c r="E556" s="164"/>
      <c r="F556" s="165"/>
      <c r="G556" s="166">
        <f t="shared" si="3"/>
        <v>0</v>
      </c>
      <c r="H556" s="167"/>
    </row>
    <row r="557" spans="1:8" ht="21" customHeight="1">
      <c r="A557" s="139"/>
      <c r="B557" s="170"/>
      <c r="C557" s="171"/>
      <c r="D557" s="172"/>
      <c r="E557" s="164"/>
      <c r="F557" s="171"/>
      <c r="G557" s="166">
        <f t="shared" si="3"/>
        <v>0</v>
      </c>
      <c r="H557" s="167"/>
    </row>
    <row r="558" spans="1:8" ht="23.25" customHeight="1">
      <c r="A558" s="146"/>
      <c r="B558" s="162"/>
      <c r="C558" s="165"/>
      <c r="D558" s="163"/>
      <c r="E558" s="164"/>
      <c r="F558" s="165"/>
      <c r="G558" s="166">
        <f t="shared" si="3"/>
        <v>0</v>
      </c>
      <c r="H558" s="167"/>
    </row>
    <row r="559" spans="1:8" ht="23.25" customHeight="1">
      <c r="A559" s="139"/>
      <c r="B559" s="170"/>
      <c r="C559" s="171"/>
      <c r="D559" s="172"/>
      <c r="E559" s="164"/>
      <c r="F559" s="171"/>
      <c r="G559" s="166">
        <f t="shared" si="3"/>
        <v>0</v>
      </c>
      <c r="H559" s="167"/>
    </row>
    <row r="560" spans="1:8" ht="21.75" customHeight="1">
      <c r="A560" s="146"/>
      <c r="B560" s="162"/>
      <c r="C560" s="186"/>
      <c r="D560" s="163"/>
      <c r="E560" s="164"/>
      <c r="F560" s="165"/>
      <c r="G560" s="166">
        <f t="shared" si="3"/>
        <v>0</v>
      </c>
      <c r="H560" s="167"/>
    </row>
    <row r="561" spans="1:8" ht="23.25" customHeight="1">
      <c r="A561" s="139"/>
      <c r="B561" s="170"/>
      <c r="C561" s="171"/>
      <c r="D561" s="172"/>
      <c r="E561" s="164"/>
      <c r="F561" s="171"/>
      <c r="G561" s="166">
        <f t="shared" si="3"/>
        <v>0</v>
      </c>
      <c r="H561" s="167"/>
    </row>
    <row r="562" spans="1:8" ht="23.25" customHeight="1">
      <c r="A562" s="146"/>
      <c r="B562" s="162"/>
      <c r="C562" s="165"/>
      <c r="D562" s="163"/>
      <c r="E562" s="164"/>
      <c r="F562" s="165"/>
      <c r="G562" s="166">
        <f t="shared" si="3"/>
        <v>0</v>
      </c>
      <c r="H562" s="167"/>
    </row>
    <row r="563" spans="1:8" ht="21" customHeight="1">
      <c r="A563" s="139"/>
      <c r="B563" s="170"/>
      <c r="C563" s="171"/>
      <c r="D563" s="172"/>
      <c r="E563" s="164"/>
      <c r="F563" s="171"/>
      <c r="G563" s="166">
        <f t="shared" si="3"/>
        <v>0</v>
      </c>
      <c r="H563" s="167"/>
    </row>
    <row r="564" spans="1:8" ht="21" customHeight="1">
      <c r="A564" s="146"/>
      <c r="B564" s="162"/>
      <c r="C564" s="165"/>
      <c r="D564" s="163"/>
      <c r="E564" s="164"/>
      <c r="F564" s="175"/>
      <c r="G564" s="182">
        <f t="shared" si="3"/>
        <v>0</v>
      </c>
      <c r="H564" s="167"/>
    </row>
    <row r="565" spans="1:8" ht="24" customHeight="1">
      <c r="A565" s="139"/>
      <c r="B565" s="170"/>
      <c r="C565" s="171"/>
      <c r="D565" s="172"/>
      <c r="E565" s="164"/>
      <c r="F565" s="170"/>
      <c r="G565" s="180">
        <f t="shared" si="3"/>
        <v>0</v>
      </c>
      <c r="H565" s="167"/>
    </row>
    <row r="566" spans="1:8" ht="23.25" customHeight="1">
      <c r="A566" s="146"/>
      <c r="B566" s="162"/>
      <c r="C566" s="186"/>
      <c r="D566" s="163"/>
      <c r="E566" s="164"/>
      <c r="F566" s="165"/>
      <c r="G566" s="166">
        <f t="shared" si="3"/>
        <v>0</v>
      </c>
      <c r="H566" s="167"/>
    </row>
    <row r="567" spans="1:8" ht="22.5" customHeight="1">
      <c r="A567" s="139"/>
      <c r="B567" s="170"/>
      <c r="C567" s="171"/>
      <c r="D567" s="172"/>
      <c r="E567" s="164"/>
      <c r="F567" s="171"/>
      <c r="G567" s="166">
        <f t="shared" si="3"/>
        <v>0</v>
      </c>
      <c r="H567" s="167"/>
    </row>
    <row r="568" spans="1:8" ht="22.5" customHeight="1">
      <c r="A568" s="146"/>
      <c r="B568" s="162"/>
      <c r="C568" s="165"/>
      <c r="D568" s="163"/>
      <c r="E568" s="164"/>
      <c r="F568" s="165"/>
      <c r="G568" s="166">
        <f t="shared" si="3"/>
        <v>0</v>
      </c>
      <c r="H568" s="167"/>
    </row>
    <row r="569" spans="1:8" ht="23.25" customHeight="1">
      <c r="A569" s="139"/>
      <c r="B569" s="170"/>
      <c r="C569" s="171"/>
      <c r="D569" s="172"/>
      <c r="E569" s="164"/>
      <c r="F569" s="170"/>
      <c r="G569" s="180">
        <f t="shared" si="3"/>
        <v>0</v>
      </c>
      <c r="H569" s="167"/>
    </row>
    <row r="570" spans="1:8" ht="22.5" customHeight="1">
      <c r="A570" s="146"/>
      <c r="B570" s="162"/>
      <c r="C570" s="165"/>
      <c r="D570" s="163"/>
      <c r="E570" s="164"/>
      <c r="F570" s="165"/>
      <c r="G570" s="166">
        <f t="shared" si="3"/>
        <v>0</v>
      </c>
      <c r="H570" s="167"/>
    </row>
    <row r="571" spans="1:8" ht="22.5" customHeight="1">
      <c r="A571" s="139"/>
      <c r="B571" s="170"/>
      <c r="C571" s="171"/>
      <c r="D571" s="177"/>
      <c r="E571" s="174"/>
      <c r="F571" s="178"/>
      <c r="G571" s="166">
        <f t="shared" si="3"/>
        <v>0</v>
      </c>
      <c r="H571" s="167"/>
    </row>
    <row r="572" spans="1:8" ht="22.5" customHeight="1">
      <c r="A572" s="146"/>
      <c r="B572" s="162"/>
      <c r="C572" s="165"/>
      <c r="D572" s="163"/>
      <c r="E572" s="164"/>
      <c r="F572" s="165"/>
      <c r="G572" s="166">
        <f t="shared" si="3"/>
        <v>0</v>
      </c>
      <c r="H572" s="167"/>
    </row>
    <row r="573" spans="1:8" ht="21" customHeight="1">
      <c r="A573" s="139"/>
      <c r="B573" s="170"/>
      <c r="C573" s="171"/>
      <c r="D573" s="172"/>
      <c r="E573" s="164"/>
      <c r="F573" s="171"/>
      <c r="G573" s="166">
        <f t="shared" si="3"/>
        <v>0</v>
      </c>
      <c r="H573" s="167"/>
    </row>
    <row r="574" spans="1:8" ht="22.5" customHeight="1">
      <c r="A574" s="146"/>
      <c r="B574" s="162"/>
      <c r="C574" s="165"/>
      <c r="D574" s="163"/>
      <c r="E574" s="164"/>
      <c r="F574" s="165"/>
      <c r="G574" s="166">
        <f t="shared" si="3"/>
        <v>0</v>
      </c>
      <c r="H574" s="167"/>
    </row>
    <row r="575" spans="1:8" ht="22.5" customHeight="1">
      <c r="A575" s="139"/>
      <c r="B575" s="170"/>
      <c r="C575" s="171"/>
      <c r="D575" s="172"/>
      <c r="E575" s="164"/>
      <c r="F575" s="171"/>
      <c r="G575" s="166">
        <f t="shared" si="3"/>
        <v>0</v>
      </c>
      <c r="H575" s="167"/>
    </row>
    <row r="576" spans="1:8" ht="21.75" customHeight="1">
      <c r="A576" s="146"/>
      <c r="B576" s="162"/>
      <c r="C576" s="165"/>
      <c r="D576" s="163"/>
      <c r="E576" s="164"/>
      <c r="F576" s="165"/>
      <c r="G576" s="166">
        <f t="shared" si="3"/>
        <v>0</v>
      </c>
      <c r="H576" s="167"/>
    </row>
    <row r="577" spans="1:8" ht="22.5" customHeight="1">
      <c r="A577" s="139"/>
      <c r="B577" s="170"/>
      <c r="C577" s="171"/>
      <c r="D577" s="172"/>
      <c r="E577" s="164"/>
      <c r="F577" s="171"/>
      <c r="G577" s="166">
        <f t="shared" si="3"/>
        <v>0</v>
      </c>
      <c r="H577" s="167"/>
    </row>
    <row r="578" spans="1:8" ht="21" customHeight="1">
      <c r="A578" s="146"/>
      <c r="B578" s="162"/>
      <c r="C578" s="165"/>
      <c r="D578" s="163"/>
      <c r="E578" s="164"/>
      <c r="F578" s="165"/>
      <c r="G578" s="166">
        <f t="shared" si="3"/>
        <v>0</v>
      </c>
      <c r="H578" s="167"/>
    </row>
    <row r="579" spans="1:8" ht="22.5" customHeight="1">
      <c r="A579" s="139"/>
      <c r="B579" s="170"/>
      <c r="C579" s="171"/>
      <c r="D579" s="172"/>
      <c r="E579" s="164"/>
      <c r="F579" s="171"/>
      <c r="G579" s="166">
        <f t="shared" si="3"/>
        <v>0</v>
      </c>
      <c r="H579" s="167"/>
    </row>
    <row r="580" spans="1:8" ht="22.5" customHeight="1">
      <c r="A580" s="146"/>
      <c r="B580" s="162"/>
      <c r="C580" s="165"/>
      <c r="D580" s="163"/>
      <c r="E580" s="164"/>
      <c r="F580" s="165"/>
      <c r="G580" s="166">
        <f t="shared" si="3"/>
        <v>0</v>
      </c>
      <c r="H580" s="167"/>
    </row>
    <row r="581" spans="1:8" ht="22.5" customHeight="1">
      <c r="A581" s="139"/>
      <c r="B581" s="170"/>
      <c r="C581" s="171"/>
      <c r="D581" s="172"/>
      <c r="E581" s="164"/>
      <c r="F581" s="178"/>
      <c r="G581" s="182">
        <f t="shared" si="3"/>
        <v>0</v>
      </c>
      <c r="H581" s="167"/>
    </row>
    <row r="582" spans="1:8" ht="22.5" customHeight="1">
      <c r="A582" s="146"/>
      <c r="B582" s="162"/>
      <c r="C582" s="165"/>
      <c r="D582" s="163"/>
      <c r="E582" s="164"/>
      <c r="F582" s="165"/>
      <c r="G582" s="166">
        <f t="shared" si="3"/>
        <v>0</v>
      </c>
      <c r="H582" s="167"/>
    </row>
    <row r="583" spans="1:8" ht="22.5" customHeight="1">
      <c r="A583" s="139"/>
      <c r="B583" s="170"/>
      <c r="C583" s="171"/>
      <c r="D583" s="172"/>
      <c r="E583" s="164"/>
      <c r="F583" s="171"/>
      <c r="G583" s="166">
        <f t="shared" si="3"/>
        <v>0</v>
      </c>
      <c r="H583" s="167"/>
    </row>
    <row r="584" spans="1:8" ht="22.5" customHeight="1">
      <c r="A584" s="146"/>
      <c r="B584" s="162"/>
      <c r="C584" s="165"/>
      <c r="D584" s="163"/>
      <c r="E584" s="164"/>
      <c r="F584" s="165"/>
      <c r="G584" s="166">
        <f t="shared" si="3"/>
        <v>0</v>
      </c>
      <c r="H584" s="167"/>
    </row>
    <row r="585" spans="1:8" ht="22.5" customHeight="1">
      <c r="A585" s="139"/>
      <c r="B585" s="170"/>
      <c r="C585" s="171"/>
      <c r="D585" s="172"/>
      <c r="E585" s="164"/>
      <c r="F585" s="171"/>
      <c r="G585" s="166">
        <f t="shared" si="3"/>
        <v>0</v>
      </c>
      <c r="H585" s="167"/>
    </row>
    <row r="586" spans="1:8" ht="22.5" customHeight="1">
      <c r="A586" s="146"/>
      <c r="B586" s="162"/>
      <c r="C586" s="165"/>
      <c r="D586" s="163"/>
      <c r="E586" s="164"/>
      <c r="F586" s="165"/>
      <c r="G586" s="166">
        <f t="shared" si="3"/>
        <v>0</v>
      </c>
      <c r="H586" s="167"/>
    </row>
    <row r="587" spans="1:8" ht="23.25" customHeight="1">
      <c r="A587" s="139"/>
      <c r="B587" s="170"/>
      <c r="C587" s="171"/>
      <c r="D587" s="177"/>
      <c r="E587" s="174"/>
      <c r="F587" s="178"/>
      <c r="G587" s="166">
        <f t="shared" si="3"/>
        <v>0</v>
      </c>
      <c r="H587" s="167"/>
    </row>
    <row r="588" spans="1:8" ht="22.5" customHeight="1">
      <c r="A588" s="146"/>
      <c r="B588" s="162"/>
      <c r="C588" s="165"/>
      <c r="D588" s="163"/>
      <c r="E588" s="164"/>
      <c r="F588" s="165"/>
      <c r="G588" s="166">
        <f t="shared" si="3"/>
        <v>0</v>
      </c>
      <c r="H588" s="167"/>
    </row>
    <row r="589" spans="1:8" ht="23.25" customHeight="1">
      <c r="A589" s="139"/>
      <c r="B589" s="170"/>
      <c r="C589" s="171"/>
      <c r="D589" s="172"/>
      <c r="E589" s="164"/>
      <c r="F589" s="171"/>
      <c r="G589" s="166">
        <f t="shared" si="3"/>
        <v>0</v>
      </c>
      <c r="H589" s="167"/>
    </row>
    <row r="590" spans="1:8" ht="22.5" customHeight="1">
      <c r="A590" s="146"/>
      <c r="B590" s="162"/>
      <c r="C590" s="165"/>
      <c r="D590" s="163"/>
      <c r="E590" s="164"/>
      <c r="F590" s="165"/>
      <c r="G590" s="166">
        <f t="shared" si="3"/>
        <v>0</v>
      </c>
      <c r="H590" s="167"/>
    </row>
    <row r="591" spans="1:8" ht="22.5" customHeight="1">
      <c r="A591" s="139"/>
      <c r="B591" s="170"/>
      <c r="C591" s="171"/>
      <c r="D591" s="172"/>
      <c r="E591" s="164"/>
      <c r="F591" s="171"/>
      <c r="G591" s="166">
        <f t="shared" si="3"/>
        <v>0</v>
      </c>
      <c r="H591" s="167"/>
    </row>
    <row r="592" spans="1:8" ht="22.5" customHeight="1">
      <c r="A592" s="146"/>
      <c r="B592" s="162"/>
      <c r="C592" s="165"/>
      <c r="D592" s="163"/>
      <c r="E592" s="164"/>
      <c r="F592" s="165"/>
      <c r="G592" s="166">
        <f t="shared" ref="G592:G846" si="4">D592-E592</f>
        <v>0</v>
      </c>
      <c r="H592" s="167"/>
    </row>
    <row r="593" spans="1:8" ht="22.5" customHeight="1">
      <c r="A593" s="139"/>
      <c r="B593" s="170"/>
      <c r="C593" s="181"/>
      <c r="D593" s="172"/>
      <c r="E593" s="164"/>
      <c r="F593" s="171"/>
      <c r="G593" s="166">
        <f t="shared" si="4"/>
        <v>0</v>
      </c>
      <c r="H593" s="167"/>
    </row>
    <row r="594" spans="1:8" ht="19.5" customHeight="1">
      <c r="A594" s="146"/>
      <c r="B594" s="162"/>
      <c r="C594" s="165"/>
      <c r="D594" s="163"/>
      <c r="E594" s="164"/>
      <c r="F594" s="165"/>
      <c r="G594" s="166">
        <f t="shared" si="4"/>
        <v>0</v>
      </c>
      <c r="H594" s="167"/>
    </row>
    <row r="595" spans="1:8" ht="20.25" customHeight="1">
      <c r="A595" s="139"/>
      <c r="B595" s="170"/>
      <c r="C595" s="171"/>
      <c r="D595" s="172"/>
      <c r="E595" s="164"/>
      <c r="F595" s="171"/>
      <c r="G595" s="166">
        <f t="shared" si="4"/>
        <v>0</v>
      </c>
      <c r="H595" s="167"/>
    </row>
    <row r="596" spans="1:8" ht="23.25" customHeight="1">
      <c r="A596" s="146"/>
      <c r="B596" s="162"/>
      <c r="C596" s="165"/>
      <c r="D596" s="163"/>
      <c r="E596" s="164"/>
      <c r="F596" s="175"/>
      <c r="G596" s="182">
        <f t="shared" si="4"/>
        <v>0</v>
      </c>
      <c r="H596" s="167"/>
    </row>
    <row r="597" spans="1:8" ht="22.5" customHeight="1">
      <c r="A597" s="139"/>
      <c r="B597" s="170"/>
      <c r="C597" s="171"/>
      <c r="D597" s="172"/>
      <c r="E597" s="164"/>
      <c r="F597" s="171"/>
      <c r="G597" s="166">
        <f t="shared" si="4"/>
        <v>0</v>
      </c>
      <c r="H597" s="167"/>
    </row>
    <row r="598" spans="1:8" ht="22.5" customHeight="1">
      <c r="A598" s="146"/>
      <c r="B598" s="162"/>
      <c r="C598" s="165"/>
      <c r="D598" s="163"/>
      <c r="E598" s="164"/>
      <c r="F598" s="165"/>
      <c r="G598" s="166">
        <f t="shared" si="4"/>
        <v>0</v>
      </c>
      <c r="H598" s="167"/>
    </row>
    <row r="599" spans="1:8" ht="21" customHeight="1">
      <c r="A599" s="139"/>
      <c r="B599" s="170"/>
      <c r="C599" s="171"/>
      <c r="D599" s="172"/>
      <c r="E599" s="164"/>
      <c r="F599" s="171"/>
      <c r="G599" s="166">
        <f t="shared" si="4"/>
        <v>0</v>
      </c>
      <c r="H599" s="167"/>
    </row>
    <row r="600" spans="1:8" ht="19.5" customHeight="1">
      <c r="A600" s="146"/>
      <c r="B600" s="162"/>
      <c r="C600" s="165"/>
      <c r="D600" s="163"/>
      <c r="E600" s="164"/>
      <c r="F600" s="165"/>
      <c r="G600" s="166">
        <f t="shared" si="4"/>
        <v>0</v>
      </c>
      <c r="H600" s="167"/>
    </row>
    <row r="601" spans="1:8" ht="22.5" customHeight="1">
      <c r="A601" s="139"/>
      <c r="B601" s="170"/>
      <c r="C601" s="171"/>
      <c r="D601" s="172"/>
      <c r="E601" s="164"/>
      <c r="F601" s="171"/>
      <c r="G601" s="166">
        <f t="shared" si="4"/>
        <v>0</v>
      </c>
      <c r="H601" s="167"/>
    </row>
    <row r="602" spans="1:8" ht="22.5" customHeight="1">
      <c r="A602" s="146"/>
      <c r="B602" s="162"/>
      <c r="C602" s="165"/>
      <c r="D602" s="163"/>
      <c r="E602" s="164"/>
      <c r="F602" s="165"/>
      <c r="G602" s="166">
        <f t="shared" si="4"/>
        <v>0</v>
      </c>
      <c r="H602" s="167"/>
    </row>
    <row r="603" spans="1:8" ht="17.25" customHeight="1">
      <c r="A603" s="139"/>
      <c r="B603" s="170"/>
      <c r="C603" s="171"/>
      <c r="D603" s="172"/>
      <c r="E603" s="164"/>
      <c r="F603" s="171"/>
      <c r="G603" s="166">
        <f t="shared" si="4"/>
        <v>0</v>
      </c>
      <c r="H603" s="167"/>
    </row>
    <row r="604" spans="1:8" ht="18" customHeight="1">
      <c r="A604" s="146"/>
      <c r="B604" s="162"/>
      <c r="C604" s="165"/>
      <c r="D604" s="173"/>
      <c r="E604" s="174"/>
      <c r="F604" s="175"/>
      <c r="G604" s="166">
        <f t="shared" si="4"/>
        <v>0</v>
      </c>
      <c r="H604" s="167"/>
    </row>
    <row r="605" spans="1:8" ht="19.5" customHeight="1">
      <c r="A605" s="139"/>
      <c r="B605" s="170"/>
      <c r="C605" s="171"/>
      <c r="D605" s="172"/>
      <c r="E605" s="164"/>
      <c r="F605" s="171"/>
      <c r="G605" s="166">
        <f t="shared" si="4"/>
        <v>0</v>
      </c>
      <c r="H605" s="167"/>
    </row>
    <row r="606" spans="1:8" ht="18.75" customHeight="1">
      <c r="A606" s="146"/>
      <c r="B606" s="162"/>
      <c r="C606" s="186"/>
      <c r="D606" s="163"/>
      <c r="E606" s="164"/>
      <c r="F606" s="165"/>
      <c r="G606" s="166">
        <f t="shared" si="4"/>
        <v>0</v>
      </c>
      <c r="H606" s="167"/>
    </row>
    <row r="607" spans="1:8" ht="22.5" customHeight="1">
      <c r="A607" s="139"/>
      <c r="B607" s="170"/>
      <c r="C607" s="171"/>
      <c r="D607" s="172"/>
      <c r="E607" s="164"/>
      <c r="F607" s="171"/>
      <c r="G607" s="166">
        <f t="shared" si="4"/>
        <v>0</v>
      </c>
      <c r="H607" s="167"/>
    </row>
    <row r="608" spans="1:8" ht="22.5" customHeight="1">
      <c r="A608" s="146"/>
      <c r="B608" s="162"/>
      <c r="C608" s="165"/>
      <c r="D608" s="163"/>
      <c r="E608" s="164"/>
      <c r="F608" s="165"/>
      <c r="G608" s="166">
        <f t="shared" si="4"/>
        <v>0</v>
      </c>
      <c r="H608" s="167"/>
    </row>
    <row r="609" spans="1:8" ht="20.25" customHeight="1">
      <c r="A609" s="139"/>
      <c r="B609" s="170"/>
      <c r="C609" s="171"/>
      <c r="D609" s="172"/>
      <c r="E609" s="164"/>
      <c r="F609" s="171"/>
      <c r="G609" s="166">
        <f t="shared" si="4"/>
        <v>0</v>
      </c>
      <c r="H609" s="167"/>
    </row>
    <row r="610" spans="1:8" ht="21" customHeight="1">
      <c r="A610" s="146"/>
      <c r="B610" s="162"/>
      <c r="C610" s="165"/>
      <c r="D610" s="163"/>
      <c r="E610" s="164"/>
      <c r="F610" s="165"/>
      <c r="G610" s="166">
        <f t="shared" si="4"/>
        <v>0</v>
      </c>
      <c r="H610" s="167"/>
    </row>
    <row r="611" spans="1:8" ht="22.5" customHeight="1">
      <c r="A611" s="139"/>
      <c r="B611" s="170"/>
      <c r="C611" s="171"/>
      <c r="D611" s="172"/>
      <c r="E611" s="164"/>
      <c r="F611" s="171"/>
      <c r="G611" s="166">
        <f t="shared" si="4"/>
        <v>0</v>
      </c>
      <c r="H611" s="167"/>
    </row>
    <row r="612" spans="1:8" ht="22.5" customHeight="1">
      <c r="A612" s="146"/>
      <c r="B612" s="162"/>
      <c r="C612" s="165"/>
      <c r="D612" s="163"/>
      <c r="E612" s="164"/>
      <c r="F612" s="165"/>
      <c r="G612" s="166">
        <f t="shared" si="4"/>
        <v>0</v>
      </c>
      <c r="H612" s="167"/>
    </row>
    <row r="613" spans="1:8" ht="24" customHeight="1">
      <c r="A613" s="139"/>
      <c r="B613" s="170"/>
      <c r="C613" s="171"/>
      <c r="D613" s="172"/>
      <c r="E613" s="164"/>
      <c r="F613" s="171"/>
      <c r="G613" s="166">
        <f t="shared" si="4"/>
        <v>0</v>
      </c>
      <c r="H613" s="167"/>
    </row>
    <row r="614" spans="1:8" ht="22.5" customHeight="1">
      <c r="A614" s="146"/>
      <c r="B614" s="162"/>
      <c r="C614" s="165"/>
      <c r="D614" s="163"/>
      <c r="E614" s="164"/>
      <c r="F614" s="165"/>
      <c r="G614" s="166">
        <f t="shared" si="4"/>
        <v>0</v>
      </c>
      <c r="H614" s="167"/>
    </row>
    <row r="615" spans="1:8" ht="22.5" customHeight="1">
      <c r="A615" s="139"/>
      <c r="B615" s="170"/>
      <c r="C615" s="171"/>
      <c r="D615" s="172"/>
      <c r="E615" s="164"/>
      <c r="F615" s="171"/>
      <c r="G615" s="166">
        <f t="shared" si="4"/>
        <v>0</v>
      </c>
      <c r="H615" s="167"/>
    </row>
    <row r="616" spans="1:8" ht="22.5" customHeight="1">
      <c r="A616" s="146"/>
      <c r="B616" s="162"/>
      <c r="C616" s="165"/>
      <c r="D616" s="163"/>
      <c r="E616" s="164"/>
      <c r="F616" s="165"/>
      <c r="G616" s="166">
        <f t="shared" si="4"/>
        <v>0</v>
      </c>
      <c r="H616" s="167"/>
    </row>
    <row r="617" spans="1:8" ht="22.5" customHeight="1">
      <c r="A617" s="139"/>
      <c r="B617" s="170"/>
      <c r="C617" s="171"/>
      <c r="D617" s="172"/>
      <c r="E617" s="164"/>
      <c r="F617" s="171"/>
      <c r="G617" s="166">
        <f t="shared" si="4"/>
        <v>0</v>
      </c>
      <c r="H617" s="167"/>
    </row>
    <row r="618" spans="1:8" ht="22.5" customHeight="1">
      <c r="A618" s="146"/>
      <c r="B618" s="162"/>
      <c r="C618" s="165"/>
      <c r="D618" s="163"/>
      <c r="E618" s="164"/>
      <c r="F618" s="162"/>
      <c r="G618" s="180">
        <f t="shared" si="4"/>
        <v>0</v>
      </c>
      <c r="H618" s="167"/>
    </row>
    <row r="619" spans="1:8" ht="20.25" customHeight="1">
      <c r="A619" s="139"/>
      <c r="B619" s="179"/>
      <c r="C619" s="171"/>
      <c r="D619" s="172"/>
      <c r="E619" s="164"/>
      <c r="F619" s="170"/>
      <c r="G619" s="180">
        <f t="shared" si="4"/>
        <v>0</v>
      </c>
      <c r="H619" s="167"/>
    </row>
    <row r="620" spans="1:8" ht="18.75" customHeight="1">
      <c r="A620" s="146"/>
      <c r="B620" s="162"/>
      <c r="C620" s="165"/>
      <c r="D620" s="163"/>
      <c r="E620" s="164"/>
      <c r="F620" s="162"/>
      <c r="G620" s="180">
        <f t="shared" si="4"/>
        <v>0</v>
      </c>
      <c r="H620" s="167"/>
    </row>
    <row r="621" spans="1:8" ht="22.5" customHeight="1">
      <c r="A621" s="139"/>
      <c r="B621" s="170"/>
      <c r="C621" s="171"/>
      <c r="D621" s="172"/>
      <c r="E621" s="164"/>
      <c r="F621" s="171"/>
      <c r="G621" s="166">
        <f t="shared" si="4"/>
        <v>0</v>
      </c>
      <c r="H621" s="167"/>
    </row>
    <row r="622" spans="1:8" ht="18.75" customHeight="1">
      <c r="A622" s="146"/>
      <c r="B622" s="162"/>
      <c r="C622" s="165"/>
      <c r="D622" s="163"/>
      <c r="E622" s="164"/>
      <c r="F622" s="165"/>
      <c r="G622" s="166">
        <f t="shared" si="4"/>
        <v>0</v>
      </c>
      <c r="H622" s="167"/>
    </row>
    <row r="623" spans="1:8" ht="20.25" customHeight="1">
      <c r="A623" s="139"/>
      <c r="B623" s="170"/>
      <c r="C623" s="171"/>
      <c r="D623" s="172"/>
      <c r="E623" s="164"/>
      <c r="F623" s="178"/>
      <c r="G623" s="182">
        <f t="shared" si="4"/>
        <v>0</v>
      </c>
      <c r="H623" s="167"/>
    </row>
    <row r="624" spans="1:8" ht="21" customHeight="1">
      <c r="A624" s="146"/>
      <c r="B624" s="162"/>
      <c r="C624" s="165"/>
      <c r="D624" s="163"/>
      <c r="E624" s="164"/>
      <c r="F624" s="165"/>
      <c r="G624" s="166">
        <f t="shared" si="4"/>
        <v>0</v>
      </c>
      <c r="H624" s="167"/>
    </row>
    <row r="625" spans="1:8" ht="24" customHeight="1">
      <c r="A625" s="139"/>
      <c r="B625" s="170"/>
      <c r="C625" s="171"/>
      <c r="D625" s="172"/>
      <c r="E625" s="164"/>
      <c r="F625" s="171"/>
      <c r="G625" s="166">
        <f t="shared" si="4"/>
        <v>0</v>
      </c>
      <c r="H625" s="167"/>
    </row>
    <row r="626" spans="1:8" ht="24.75" customHeight="1">
      <c r="A626" s="146"/>
      <c r="B626" s="176"/>
      <c r="C626" s="165"/>
      <c r="D626" s="163"/>
      <c r="E626" s="164"/>
      <c r="F626" s="165"/>
      <c r="G626" s="166">
        <f t="shared" si="4"/>
        <v>0</v>
      </c>
      <c r="H626" s="167"/>
    </row>
    <row r="627" spans="1:8" ht="23.25" customHeight="1">
      <c r="A627" s="139"/>
      <c r="B627" s="170"/>
      <c r="C627" s="171"/>
      <c r="D627" s="172"/>
      <c r="E627" s="164"/>
      <c r="F627" s="171"/>
      <c r="G627" s="166">
        <f t="shared" si="4"/>
        <v>0</v>
      </c>
      <c r="H627" s="167"/>
    </row>
    <row r="628" spans="1:8" ht="24" customHeight="1">
      <c r="A628" s="146"/>
      <c r="B628" s="162"/>
      <c r="C628" s="165"/>
      <c r="D628" s="163"/>
      <c r="E628" s="164"/>
      <c r="F628" s="165"/>
      <c r="G628" s="166">
        <f t="shared" si="4"/>
        <v>0</v>
      </c>
      <c r="H628" s="167"/>
    </row>
    <row r="629" spans="1:8" ht="22.5" customHeight="1">
      <c r="A629" s="139"/>
      <c r="B629" s="170"/>
      <c r="C629" s="171"/>
      <c r="D629" s="172"/>
      <c r="E629" s="164"/>
      <c r="F629" s="171"/>
      <c r="G629" s="166">
        <f t="shared" si="4"/>
        <v>0</v>
      </c>
      <c r="H629" s="167"/>
    </row>
    <row r="630" spans="1:8" ht="22.5" customHeight="1">
      <c r="A630" s="146"/>
      <c r="B630" s="162"/>
      <c r="C630" s="165"/>
      <c r="D630" s="163"/>
      <c r="E630" s="164"/>
      <c r="F630" s="165"/>
      <c r="G630" s="166">
        <f t="shared" si="4"/>
        <v>0</v>
      </c>
      <c r="H630" s="167"/>
    </row>
    <row r="631" spans="1:8" ht="21" customHeight="1">
      <c r="A631" s="139"/>
      <c r="B631" s="170"/>
      <c r="C631" s="171"/>
      <c r="D631" s="172"/>
      <c r="E631" s="164"/>
      <c r="F631" s="171"/>
      <c r="G631" s="166">
        <f t="shared" si="4"/>
        <v>0</v>
      </c>
      <c r="H631" s="167"/>
    </row>
    <row r="632" spans="1:8" ht="20.25" customHeight="1">
      <c r="A632" s="146"/>
      <c r="B632" s="162"/>
      <c r="C632" s="165"/>
      <c r="D632" s="163"/>
      <c r="E632" s="164"/>
      <c r="F632" s="165"/>
      <c r="G632" s="166">
        <f t="shared" si="4"/>
        <v>0</v>
      </c>
      <c r="H632" s="167"/>
    </row>
    <row r="633" spans="1:8" ht="20.25" customHeight="1">
      <c r="A633" s="139"/>
      <c r="B633" s="170"/>
      <c r="C633" s="171"/>
      <c r="D633" s="172"/>
      <c r="E633" s="164"/>
      <c r="F633" s="171"/>
      <c r="G633" s="166">
        <f t="shared" si="4"/>
        <v>0</v>
      </c>
      <c r="H633" s="167"/>
    </row>
    <row r="634" spans="1:8" ht="22.5" customHeight="1">
      <c r="A634" s="146"/>
      <c r="B634" s="162"/>
      <c r="C634" s="165"/>
      <c r="D634" s="163"/>
      <c r="E634" s="164"/>
      <c r="F634" s="165"/>
      <c r="G634" s="166">
        <f t="shared" si="4"/>
        <v>0</v>
      </c>
      <c r="H634" s="167"/>
    </row>
    <row r="635" spans="1:8" ht="22.5" customHeight="1">
      <c r="A635" s="139"/>
      <c r="B635" s="170"/>
      <c r="C635" s="171"/>
      <c r="D635" s="172"/>
      <c r="E635" s="164"/>
      <c r="F635" s="171"/>
      <c r="G635" s="166">
        <f t="shared" si="4"/>
        <v>0</v>
      </c>
      <c r="H635" s="167"/>
    </row>
    <row r="636" spans="1:8" ht="22.5" customHeight="1">
      <c r="A636" s="146"/>
      <c r="B636" s="162"/>
      <c r="C636" s="165"/>
      <c r="D636" s="163"/>
      <c r="E636" s="164"/>
      <c r="F636" s="165"/>
      <c r="G636" s="166">
        <f t="shared" si="4"/>
        <v>0</v>
      </c>
      <c r="H636" s="167"/>
    </row>
    <row r="637" spans="1:8" ht="26.25" customHeight="1">
      <c r="A637" s="139"/>
      <c r="B637" s="170"/>
      <c r="C637" s="171"/>
      <c r="D637" s="172"/>
      <c r="E637" s="164"/>
      <c r="F637" s="171"/>
      <c r="G637" s="166">
        <f t="shared" si="4"/>
        <v>0</v>
      </c>
      <c r="H637" s="167"/>
    </row>
    <row r="638" spans="1:8" ht="22.5" customHeight="1">
      <c r="A638" s="146"/>
      <c r="B638" s="162"/>
      <c r="C638" s="165"/>
      <c r="D638" s="163"/>
      <c r="E638" s="164"/>
      <c r="F638" s="165"/>
      <c r="G638" s="166">
        <f t="shared" si="4"/>
        <v>0</v>
      </c>
      <c r="H638" s="167"/>
    </row>
    <row r="639" spans="1:8" ht="18.75" customHeight="1">
      <c r="A639" s="139"/>
      <c r="B639" s="170"/>
      <c r="C639" s="171"/>
      <c r="D639" s="172"/>
      <c r="E639" s="164"/>
      <c r="F639" s="171"/>
      <c r="G639" s="166">
        <f t="shared" si="4"/>
        <v>0</v>
      </c>
      <c r="H639" s="167"/>
    </row>
    <row r="640" spans="1:8" ht="19.5" customHeight="1">
      <c r="A640" s="146"/>
      <c r="B640" s="162"/>
      <c r="C640" s="165"/>
      <c r="D640" s="163"/>
      <c r="E640" s="164"/>
      <c r="F640" s="165"/>
      <c r="G640" s="166">
        <f t="shared" si="4"/>
        <v>0</v>
      </c>
      <c r="H640" s="167"/>
    </row>
    <row r="641" spans="1:8" ht="18.75" customHeight="1">
      <c r="A641" s="139"/>
      <c r="B641" s="170"/>
      <c r="C641" s="171"/>
      <c r="D641" s="172"/>
      <c r="E641" s="164"/>
      <c r="F641" s="171"/>
      <c r="G641" s="166">
        <f t="shared" si="4"/>
        <v>0</v>
      </c>
      <c r="H641" s="167"/>
    </row>
    <row r="642" spans="1:8" ht="18.75" customHeight="1">
      <c r="A642" s="146"/>
      <c r="B642" s="162"/>
      <c r="C642" s="165"/>
      <c r="D642" s="163"/>
      <c r="E642" s="164"/>
      <c r="F642" s="165"/>
      <c r="G642" s="166">
        <f t="shared" si="4"/>
        <v>0</v>
      </c>
      <c r="H642" s="167"/>
    </row>
    <row r="643" spans="1:8" ht="21.75" customHeight="1">
      <c r="A643" s="139"/>
      <c r="B643" s="170"/>
      <c r="C643" s="171"/>
      <c r="D643" s="172"/>
      <c r="E643" s="164"/>
      <c r="F643" s="171"/>
      <c r="G643" s="166">
        <f t="shared" si="4"/>
        <v>0</v>
      </c>
      <c r="H643" s="167"/>
    </row>
    <row r="644" spans="1:8" ht="21" customHeight="1">
      <c r="A644" s="146"/>
      <c r="B644" s="162"/>
      <c r="C644" s="186"/>
      <c r="D644" s="163"/>
      <c r="E644" s="164"/>
      <c r="F644" s="165"/>
      <c r="G644" s="166">
        <f t="shared" si="4"/>
        <v>0</v>
      </c>
      <c r="H644" s="167"/>
    </row>
    <row r="645" spans="1:8" ht="20.25" customHeight="1">
      <c r="A645" s="139"/>
      <c r="B645" s="170"/>
      <c r="C645" s="171"/>
      <c r="D645" s="172"/>
      <c r="E645" s="164"/>
      <c r="F645" s="171"/>
      <c r="G645" s="166">
        <f t="shared" si="4"/>
        <v>0</v>
      </c>
      <c r="H645" s="167"/>
    </row>
    <row r="646" spans="1:8" ht="21" customHeight="1">
      <c r="A646" s="146"/>
      <c r="B646" s="162"/>
      <c r="C646" s="165"/>
      <c r="D646" s="173"/>
      <c r="E646" s="174"/>
      <c r="F646" s="175"/>
      <c r="G646" s="166">
        <f t="shared" si="4"/>
        <v>0</v>
      </c>
      <c r="H646" s="167"/>
    </row>
    <row r="647" spans="1:8" ht="20.25" customHeight="1">
      <c r="A647" s="139"/>
      <c r="B647" s="170"/>
      <c r="C647" s="171"/>
      <c r="D647" s="172"/>
      <c r="E647" s="164"/>
      <c r="F647" s="171"/>
      <c r="G647" s="166">
        <f t="shared" si="4"/>
        <v>0</v>
      </c>
      <c r="H647" s="167"/>
    </row>
    <row r="648" spans="1:8" ht="22.5" customHeight="1">
      <c r="A648" s="146"/>
      <c r="B648" s="162"/>
      <c r="C648" s="165"/>
      <c r="D648" s="163"/>
      <c r="E648" s="164"/>
      <c r="F648" s="165"/>
      <c r="G648" s="166">
        <f t="shared" si="4"/>
        <v>0</v>
      </c>
      <c r="H648" s="167"/>
    </row>
    <row r="649" spans="1:8" ht="22.5" customHeight="1">
      <c r="A649" s="139"/>
      <c r="B649" s="170"/>
      <c r="C649" s="171"/>
      <c r="D649" s="172"/>
      <c r="E649" s="164"/>
      <c r="F649" s="170"/>
      <c r="G649" s="180">
        <f t="shared" si="4"/>
        <v>0</v>
      </c>
      <c r="H649" s="167"/>
    </row>
    <row r="650" spans="1:8" ht="22.5" customHeight="1">
      <c r="A650" s="146"/>
      <c r="B650" s="162"/>
      <c r="C650" s="186"/>
      <c r="D650" s="163"/>
      <c r="E650" s="164"/>
      <c r="F650" s="165"/>
      <c r="G650" s="166">
        <f t="shared" si="4"/>
        <v>0</v>
      </c>
      <c r="H650" s="167"/>
    </row>
    <row r="651" spans="1:8" ht="22.5" customHeight="1">
      <c r="A651" s="139"/>
      <c r="B651" s="170"/>
      <c r="C651" s="171"/>
      <c r="D651" s="172"/>
      <c r="E651" s="164"/>
      <c r="F651" s="171"/>
      <c r="G651" s="166">
        <f t="shared" si="4"/>
        <v>0</v>
      </c>
      <c r="H651" s="167"/>
    </row>
    <row r="652" spans="1:8" ht="23.25" customHeight="1">
      <c r="A652" s="146"/>
      <c r="B652" s="162"/>
      <c r="C652" s="165"/>
      <c r="D652" s="163"/>
      <c r="E652" s="164"/>
      <c r="F652" s="165"/>
      <c r="G652" s="166">
        <f t="shared" si="4"/>
        <v>0</v>
      </c>
      <c r="H652" s="167"/>
    </row>
    <row r="653" spans="1:8" ht="20.25" customHeight="1">
      <c r="A653" s="139"/>
      <c r="B653" s="170"/>
      <c r="C653" s="171"/>
      <c r="D653" s="172"/>
      <c r="E653" s="164"/>
      <c r="F653" s="171"/>
      <c r="G653" s="166">
        <f t="shared" si="4"/>
        <v>0</v>
      </c>
      <c r="H653" s="167"/>
    </row>
    <row r="654" spans="1:8" ht="22.5" customHeight="1">
      <c r="A654" s="146"/>
      <c r="B654" s="162"/>
      <c r="C654" s="165"/>
      <c r="D654" s="163"/>
      <c r="E654" s="164"/>
      <c r="F654" s="165"/>
      <c r="G654" s="166">
        <f t="shared" si="4"/>
        <v>0</v>
      </c>
      <c r="H654" s="167"/>
    </row>
    <row r="655" spans="1:8" ht="21" customHeight="1">
      <c r="A655" s="139"/>
      <c r="B655" s="170"/>
      <c r="C655" s="171"/>
      <c r="D655" s="172"/>
      <c r="E655" s="164"/>
      <c r="F655" s="178"/>
      <c r="G655" s="182">
        <f t="shared" si="4"/>
        <v>0</v>
      </c>
      <c r="H655" s="167"/>
    </row>
    <row r="656" spans="1:8" ht="26.25" customHeight="1">
      <c r="A656" s="146"/>
      <c r="B656" s="162"/>
      <c r="C656" s="165"/>
      <c r="D656" s="163"/>
      <c r="E656" s="164"/>
      <c r="F656" s="165"/>
      <c r="G656" s="166">
        <f t="shared" si="4"/>
        <v>0</v>
      </c>
      <c r="H656" s="167"/>
    </row>
    <row r="657" spans="1:8" ht="22.5" customHeight="1">
      <c r="A657" s="139"/>
      <c r="B657" s="170"/>
      <c r="C657" s="171"/>
      <c r="D657" s="177"/>
      <c r="E657" s="174"/>
      <c r="F657" s="178"/>
      <c r="G657" s="166">
        <f t="shared" si="4"/>
        <v>0</v>
      </c>
      <c r="H657" s="167"/>
    </row>
    <row r="658" spans="1:8" ht="20.25" customHeight="1">
      <c r="A658" s="146"/>
      <c r="B658" s="162"/>
      <c r="C658" s="165"/>
      <c r="D658" s="163"/>
      <c r="E658" s="164"/>
      <c r="F658" s="165"/>
      <c r="G658" s="166">
        <f t="shared" si="4"/>
        <v>0</v>
      </c>
      <c r="H658" s="167"/>
    </row>
    <row r="659" spans="1:8" ht="21.75" customHeight="1">
      <c r="A659" s="139"/>
      <c r="B659" s="170"/>
      <c r="C659" s="171"/>
      <c r="D659" s="172"/>
      <c r="E659" s="164"/>
      <c r="F659" s="171"/>
      <c r="G659" s="166">
        <f t="shared" si="4"/>
        <v>0</v>
      </c>
      <c r="H659" s="167"/>
    </row>
    <row r="660" spans="1:8" ht="22.5" customHeight="1">
      <c r="A660" s="146"/>
      <c r="B660" s="162"/>
      <c r="C660" s="165"/>
      <c r="D660" s="163"/>
      <c r="E660" s="164"/>
      <c r="F660" s="165"/>
      <c r="G660" s="166">
        <f t="shared" si="4"/>
        <v>0</v>
      </c>
      <c r="H660" s="167"/>
    </row>
    <row r="661" spans="1:8" ht="20.25" customHeight="1">
      <c r="A661" s="139"/>
      <c r="B661" s="170"/>
      <c r="C661" s="171"/>
      <c r="D661" s="172"/>
      <c r="E661" s="164"/>
      <c r="F661" s="171"/>
      <c r="G661" s="166">
        <f t="shared" si="4"/>
        <v>0</v>
      </c>
      <c r="H661" s="167"/>
    </row>
    <row r="662" spans="1:8" ht="21" customHeight="1">
      <c r="A662" s="146"/>
      <c r="B662" s="162"/>
      <c r="C662" s="165"/>
      <c r="D662" s="163"/>
      <c r="E662" s="164"/>
      <c r="F662" s="165"/>
      <c r="G662" s="166">
        <f t="shared" si="4"/>
        <v>0</v>
      </c>
      <c r="H662" s="167"/>
    </row>
    <row r="663" spans="1:8" ht="22.5" customHeight="1">
      <c r="A663" s="139"/>
      <c r="B663" s="170"/>
      <c r="C663" s="171"/>
      <c r="D663" s="172"/>
      <c r="E663" s="164"/>
      <c r="F663" s="171"/>
      <c r="G663" s="166">
        <f t="shared" si="4"/>
        <v>0</v>
      </c>
      <c r="H663" s="167"/>
    </row>
    <row r="664" spans="1:8" ht="19.5" customHeight="1">
      <c r="A664" s="146"/>
      <c r="B664" s="162"/>
      <c r="C664" s="165"/>
      <c r="D664" s="163"/>
      <c r="E664" s="164"/>
      <c r="F664" s="165"/>
      <c r="G664" s="166">
        <f t="shared" si="4"/>
        <v>0</v>
      </c>
      <c r="H664" s="167"/>
    </row>
    <row r="665" spans="1:8" ht="24" customHeight="1">
      <c r="A665" s="139"/>
      <c r="B665" s="170"/>
      <c r="C665" s="181"/>
      <c r="D665" s="172"/>
      <c r="E665" s="164"/>
      <c r="F665" s="171"/>
      <c r="G665" s="166">
        <f t="shared" si="4"/>
        <v>0</v>
      </c>
      <c r="H665" s="167"/>
    </row>
    <row r="666" spans="1:8" ht="19.5" customHeight="1">
      <c r="A666" s="146"/>
      <c r="B666" s="162"/>
      <c r="C666" s="165"/>
      <c r="D666" s="163"/>
      <c r="E666" s="164"/>
      <c r="F666" s="165"/>
      <c r="G666" s="166">
        <f t="shared" si="4"/>
        <v>0</v>
      </c>
      <c r="H666" s="167"/>
    </row>
    <row r="667" spans="1:8" ht="20.25" customHeight="1">
      <c r="A667" s="139"/>
      <c r="B667" s="170"/>
      <c r="C667" s="171"/>
      <c r="D667" s="172"/>
      <c r="E667" s="164"/>
      <c r="F667" s="178"/>
      <c r="G667" s="182">
        <f t="shared" si="4"/>
        <v>0</v>
      </c>
      <c r="H667" s="167"/>
    </row>
    <row r="668" spans="1:8" ht="19.5" customHeight="1">
      <c r="A668" s="146"/>
      <c r="B668" s="162"/>
      <c r="C668" s="165"/>
      <c r="D668" s="163"/>
      <c r="E668" s="164"/>
      <c r="F668" s="165"/>
      <c r="G668" s="166">
        <f t="shared" si="4"/>
        <v>0</v>
      </c>
      <c r="H668" s="167"/>
    </row>
    <row r="669" spans="1:8" ht="24" customHeight="1">
      <c r="A669" s="139"/>
      <c r="B669" s="179"/>
      <c r="C669" s="171"/>
      <c r="D669" s="172"/>
      <c r="E669" s="164"/>
      <c r="F669" s="171"/>
      <c r="G669" s="166">
        <f t="shared" si="4"/>
        <v>0</v>
      </c>
      <c r="H669" s="167"/>
    </row>
    <row r="670" spans="1:8" ht="21.75" customHeight="1">
      <c r="A670" s="146"/>
      <c r="B670" s="162"/>
      <c r="C670" s="165"/>
      <c r="D670" s="163"/>
      <c r="E670" s="164"/>
      <c r="F670" s="165"/>
      <c r="G670" s="166">
        <f t="shared" si="4"/>
        <v>0</v>
      </c>
      <c r="H670" s="167"/>
    </row>
    <row r="671" spans="1:8" ht="20.25" customHeight="1">
      <c r="A671" s="139"/>
      <c r="B671" s="170"/>
      <c r="C671" s="171"/>
      <c r="D671" s="172"/>
      <c r="E671" s="164"/>
      <c r="F671" s="171"/>
      <c r="G671" s="166">
        <f t="shared" si="4"/>
        <v>0</v>
      </c>
      <c r="H671" s="167"/>
    </row>
    <row r="672" spans="1:8" ht="22.5" customHeight="1">
      <c r="A672" s="146"/>
      <c r="B672" s="162"/>
      <c r="C672" s="165"/>
      <c r="D672" s="163"/>
      <c r="E672" s="164"/>
      <c r="F672" s="165"/>
      <c r="G672" s="166">
        <f t="shared" si="4"/>
        <v>0</v>
      </c>
      <c r="H672" s="167"/>
    </row>
    <row r="673" spans="1:8" ht="22.5" customHeight="1">
      <c r="A673" s="139"/>
      <c r="B673" s="170"/>
      <c r="C673" s="171"/>
      <c r="D673" s="177"/>
      <c r="E673" s="174"/>
      <c r="F673" s="178"/>
      <c r="G673" s="166">
        <f t="shared" si="4"/>
        <v>0</v>
      </c>
      <c r="H673" s="167"/>
    </row>
    <row r="674" spans="1:8" ht="23.25" customHeight="1">
      <c r="A674" s="146"/>
      <c r="B674" s="162"/>
      <c r="C674" s="165"/>
      <c r="D674" s="163"/>
      <c r="E674" s="164"/>
      <c r="F674" s="165"/>
      <c r="G674" s="166">
        <f t="shared" si="4"/>
        <v>0</v>
      </c>
      <c r="H674" s="167"/>
    </row>
    <row r="675" spans="1:8" ht="20.25" customHeight="1">
      <c r="A675" s="139"/>
      <c r="B675" s="170"/>
      <c r="C675" s="171"/>
      <c r="D675" s="172"/>
      <c r="E675" s="164"/>
      <c r="F675" s="171"/>
      <c r="G675" s="166">
        <f t="shared" si="4"/>
        <v>0</v>
      </c>
      <c r="H675" s="167"/>
    </row>
    <row r="676" spans="1:8" ht="24" customHeight="1">
      <c r="A676" s="146"/>
      <c r="B676" s="162"/>
      <c r="C676" s="165"/>
      <c r="D676" s="163"/>
      <c r="E676" s="164"/>
      <c r="F676" s="165"/>
      <c r="G676" s="166">
        <f t="shared" si="4"/>
        <v>0</v>
      </c>
      <c r="H676" s="167"/>
    </row>
    <row r="677" spans="1:8" ht="20.25" customHeight="1">
      <c r="A677" s="139"/>
      <c r="B677" s="170"/>
      <c r="C677" s="171"/>
      <c r="D677" s="172"/>
      <c r="E677" s="164"/>
      <c r="F677" s="171"/>
      <c r="G677" s="166">
        <f t="shared" si="4"/>
        <v>0</v>
      </c>
      <c r="H677" s="167"/>
    </row>
    <row r="678" spans="1:8" ht="22.5" customHeight="1">
      <c r="A678" s="146"/>
      <c r="B678" s="162"/>
      <c r="C678" s="165"/>
      <c r="D678" s="163"/>
      <c r="E678" s="164"/>
      <c r="F678" s="165"/>
      <c r="G678" s="166">
        <f t="shared" si="4"/>
        <v>0</v>
      </c>
      <c r="H678" s="167"/>
    </row>
    <row r="679" spans="1:8" ht="23.25" customHeight="1">
      <c r="A679" s="139"/>
      <c r="B679" s="170"/>
      <c r="C679" s="171"/>
      <c r="D679" s="172"/>
      <c r="E679" s="164"/>
      <c r="F679" s="171"/>
      <c r="G679" s="166">
        <f t="shared" si="4"/>
        <v>0</v>
      </c>
      <c r="H679" s="167"/>
    </row>
    <row r="680" spans="1:8" ht="22.5" customHeight="1">
      <c r="A680" s="146"/>
      <c r="B680" s="162"/>
      <c r="C680" s="165"/>
      <c r="D680" s="163"/>
      <c r="E680" s="164"/>
      <c r="F680" s="162"/>
      <c r="G680" s="180">
        <f t="shared" si="4"/>
        <v>0</v>
      </c>
      <c r="H680" s="167"/>
    </row>
    <row r="681" spans="1:8" ht="22.5" customHeight="1">
      <c r="A681" s="139"/>
      <c r="B681" s="170"/>
      <c r="C681" s="171"/>
      <c r="D681" s="172"/>
      <c r="E681" s="164"/>
      <c r="F681" s="171"/>
      <c r="G681" s="166">
        <f t="shared" si="4"/>
        <v>0</v>
      </c>
      <c r="H681" s="167"/>
    </row>
    <row r="682" spans="1:8" ht="21.75" customHeight="1">
      <c r="A682" s="146"/>
      <c r="B682" s="162"/>
      <c r="C682" s="165"/>
      <c r="D682" s="163"/>
      <c r="E682" s="164"/>
      <c r="F682" s="165"/>
      <c r="G682" s="166">
        <f t="shared" si="4"/>
        <v>0</v>
      </c>
      <c r="H682" s="167"/>
    </row>
    <row r="683" spans="1:8" ht="22.5" customHeight="1">
      <c r="A683" s="139"/>
      <c r="B683" s="170"/>
      <c r="C683" s="171"/>
      <c r="D683" s="172"/>
      <c r="E683" s="164"/>
      <c r="F683" s="171"/>
      <c r="G683" s="166">
        <f t="shared" si="4"/>
        <v>0</v>
      </c>
      <c r="H683" s="167"/>
    </row>
    <row r="684" spans="1:8" ht="22.5" customHeight="1">
      <c r="A684" s="146"/>
      <c r="B684" s="162"/>
      <c r="C684" s="165"/>
      <c r="D684" s="163"/>
      <c r="E684" s="164"/>
      <c r="F684" s="165"/>
      <c r="G684" s="166">
        <f t="shared" si="4"/>
        <v>0</v>
      </c>
      <c r="H684" s="167"/>
    </row>
    <row r="685" spans="1:8" ht="20.25" customHeight="1">
      <c r="A685" s="139"/>
      <c r="B685" s="170"/>
      <c r="C685" s="171"/>
      <c r="D685" s="172"/>
      <c r="E685" s="164"/>
      <c r="F685" s="171"/>
      <c r="G685" s="166">
        <f t="shared" si="4"/>
        <v>0</v>
      </c>
      <c r="H685" s="167"/>
    </row>
    <row r="686" spans="1:8" ht="22.5" customHeight="1">
      <c r="A686" s="146"/>
      <c r="B686" s="162"/>
      <c r="C686" s="165"/>
      <c r="D686" s="163"/>
      <c r="E686" s="164"/>
      <c r="F686" s="165"/>
      <c r="G686" s="166">
        <f t="shared" si="4"/>
        <v>0</v>
      </c>
      <c r="H686" s="167"/>
    </row>
    <row r="687" spans="1:8" ht="22.5" customHeight="1">
      <c r="A687" s="139"/>
      <c r="B687" s="170"/>
      <c r="C687" s="171"/>
      <c r="D687" s="172"/>
      <c r="E687" s="164"/>
      <c r="F687" s="178"/>
      <c r="G687" s="182">
        <f t="shared" si="4"/>
        <v>0</v>
      </c>
      <c r="H687" s="167"/>
    </row>
    <row r="688" spans="1:8" ht="22.5" customHeight="1">
      <c r="A688" s="146"/>
      <c r="B688" s="162"/>
      <c r="C688" s="165"/>
      <c r="D688" s="163"/>
      <c r="E688" s="164"/>
      <c r="F688" s="165"/>
      <c r="G688" s="166">
        <f t="shared" si="4"/>
        <v>0</v>
      </c>
      <c r="H688" s="167"/>
    </row>
    <row r="689" spans="1:8" ht="21.75" customHeight="1">
      <c r="A689" s="139"/>
      <c r="B689" s="170"/>
      <c r="C689" s="171"/>
      <c r="D689" s="172"/>
      <c r="E689" s="164"/>
      <c r="F689" s="171"/>
      <c r="G689" s="166">
        <f t="shared" si="4"/>
        <v>0</v>
      </c>
      <c r="H689" s="167"/>
    </row>
    <row r="690" spans="1:8" ht="22.5" customHeight="1">
      <c r="A690" s="146"/>
      <c r="B690" s="162"/>
      <c r="C690" s="165"/>
      <c r="D690" s="163"/>
      <c r="E690" s="164"/>
      <c r="F690" s="165"/>
      <c r="G690" s="166">
        <f t="shared" si="4"/>
        <v>0</v>
      </c>
      <c r="H690" s="167"/>
    </row>
    <row r="691" spans="1:8" ht="19.5" customHeight="1">
      <c r="A691" s="139"/>
      <c r="B691" s="170"/>
      <c r="C691" s="171"/>
      <c r="D691" s="172"/>
      <c r="E691" s="164"/>
      <c r="F691" s="171"/>
      <c r="G691" s="166">
        <f t="shared" si="4"/>
        <v>0</v>
      </c>
      <c r="H691" s="167"/>
    </row>
    <row r="692" spans="1:8" ht="22.5" customHeight="1">
      <c r="A692" s="146"/>
      <c r="B692" s="162"/>
      <c r="C692" s="165"/>
      <c r="D692" s="173"/>
      <c r="E692" s="174"/>
      <c r="F692" s="175"/>
      <c r="G692" s="166">
        <f t="shared" si="4"/>
        <v>0</v>
      </c>
      <c r="H692" s="167"/>
    </row>
    <row r="693" spans="1:8" ht="23.25" customHeight="1">
      <c r="A693" s="139"/>
      <c r="B693" s="170"/>
      <c r="C693" s="171"/>
      <c r="D693" s="172"/>
      <c r="E693" s="164"/>
      <c r="F693" s="171"/>
      <c r="G693" s="166">
        <f t="shared" si="4"/>
        <v>0</v>
      </c>
      <c r="H693" s="167"/>
    </row>
    <row r="694" spans="1:8" ht="21" customHeight="1">
      <c r="A694" s="146"/>
      <c r="B694" s="162"/>
      <c r="C694" s="165"/>
      <c r="D694" s="163"/>
      <c r="E694" s="164"/>
      <c r="F694" s="165"/>
      <c r="G694" s="166">
        <f t="shared" si="4"/>
        <v>0</v>
      </c>
      <c r="H694" s="167"/>
    </row>
    <row r="695" spans="1:8" ht="22.5" customHeight="1">
      <c r="A695" s="139"/>
      <c r="B695" s="170"/>
      <c r="C695" s="171"/>
      <c r="D695" s="172"/>
      <c r="E695" s="164"/>
      <c r="F695" s="170"/>
      <c r="G695" s="180">
        <f t="shared" si="4"/>
        <v>0</v>
      </c>
      <c r="H695" s="167"/>
    </row>
    <row r="696" spans="1:8" ht="21.75" customHeight="1">
      <c r="A696" s="146"/>
      <c r="B696" s="162"/>
      <c r="C696" s="165"/>
      <c r="D696" s="163"/>
      <c r="E696" s="164"/>
      <c r="F696" s="165"/>
      <c r="G696" s="166">
        <f t="shared" si="4"/>
        <v>0</v>
      </c>
      <c r="H696" s="167"/>
    </row>
    <row r="697" spans="1:8" ht="21" customHeight="1">
      <c r="A697" s="139"/>
      <c r="B697" s="170"/>
      <c r="C697" s="171"/>
      <c r="D697" s="172"/>
      <c r="E697" s="164"/>
      <c r="F697" s="171"/>
      <c r="G697" s="166">
        <f t="shared" si="4"/>
        <v>0</v>
      </c>
      <c r="H697" s="167"/>
    </row>
    <row r="698" spans="1:8" ht="21" customHeight="1">
      <c r="A698" s="146"/>
      <c r="B698" s="162"/>
      <c r="C698" s="165"/>
      <c r="D698" s="163"/>
      <c r="E698" s="164"/>
      <c r="F698" s="165"/>
      <c r="G698" s="166">
        <f t="shared" si="4"/>
        <v>0</v>
      </c>
      <c r="H698" s="167"/>
    </row>
    <row r="699" spans="1:8" ht="22.5" customHeight="1">
      <c r="A699" s="139"/>
      <c r="B699" s="170"/>
      <c r="C699" s="171"/>
      <c r="D699" s="172"/>
      <c r="E699" s="164"/>
      <c r="F699" s="171"/>
      <c r="G699" s="166">
        <f t="shared" si="4"/>
        <v>0</v>
      </c>
      <c r="H699" s="167"/>
    </row>
    <row r="700" spans="1:8" ht="22.5" customHeight="1">
      <c r="A700" s="146"/>
      <c r="B700" s="162"/>
      <c r="C700" s="165"/>
      <c r="D700" s="163"/>
      <c r="E700" s="164"/>
      <c r="F700" s="175"/>
      <c r="G700" s="182">
        <f t="shared" si="4"/>
        <v>0</v>
      </c>
      <c r="H700" s="167"/>
    </row>
    <row r="701" spans="1:8" ht="22.5" customHeight="1">
      <c r="A701" s="139"/>
      <c r="B701" s="170"/>
      <c r="C701" s="171"/>
      <c r="D701" s="172"/>
      <c r="E701" s="164"/>
      <c r="F701" s="171"/>
      <c r="G701" s="166">
        <f t="shared" si="4"/>
        <v>0</v>
      </c>
      <c r="H701" s="167"/>
    </row>
    <row r="702" spans="1:8" ht="22.5" customHeight="1">
      <c r="A702" s="146"/>
      <c r="B702" s="162"/>
      <c r="C702" s="165"/>
      <c r="D702" s="163"/>
      <c r="E702" s="164"/>
      <c r="F702" s="165"/>
      <c r="G702" s="166">
        <f t="shared" si="4"/>
        <v>0</v>
      </c>
      <c r="H702" s="167"/>
    </row>
    <row r="703" spans="1:8" ht="22.5" customHeight="1">
      <c r="A703" s="139"/>
      <c r="B703" s="170"/>
      <c r="C703" s="171"/>
      <c r="D703" s="177"/>
      <c r="E703" s="174"/>
      <c r="F703" s="178"/>
      <c r="G703" s="166">
        <f t="shared" si="4"/>
        <v>0</v>
      </c>
      <c r="H703" s="167"/>
    </row>
    <row r="704" spans="1:8" ht="22.5" customHeight="1">
      <c r="A704" s="146"/>
      <c r="B704" s="162"/>
      <c r="C704" s="165"/>
      <c r="D704" s="163"/>
      <c r="E704" s="164"/>
      <c r="F704" s="165"/>
      <c r="G704" s="166">
        <f t="shared" si="4"/>
        <v>0</v>
      </c>
      <c r="H704" s="167"/>
    </row>
    <row r="705" spans="1:8" ht="22.5" customHeight="1">
      <c r="A705" s="139"/>
      <c r="B705" s="170"/>
      <c r="C705" s="171"/>
      <c r="D705" s="172"/>
      <c r="E705" s="164"/>
      <c r="F705" s="171"/>
      <c r="G705" s="166">
        <f t="shared" si="4"/>
        <v>0</v>
      </c>
      <c r="H705" s="167"/>
    </row>
    <row r="706" spans="1:8" ht="22.5" customHeight="1">
      <c r="A706" s="146"/>
      <c r="B706" s="162"/>
      <c r="C706" s="165"/>
      <c r="D706" s="163"/>
      <c r="E706" s="164"/>
      <c r="F706" s="165"/>
      <c r="G706" s="166">
        <f t="shared" si="4"/>
        <v>0</v>
      </c>
      <c r="H706" s="167"/>
    </row>
    <row r="707" spans="1:8" ht="22.5" customHeight="1">
      <c r="A707" s="139"/>
      <c r="B707" s="170"/>
      <c r="C707" s="171"/>
      <c r="D707" s="172"/>
      <c r="E707" s="164"/>
      <c r="F707" s="171"/>
      <c r="G707" s="166">
        <f t="shared" si="4"/>
        <v>0</v>
      </c>
      <c r="H707" s="167"/>
    </row>
    <row r="708" spans="1:8" ht="22.5" customHeight="1">
      <c r="A708" s="146"/>
      <c r="B708" s="162"/>
      <c r="C708" s="165"/>
      <c r="D708" s="163"/>
      <c r="E708" s="164"/>
      <c r="F708" s="165"/>
      <c r="G708" s="166">
        <f t="shared" si="4"/>
        <v>0</v>
      </c>
      <c r="H708" s="167"/>
    </row>
    <row r="709" spans="1:8" ht="22.5" customHeight="1">
      <c r="A709" s="139"/>
      <c r="B709" s="170"/>
      <c r="C709" s="171"/>
      <c r="D709" s="172"/>
      <c r="E709" s="164"/>
      <c r="F709" s="171"/>
      <c r="G709" s="166">
        <f t="shared" si="4"/>
        <v>0</v>
      </c>
      <c r="H709" s="167"/>
    </row>
    <row r="710" spans="1:8" ht="21" customHeight="1">
      <c r="A710" s="146"/>
      <c r="B710" s="162"/>
      <c r="C710" s="165"/>
      <c r="D710" s="163"/>
      <c r="E710" s="164"/>
      <c r="F710" s="165"/>
      <c r="G710" s="166">
        <f t="shared" si="4"/>
        <v>0</v>
      </c>
      <c r="H710" s="167"/>
    </row>
    <row r="711" spans="1:8" ht="22.5" customHeight="1">
      <c r="A711" s="139"/>
      <c r="B711" s="170"/>
      <c r="C711" s="171"/>
      <c r="D711" s="172"/>
      <c r="E711" s="164"/>
      <c r="F711" s="171"/>
      <c r="G711" s="166">
        <f t="shared" si="4"/>
        <v>0</v>
      </c>
      <c r="H711" s="167"/>
    </row>
    <row r="712" spans="1:8" ht="21" customHeight="1">
      <c r="A712" s="146"/>
      <c r="B712" s="162"/>
      <c r="C712" s="165"/>
      <c r="D712" s="163"/>
      <c r="E712" s="164"/>
      <c r="F712" s="175"/>
      <c r="G712" s="182">
        <f t="shared" si="4"/>
        <v>0</v>
      </c>
      <c r="H712" s="167"/>
    </row>
    <row r="713" spans="1:8" ht="22.5" customHeight="1">
      <c r="A713" s="139"/>
      <c r="B713" s="170"/>
      <c r="C713" s="171"/>
      <c r="D713" s="172"/>
      <c r="E713" s="164"/>
      <c r="F713" s="171"/>
      <c r="G713" s="166">
        <f t="shared" si="4"/>
        <v>0</v>
      </c>
      <c r="H713" s="167"/>
    </row>
    <row r="714" spans="1:8" ht="22.5" customHeight="1">
      <c r="A714" s="146"/>
      <c r="B714" s="162"/>
      <c r="C714" s="165"/>
      <c r="D714" s="163"/>
      <c r="E714" s="164"/>
      <c r="F714" s="165"/>
      <c r="G714" s="166">
        <f t="shared" si="4"/>
        <v>0</v>
      </c>
      <c r="H714" s="167"/>
    </row>
    <row r="715" spans="1:8" ht="24" customHeight="1">
      <c r="A715" s="139"/>
      <c r="B715" s="170"/>
      <c r="C715" s="181"/>
      <c r="D715" s="172"/>
      <c r="E715" s="164"/>
      <c r="F715" s="171"/>
      <c r="G715" s="166">
        <f t="shared" si="4"/>
        <v>0</v>
      </c>
      <c r="H715" s="167"/>
    </row>
    <row r="716" spans="1:8" ht="22.5" customHeight="1">
      <c r="A716" s="146"/>
      <c r="B716" s="162"/>
      <c r="C716" s="165"/>
      <c r="D716" s="163"/>
      <c r="E716" s="164"/>
      <c r="F716" s="165"/>
      <c r="G716" s="166">
        <f t="shared" si="4"/>
        <v>0</v>
      </c>
      <c r="H716" s="167"/>
    </row>
    <row r="717" spans="1:8" ht="22.5" customHeight="1">
      <c r="A717" s="139"/>
      <c r="B717" s="170"/>
      <c r="C717" s="171"/>
      <c r="D717" s="172"/>
      <c r="E717" s="164"/>
      <c r="F717" s="171"/>
      <c r="G717" s="166">
        <f t="shared" si="4"/>
        <v>0</v>
      </c>
      <c r="H717" s="167"/>
    </row>
    <row r="718" spans="1:8" ht="21.75" customHeight="1">
      <c r="A718" s="146"/>
      <c r="B718" s="162"/>
      <c r="C718" s="165"/>
      <c r="D718" s="163"/>
      <c r="E718" s="164"/>
      <c r="F718" s="165"/>
      <c r="G718" s="166">
        <f t="shared" si="4"/>
        <v>0</v>
      </c>
      <c r="H718" s="167"/>
    </row>
    <row r="719" spans="1:8" ht="21.75" customHeight="1">
      <c r="A719" s="139"/>
      <c r="B719" s="170"/>
      <c r="C719" s="171"/>
      <c r="D719" s="172"/>
      <c r="E719" s="164"/>
      <c r="F719" s="171"/>
      <c r="G719" s="166">
        <f t="shared" si="4"/>
        <v>0</v>
      </c>
      <c r="H719" s="167"/>
    </row>
    <row r="720" spans="1:8" ht="21.75" customHeight="1">
      <c r="A720" s="146"/>
      <c r="B720" s="162"/>
      <c r="C720" s="165"/>
      <c r="D720" s="163"/>
      <c r="E720" s="164"/>
      <c r="F720" s="165"/>
      <c r="G720" s="166">
        <f t="shared" si="4"/>
        <v>0</v>
      </c>
      <c r="H720" s="167"/>
    </row>
    <row r="721" spans="1:8" ht="21" customHeight="1">
      <c r="A721" s="139"/>
      <c r="B721" s="170"/>
      <c r="C721" s="171"/>
      <c r="D721" s="172"/>
      <c r="E721" s="164"/>
      <c r="F721" s="171"/>
      <c r="G721" s="166">
        <f t="shared" si="4"/>
        <v>0</v>
      </c>
      <c r="H721" s="167"/>
    </row>
    <row r="722" spans="1:8" ht="19.5" customHeight="1">
      <c r="A722" s="146"/>
      <c r="B722" s="162"/>
      <c r="C722" s="165"/>
      <c r="D722" s="163"/>
      <c r="E722" s="164"/>
      <c r="F722" s="165"/>
      <c r="G722" s="166">
        <f t="shared" si="4"/>
        <v>0</v>
      </c>
      <c r="H722" s="167"/>
    </row>
    <row r="723" spans="1:8" ht="22.5" customHeight="1">
      <c r="A723" s="139"/>
      <c r="B723" s="170"/>
      <c r="C723" s="171"/>
      <c r="D723" s="172"/>
      <c r="E723" s="164"/>
      <c r="F723" s="178"/>
      <c r="G723" s="182">
        <f t="shared" si="4"/>
        <v>0</v>
      </c>
      <c r="H723" s="167"/>
    </row>
    <row r="724" spans="1:8" ht="22.5" customHeight="1">
      <c r="A724" s="146"/>
      <c r="B724" s="162"/>
      <c r="C724" s="165"/>
      <c r="D724" s="163"/>
      <c r="E724" s="164"/>
      <c r="F724" s="165"/>
      <c r="G724" s="166">
        <f t="shared" si="4"/>
        <v>0</v>
      </c>
      <c r="H724" s="167"/>
    </row>
    <row r="725" spans="1:8" ht="22.5" customHeight="1">
      <c r="A725" s="139"/>
      <c r="B725" s="170"/>
      <c r="C725" s="171"/>
      <c r="D725" s="172"/>
      <c r="E725" s="164"/>
      <c r="F725" s="170"/>
      <c r="G725" s="180">
        <f t="shared" si="4"/>
        <v>0</v>
      </c>
      <c r="H725" s="167"/>
    </row>
    <row r="726" spans="1:8" ht="21" customHeight="1">
      <c r="A726" s="146"/>
      <c r="B726" s="162"/>
      <c r="C726" s="186"/>
      <c r="D726" s="163"/>
      <c r="E726" s="164"/>
      <c r="F726" s="165"/>
      <c r="G726" s="166">
        <f t="shared" si="4"/>
        <v>0</v>
      </c>
      <c r="H726" s="167"/>
    </row>
    <row r="727" spans="1:8" ht="21" customHeight="1">
      <c r="A727" s="139"/>
      <c r="B727" s="170"/>
      <c r="C727" s="181"/>
      <c r="D727" s="177"/>
      <c r="E727" s="174"/>
      <c r="F727" s="178"/>
      <c r="G727" s="166">
        <f t="shared" si="4"/>
        <v>0</v>
      </c>
      <c r="H727" s="167"/>
    </row>
    <row r="728" spans="1:8" ht="22.5" customHeight="1">
      <c r="A728" s="146"/>
      <c r="B728" s="162"/>
      <c r="C728" s="165"/>
      <c r="D728" s="173"/>
      <c r="E728" s="174"/>
      <c r="F728" s="175"/>
      <c r="G728" s="166">
        <f t="shared" si="4"/>
        <v>0</v>
      </c>
      <c r="H728" s="167"/>
    </row>
    <row r="729" spans="1:8" ht="22.5" customHeight="1">
      <c r="A729" s="139"/>
      <c r="B729" s="170"/>
      <c r="C729" s="171"/>
      <c r="D729" s="172"/>
      <c r="E729" s="164"/>
      <c r="F729" s="171"/>
      <c r="G729" s="166">
        <f t="shared" si="4"/>
        <v>0</v>
      </c>
      <c r="H729" s="167"/>
    </row>
    <row r="730" spans="1:8" ht="22.5" customHeight="1">
      <c r="A730" s="146"/>
      <c r="B730" s="162"/>
      <c r="C730" s="165"/>
      <c r="D730" s="163"/>
      <c r="E730" s="164"/>
      <c r="F730" s="165"/>
      <c r="G730" s="166">
        <f t="shared" si="4"/>
        <v>0</v>
      </c>
      <c r="H730" s="167"/>
    </row>
    <row r="731" spans="1:8" ht="22.5" customHeight="1">
      <c r="A731" s="139"/>
      <c r="B731" s="170"/>
      <c r="C731" s="171"/>
      <c r="D731" s="172"/>
      <c r="E731" s="164"/>
      <c r="F731" s="171"/>
      <c r="G731" s="166">
        <f t="shared" si="4"/>
        <v>0</v>
      </c>
      <c r="H731" s="167"/>
    </row>
    <row r="732" spans="1:8" ht="22.5" customHeight="1">
      <c r="A732" s="146"/>
      <c r="B732" s="162"/>
      <c r="C732" s="165"/>
      <c r="D732" s="163"/>
      <c r="E732" s="164"/>
      <c r="F732" s="165"/>
      <c r="G732" s="166">
        <f t="shared" si="4"/>
        <v>0</v>
      </c>
      <c r="H732" s="167"/>
    </row>
    <row r="733" spans="1:8" ht="22.5" customHeight="1">
      <c r="A733" s="139"/>
      <c r="B733" s="170"/>
      <c r="C733" s="171"/>
      <c r="D733" s="172"/>
      <c r="E733" s="164"/>
      <c r="F733" s="171"/>
      <c r="G733" s="166">
        <f t="shared" si="4"/>
        <v>0</v>
      </c>
      <c r="H733" s="167"/>
    </row>
    <row r="734" spans="1:8" ht="22.5" customHeight="1">
      <c r="A734" s="146"/>
      <c r="B734" s="162"/>
      <c r="C734" s="165"/>
      <c r="D734" s="163"/>
      <c r="E734" s="164"/>
      <c r="F734" s="165"/>
      <c r="G734" s="166">
        <f t="shared" si="4"/>
        <v>0</v>
      </c>
      <c r="H734" s="167"/>
    </row>
    <row r="735" spans="1:8" ht="22.5" customHeight="1">
      <c r="A735" s="139"/>
      <c r="B735" s="170"/>
      <c r="C735" s="171"/>
      <c r="D735" s="172"/>
      <c r="E735" s="164"/>
      <c r="F735" s="171"/>
      <c r="G735" s="166">
        <f t="shared" si="4"/>
        <v>0</v>
      </c>
      <c r="H735" s="167"/>
    </row>
    <row r="736" spans="1:8" ht="22.5" customHeight="1">
      <c r="A736" s="146"/>
      <c r="B736" s="162"/>
      <c r="C736" s="165"/>
      <c r="D736" s="163"/>
      <c r="E736" s="164"/>
      <c r="F736" s="175"/>
      <c r="G736" s="182">
        <f t="shared" si="4"/>
        <v>0</v>
      </c>
      <c r="H736" s="167"/>
    </row>
    <row r="737" spans="1:8" ht="22.5" customHeight="1">
      <c r="A737" s="139"/>
      <c r="B737" s="170"/>
      <c r="C737" s="171"/>
      <c r="D737" s="172"/>
      <c r="E737" s="164"/>
      <c r="F737" s="170"/>
      <c r="G737" s="180">
        <f t="shared" si="4"/>
        <v>0</v>
      </c>
      <c r="H737" s="167"/>
    </row>
    <row r="738" spans="1:8" ht="22.5" customHeight="1">
      <c r="A738" s="146"/>
      <c r="B738" s="162"/>
      <c r="C738" s="186"/>
      <c r="D738" s="163"/>
      <c r="E738" s="164"/>
      <c r="F738" s="165"/>
      <c r="G738" s="166">
        <f t="shared" si="4"/>
        <v>0</v>
      </c>
      <c r="H738" s="167"/>
    </row>
    <row r="739" spans="1:8" ht="22.5" customHeight="1">
      <c r="A739" s="139"/>
      <c r="B739" s="170"/>
      <c r="C739" s="181"/>
      <c r="D739" s="172"/>
      <c r="E739" s="164"/>
      <c r="F739" s="171"/>
      <c r="G739" s="166">
        <f t="shared" si="4"/>
        <v>0</v>
      </c>
      <c r="H739" s="167"/>
    </row>
    <row r="740" spans="1:8" ht="22.5" customHeight="1">
      <c r="A740" s="146"/>
      <c r="B740" s="162"/>
      <c r="C740" s="186"/>
      <c r="D740" s="163"/>
      <c r="E740" s="164"/>
      <c r="F740" s="165"/>
      <c r="G740" s="166">
        <f t="shared" si="4"/>
        <v>0</v>
      </c>
      <c r="H740" s="167"/>
    </row>
    <row r="741" spans="1:8" ht="22.5" customHeight="1">
      <c r="A741" s="139"/>
      <c r="B741" s="170"/>
      <c r="C741" s="171"/>
      <c r="D741" s="172"/>
      <c r="E741" s="164"/>
      <c r="F741" s="171"/>
      <c r="G741" s="166">
        <f t="shared" si="4"/>
        <v>0</v>
      </c>
      <c r="H741" s="167"/>
    </row>
    <row r="742" spans="1:8" ht="24.75" customHeight="1">
      <c r="A742" s="146"/>
      <c r="B742" s="162"/>
      <c r="C742" s="165"/>
      <c r="D742" s="163"/>
      <c r="E742" s="164"/>
      <c r="F742" s="165"/>
      <c r="G742" s="166">
        <f t="shared" si="4"/>
        <v>0</v>
      </c>
      <c r="H742" s="167"/>
    </row>
    <row r="743" spans="1:8" ht="22.5" customHeight="1">
      <c r="A743" s="139"/>
      <c r="B743" s="170"/>
      <c r="C743" s="171"/>
      <c r="D743" s="172"/>
      <c r="E743" s="164"/>
      <c r="F743" s="171"/>
      <c r="G743" s="166">
        <f t="shared" si="4"/>
        <v>0</v>
      </c>
      <c r="H743" s="167"/>
    </row>
    <row r="744" spans="1:8" ht="22.5" customHeight="1">
      <c r="A744" s="146"/>
      <c r="B744" s="162"/>
      <c r="C744" s="165"/>
      <c r="D744" s="163"/>
      <c r="E744" s="164"/>
      <c r="F744" s="165"/>
      <c r="G744" s="166">
        <f t="shared" si="4"/>
        <v>0</v>
      </c>
      <c r="H744" s="167"/>
    </row>
    <row r="745" spans="1:8" ht="22.5" customHeight="1">
      <c r="A745" s="139"/>
      <c r="B745" s="170"/>
      <c r="C745" s="171"/>
      <c r="D745" s="172"/>
      <c r="E745" s="164"/>
      <c r="F745" s="171"/>
      <c r="G745" s="166">
        <f t="shared" si="4"/>
        <v>0</v>
      </c>
      <c r="H745" s="167"/>
    </row>
    <row r="746" spans="1:8" ht="22.5" customHeight="1">
      <c r="A746" s="146"/>
      <c r="B746" s="162"/>
      <c r="C746" s="165"/>
      <c r="D746" s="163"/>
      <c r="E746" s="164"/>
      <c r="F746" s="165"/>
      <c r="G746" s="166">
        <f t="shared" si="4"/>
        <v>0</v>
      </c>
      <c r="H746" s="167"/>
    </row>
    <row r="747" spans="1:8" ht="22.5" customHeight="1">
      <c r="A747" s="139"/>
      <c r="B747" s="170"/>
      <c r="C747" s="171"/>
      <c r="D747" s="177"/>
      <c r="E747" s="174"/>
      <c r="F747" s="178"/>
      <c r="G747" s="166">
        <f t="shared" si="4"/>
        <v>0</v>
      </c>
      <c r="H747" s="167"/>
    </row>
    <row r="748" spans="1:8" ht="22.5" customHeight="1">
      <c r="A748" s="146"/>
      <c r="B748" s="162"/>
      <c r="C748" s="165"/>
      <c r="D748" s="163"/>
      <c r="E748" s="164"/>
      <c r="F748" s="165"/>
      <c r="G748" s="166">
        <f t="shared" si="4"/>
        <v>0</v>
      </c>
      <c r="H748" s="167"/>
    </row>
    <row r="749" spans="1:8" ht="24.75" customHeight="1">
      <c r="A749" s="139"/>
      <c r="B749" s="170"/>
      <c r="C749" s="171"/>
      <c r="D749" s="172"/>
      <c r="E749" s="164"/>
      <c r="F749" s="171"/>
      <c r="G749" s="166">
        <f t="shared" si="4"/>
        <v>0</v>
      </c>
      <c r="H749" s="167"/>
    </row>
    <row r="750" spans="1:8" ht="22.5" customHeight="1">
      <c r="A750" s="146"/>
      <c r="B750" s="162"/>
      <c r="C750" s="165"/>
      <c r="D750" s="163"/>
      <c r="E750" s="164"/>
      <c r="F750" s="165"/>
      <c r="G750" s="166">
        <f t="shared" si="4"/>
        <v>0</v>
      </c>
      <c r="H750" s="167"/>
    </row>
    <row r="751" spans="1:8" ht="26.25" customHeight="1">
      <c r="A751" s="139"/>
      <c r="B751" s="170"/>
      <c r="C751" s="171"/>
      <c r="D751" s="172"/>
      <c r="E751" s="164"/>
      <c r="F751" s="171"/>
      <c r="G751" s="166">
        <f t="shared" si="4"/>
        <v>0</v>
      </c>
      <c r="H751" s="167"/>
    </row>
    <row r="752" spans="1:8" ht="22.5" customHeight="1">
      <c r="A752" s="146"/>
      <c r="B752" s="162"/>
      <c r="C752" s="165"/>
      <c r="D752" s="163"/>
      <c r="E752" s="164"/>
      <c r="F752" s="165"/>
      <c r="G752" s="166">
        <f t="shared" si="4"/>
        <v>0</v>
      </c>
      <c r="H752" s="167"/>
    </row>
    <row r="753" spans="1:8" ht="22.5" customHeight="1">
      <c r="A753" s="139"/>
      <c r="B753" s="170"/>
      <c r="C753" s="171"/>
      <c r="D753" s="172"/>
      <c r="E753" s="164"/>
      <c r="F753" s="171"/>
      <c r="G753" s="166">
        <f t="shared" si="4"/>
        <v>0</v>
      </c>
      <c r="H753" s="167"/>
    </row>
    <row r="754" spans="1:8" ht="22.5" customHeight="1">
      <c r="A754" s="146"/>
      <c r="B754" s="162"/>
      <c r="C754" s="165"/>
      <c r="D754" s="163"/>
      <c r="E754" s="164"/>
      <c r="F754" s="165"/>
      <c r="G754" s="166">
        <f t="shared" si="4"/>
        <v>0</v>
      </c>
      <c r="H754" s="167"/>
    </row>
    <row r="755" spans="1:8" ht="22.5" customHeight="1">
      <c r="A755" s="139"/>
      <c r="B755" s="170"/>
      <c r="C755" s="171"/>
      <c r="D755" s="172"/>
      <c r="E755" s="164"/>
      <c r="F755" s="171"/>
      <c r="G755" s="166">
        <f t="shared" si="4"/>
        <v>0</v>
      </c>
      <c r="H755" s="167"/>
    </row>
    <row r="756" spans="1:8" ht="22.5" customHeight="1">
      <c r="A756" s="146"/>
      <c r="B756" s="162"/>
      <c r="C756" s="165"/>
      <c r="D756" s="163"/>
      <c r="E756" s="164"/>
      <c r="F756" s="165"/>
      <c r="G756" s="166">
        <f t="shared" si="4"/>
        <v>0</v>
      </c>
      <c r="H756" s="167"/>
    </row>
    <row r="757" spans="1:8" ht="22.5" customHeight="1">
      <c r="A757" s="139"/>
      <c r="B757" s="170"/>
      <c r="C757" s="171"/>
      <c r="D757" s="172"/>
      <c r="E757" s="164"/>
      <c r="F757" s="171"/>
      <c r="G757" s="166">
        <f t="shared" si="4"/>
        <v>0</v>
      </c>
      <c r="H757" s="167"/>
    </row>
    <row r="758" spans="1:8" ht="22.5" customHeight="1">
      <c r="A758" s="146"/>
      <c r="B758" s="162"/>
      <c r="C758" s="165"/>
      <c r="D758" s="163"/>
      <c r="E758" s="164"/>
      <c r="F758" s="175"/>
      <c r="G758" s="182">
        <f t="shared" si="4"/>
        <v>0</v>
      </c>
      <c r="H758" s="167"/>
    </row>
    <row r="759" spans="1:8" ht="22.5" customHeight="1">
      <c r="A759" s="139"/>
      <c r="B759" s="170"/>
      <c r="C759" s="171"/>
      <c r="D759" s="172"/>
      <c r="E759" s="164"/>
      <c r="F759" s="171"/>
      <c r="G759" s="166">
        <f t="shared" si="4"/>
        <v>0</v>
      </c>
      <c r="H759" s="167"/>
    </row>
    <row r="760" spans="1:8" ht="22.5" customHeight="1">
      <c r="A760" s="146"/>
      <c r="B760" s="162"/>
      <c r="C760" s="165"/>
      <c r="D760" s="163"/>
      <c r="E760" s="164"/>
      <c r="F760" s="165"/>
      <c r="G760" s="166">
        <f t="shared" si="4"/>
        <v>0</v>
      </c>
      <c r="H760" s="167"/>
    </row>
    <row r="761" spans="1:8" ht="22.5" customHeight="1">
      <c r="A761" s="139"/>
      <c r="B761" s="170"/>
      <c r="C761" s="171"/>
      <c r="D761" s="172"/>
      <c r="E761" s="164"/>
      <c r="F761" s="171"/>
      <c r="G761" s="166">
        <f t="shared" si="4"/>
        <v>0</v>
      </c>
      <c r="H761" s="167"/>
    </row>
    <row r="762" spans="1:8" ht="22.5" customHeight="1">
      <c r="A762" s="146"/>
      <c r="B762" s="162"/>
      <c r="C762" s="165"/>
      <c r="D762" s="163"/>
      <c r="E762" s="164"/>
      <c r="F762" s="165"/>
      <c r="G762" s="166">
        <f t="shared" si="4"/>
        <v>0</v>
      </c>
      <c r="H762" s="167"/>
    </row>
    <row r="763" spans="1:8" ht="22.5" customHeight="1">
      <c r="A763" s="139"/>
      <c r="B763" s="170"/>
      <c r="C763" s="171"/>
      <c r="D763" s="172"/>
      <c r="E763" s="164"/>
      <c r="F763" s="171"/>
      <c r="G763" s="166">
        <f t="shared" si="4"/>
        <v>0</v>
      </c>
      <c r="H763" s="167"/>
    </row>
    <row r="764" spans="1:8" ht="22.5" customHeight="1">
      <c r="A764" s="146"/>
      <c r="B764" s="162"/>
      <c r="C764" s="165"/>
      <c r="D764" s="163"/>
      <c r="E764" s="164"/>
      <c r="F764" s="165"/>
      <c r="G764" s="166">
        <f t="shared" si="4"/>
        <v>0</v>
      </c>
      <c r="H764" s="167"/>
    </row>
    <row r="765" spans="1:8" ht="22.5" customHeight="1">
      <c r="A765" s="139"/>
      <c r="B765" s="170"/>
      <c r="C765" s="171"/>
      <c r="D765" s="172"/>
      <c r="E765" s="164"/>
      <c r="F765" s="171"/>
      <c r="G765" s="166">
        <f t="shared" si="4"/>
        <v>0</v>
      </c>
      <c r="H765" s="167"/>
    </row>
    <row r="766" spans="1:8" ht="22.5" customHeight="1">
      <c r="A766" s="146"/>
      <c r="B766" s="162"/>
      <c r="C766" s="165"/>
      <c r="D766" s="163"/>
      <c r="E766" s="164"/>
      <c r="F766" s="165"/>
      <c r="G766" s="166">
        <f t="shared" si="4"/>
        <v>0</v>
      </c>
      <c r="H766" s="167"/>
    </row>
    <row r="767" spans="1:8" ht="22.5" customHeight="1">
      <c r="A767" s="139"/>
      <c r="B767" s="170"/>
      <c r="C767" s="171"/>
      <c r="D767" s="172"/>
      <c r="E767" s="164"/>
      <c r="F767" s="171"/>
      <c r="G767" s="166">
        <f t="shared" si="4"/>
        <v>0</v>
      </c>
      <c r="H767" s="167"/>
    </row>
    <row r="768" spans="1:8" ht="22.5" customHeight="1">
      <c r="A768" s="146"/>
      <c r="B768" s="162"/>
      <c r="C768" s="165"/>
      <c r="D768" s="163"/>
      <c r="E768" s="164"/>
      <c r="F768" s="175"/>
      <c r="G768" s="182">
        <f t="shared" si="4"/>
        <v>0</v>
      </c>
      <c r="H768" s="167"/>
    </row>
    <row r="769" spans="1:8" ht="22.5" customHeight="1">
      <c r="A769" s="139"/>
      <c r="B769" s="170"/>
      <c r="C769" s="171"/>
      <c r="D769" s="172"/>
      <c r="E769" s="164"/>
      <c r="F769" s="171"/>
      <c r="G769" s="166">
        <f t="shared" si="4"/>
        <v>0</v>
      </c>
      <c r="H769" s="167"/>
    </row>
    <row r="770" spans="1:8" ht="22.5" customHeight="1">
      <c r="A770" s="146"/>
      <c r="B770" s="162"/>
      <c r="C770" s="165"/>
      <c r="D770" s="163"/>
      <c r="E770" s="164"/>
      <c r="F770" s="165"/>
      <c r="G770" s="166">
        <f t="shared" si="4"/>
        <v>0</v>
      </c>
      <c r="H770" s="167"/>
    </row>
    <row r="771" spans="1:8" ht="21.75" customHeight="1">
      <c r="A771" s="139"/>
      <c r="B771" s="170"/>
      <c r="C771" s="171"/>
      <c r="D771" s="177"/>
      <c r="E771" s="174"/>
      <c r="F771" s="179"/>
      <c r="G771" s="180">
        <f t="shared" si="4"/>
        <v>0</v>
      </c>
      <c r="H771" s="167"/>
    </row>
    <row r="772" spans="1:8" ht="20.25" customHeight="1">
      <c r="A772" s="146"/>
      <c r="B772" s="162"/>
      <c r="C772" s="186"/>
      <c r="D772" s="163"/>
      <c r="E772" s="164"/>
      <c r="F772" s="165"/>
      <c r="G772" s="166">
        <f t="shared" si="4"/>
        <v>0</v>
      </c>
      <c r="H772" s="167"/>
    </row>
    <row r="773" spans="1:8" ht="22.5" customHeight="1">
      <c r="A773" s="139"/>
      <c r="B773" s="170"/>
      <c r="C773" s="171"/>
      <c r="D773" s="172"/>
      <c r="E773" s="164"/>
      <c r="F773" s="171"/>
      <c r="G773" s="166">
        <f t="shared" si="4"/>
        <v>0</v>
      </c>
      <c r="H773" s="167"/>
    </row>
    <row r="774" spans="1:8" ht="22.5" customHeight="1">
      <c r="A774" s="146"/>
      <c r="B774" s="162"/>
      <c r="C774" s="165"/>
      <c r="D774" s="163"/>
      <c r="E774" s="164"/>
      <c r="F774" s="165"/>
      <c r="G774" s="166">
        <f t="shared" si="4"/>
        <v>0</v>
      </c>
      <c r="H774" s="167"/>
    </row>
    <row r="775" spans="1:8" ht="24" customHeight="1">
      <c r="A775" s="139"/>
      <c r="B775" s="170"/>
      <c r="C775" s="171"/>
      <c r="D775" s="172"/>
      <c r="E775" s="164"/>
      <c r="F775" s="171"/>
      <c r="G775" s="166">
        <f t="shared" si="4"/>
        <v>0</v>
      </c>
      <c r="H775" s="167"/>
    </row>
    <row r="776" spans="1:8" ht="24" customHeight="1">
      <c r="A776" s="146"/>
      <c r="B776" s="162"/>
      <c r="C776" s="165"/>
      <c r="D776" s="163"/>
      <c r="E776" s="164"/>
      <c r="F776" s="165"/>
      <c r="G776" s="166">
        <f t="shared" si="4"/>
        <v>0</v>
      </c>
      <c r="H776" s="167"/>
    </row>
    <row r="777" spans="1:8" ht="23.25" customHeight="1">
      <c r="A777" s="139"/>
      <c r="B777" s="170"/>
      <c r="C777" s="171"/>
      <c r="D777" s="172"/>
      <c r="E777" s="164"/>
      <c r="F777" s="171"/>
      <c r="G777" s="166">
        <f t="shared" si="4"/>
        <v>0</v>
      </c>
      <c r="H777" s="167"/>
    </row>
    <row r="778" spans="1:8" ht="22.5" customHeight="1">
      <c r="A778" s="146"/>
      <c r="B778" s="162"/>
      <c r="C778" s="165"/>
      <c r="D778" s="163"/>
      <c r="E778" s="164"/>
      <c r="F778" s="165"/>
      <c r="G778" s="166">
        <f t="shared" si="4"/>
        <v>0</v>
      </c>
      <c r="H778" s="167"/>
    </row>
    <row r="779" spans="1:8" ht="22.5" customHeight="1">
      <c r="A779" s="139"/>
      <c r="B779" s="170"/>
      <c r="C779" s="171"/>
      <c r="D779" s="172"/>
      <c r="E779" s="164"/>
      <c r="F779" s="178"/>
      <c r="G779" s="182">
        <f t="shared" si="4"/>
        <v>0</v>
      </c>
      <c r="H779" s="167"/>
    </row>
    <row r="780" spans="1:8" ht="22.5" customHeight="1">
      <c r="A780" s="146"/>
      <c r="B780" s="162"/>
      <c r="C780" s="165"/>
      <c r="D780" s="163"/>
      <c r="E780" s="164"/>
      <c r="F780" s="165"/>
      <c r="G780" s="166">
        <f t="shared" si="4"/>
        <v>0</v>
      </c>
      <c r="H780" s="167"/>
    </row>
    <row r="781" spans="1:8" ht="22.5" customHeight="1">
      <c r="A781" s="139"/>
      <c r="B781" s="170"/>
      <c r="C781" s="171"/>
      <c r="D781" s="172"/>
      <c r="E781" s="164"/>
      <c r="F781" s="171"/>
      <c r="G781" s="166">
        <f t="shared" si="4"/>
        <v>0</v>
      </c>
      <c r="H781" s="167"/>
    </row>
    <row r="782" spans="1:8" ht="21" customHeight="1">
      <c r="A782" s="146"/>
      <c r="B782" s="162"/>
      <c r="C782" s="165"/>
      <c r="D782" s="163"/>
      <c r="E782" s="164"/>
      <c r="F782" s="165"/>
      <c r="G782" s="166">
        <f t="shared" si="4"/>
        <v>0</v>
      </c>
      <c r="H782" s="167"/>
    </row>
    <row r="783" spans="1:8" ht="22.5" customHeight="1">
      <c r="A783" s="139"/>
      <c r="B783" s="170"/>
      <c r="C783" s="171"/>
      <c r="D783" s="172"/>
      <c r="E783" s="164"/>
      <c r="F783" s="171"/>
      <c r="G783" s="166">
        <f t="shared" si="4"/>
        <v>0</v>
      </c>
      <c r="H783" s="167"/>
    </row>
    <row r="784" spans="1:8" ht="22.5" customHeight="1">
      <c r="A784" s="146"/>
      <c r="B784" s="162"/>
      <c r="C784" s="165"/>
      <c r="D784" s="173"/>
      <c r="E784" s="174"/>
      <c r="F784" s="176"/>
      <c r="G784" s="180">
        <f t="shared" si="4"/>
        <v>0</v>
      </c>
      <c r="H784" s="167"/>
    </row>
    <row r="785" spans="1:8" ht="21.75" customHeight="1">
      <c r="A785" s="139"/>
      <c r="B785" s="170"/>
      <c r="C785" s="181"/>
      <c r="D785" s="172"/>
      <c r="E785" s="164"/>
      <c r="F785" s="171"/>
      <c r="G785" s="166">
        <f t="shared" si="4"/>
        <v>0</v>
      </c>
      <c r="H785" s="167"/>
    </row>
    <row r="786" spans="1:8" ht="20.25" customHeight="1">
      <c r="A786" s="146"/>
      <c r="B786" s="162"/>
      <c r="C786" s="186"/>
      <c r="D786" s="163"/>
      <c r="E786" s="164"/>
      <c r="F786" s="165"/>
      <c r="G786" s="166">
        <f t="shared" si="4"/>
        <v>0</v>
      </c>
      <c r="H786" s="167"/>
    </row>
    <row r="787" spans="1:8" ht="22.5" customHeight="1">
      <c r="A787" s="139"/>
      <c r="B787" s="170"/>
      <c r="C787" s="171"/>
      <c r="D787" s="172"/>
      <c r="E787" s="164"/>
      <c r="F787" s="171"/>
      <c r="G787" s="166">
        <f t="shared" si="4"/>
        <v>0</v>
      </c>
      <c r="H787" s="167"/>
    </row>
    <row r="788" spans="1:8" ht="24" customHeight="1">
      <c r="A788" s="146"/>
      <c r="B788" s="162"/>
      <c r="C788" s="165"/>
      <c r="D788" s="163"/>
      <c r="E788" s="164"/>
      <c r="F788" s="165"/>
      <c r="G788" s="166">
        <f t="shared" si="4"/>
        <v>0</v>
      </c>
      <c r="H788" s="167"/>
    </row>
    <row r="789" spans="1:8" ht="22.5" customHeight="1">
      <c r="A789" s="139"/>
      <c r="B789" s="170"/>
      <c r="C789" s="171"/>
      <c r="D789" s="172"/>
      <c r="E789" s="164"/>
      <c r="F789" s="171"/>
      <c r="G789" s="166">
        <f t="shared" si="4"/>
        <v>0</v>
      </c>
      <c r="H789" s="167"/>
    </row>
    <row r="790" spans="1:8" ht="22.5" customHeight="1">
      <c r="A790" s="146"/>
      <c r="B790" s="162"/>
      <c r="C790" s="165"/>
      <c r="D790" s="163"/>
      <c r="E790" s="164"/>
      <c r="F790" s="165"/>
      <c r="G790" s="166">
        <f t="shared" si="4"/>
        <v>0</v>
      </c>
      <c r="H790" s="167"/>
    </row>
    <row r="791" spans="1:8" ht="22.5" customHeight="1">
      <c r="A791" s="139"/>
      <c r="B791" s="170"/>
      <c r="C791" s="171"/>
      <c r="D791" s="172"/>
      <c r="E791" s="164"/>
      <c r="F791" s="171"/>
      <c r="G791" s="166">
        <f t="shared" si="4"/>
        <v>0</v>
      </c>
      <c r="H791" s="167"/>
    </row>
    <row r="792" spans="1:8" ht="22.5" customHeight="1">
      <c r="A792" s="146"/>
      <c r="B792" s="162"/>
      <c r="C792" s="165"/>
      <c r="D792" s="163"/>
      <c r="E792" s="164"/>
      <c r="F792" s="175"/>
      <c r="G792" s="182">
        <f t="shared" si="4"/>
        <v>0</v>
      </c>
      <c r="H792" s="167"/>
    </row>
    <row r="793" spans="1:8" ht="20.25" customHeight="1">
      <c r="A793" s="139"/>
      <c r="B793" s="170"/>
      <c r="C793" s="171"/>
      <c r="D793" s="172"/>
      <c r="E793" s="164"/>
      <c r="F793" s="171"/>
      <c r="G793" s="166">
        <f t="shared" si="4"/>
        <v>0</v>
      </c>
      <c r="H793" s="167"/>
    </row>
    <row r="794" spans="1:8" ht="21.75" customHeight="1">
      <c r="A794" s="146"/>
      <c r="B794" s="162"/>
      <c r="C794" s="165"/>
      <c r="D794" s="163"/>
      <c r="E794" s="164"/>
      <c r="F794" s="165"/>
      <c r="G794" s="166">
        <f t="shared" si="4"/>
        <v>0</v>
      </c>
      <c r="H794" s="167"/>
    </row>
    <row r="795" spans="1:8" ht="22.5" customHeight="1">
      <c r="A795" s="139"/>
      <c r="B795" s="170"/>
      <c r="C795" s="171"/>
      <c r="D795" s="172"/>
      <c r="E795" s="164"/>
      <c r="F795" s="171"/>
      <c r="G795" s="166">
        <f t="shared" si="4"/>
        <v>0</v>
      </c>
      <c r="H795" s="167"/>
    </row>
    <row r="796" spans="1:8" ht="19.5" customHeight="1">
      <c r="A796" s="146"/>
      <c r="B796" s="162"/>
      <c r="C796" s="165"/>
      <c r="D796" s="163"/>
      <c r="E796" s="164"/>
      <c r="F796" s="165"/>
      <c r="G796" s="166">
        <f t="shared" si="4"/>
        <v>0</v>
      </c>
      <c r="H796" s="167"/>
    </row>
    <row r="797" spans="1:8" ht="22.5" customHeight="1">
      <c r="A797" s="139"/>
      <c r="B797" s="170"/>
      <c r="C797" s="171"/>
      <c r="D797" s="172"/>
      <c r="E797" s="164"/>
      <c r="F797" s="171"/>
      <c r="G797" s="166">
        <f t="shared" si="4"/>
        <v>0</v>
      </c>
      <c r="H797" s="167"/>
    </row>
    <row r="798" spans="1:8" ht="22.5" customHeight="1">
      <c r="A798" s="146"/>
      <c r="B798" s="162"/>
      <c r="C798" s="165"/>
      <c r="D798" s="163"/>
      <c r="E798" s="164"/>
      <c r="F798" s="165"/>
      <c r="G798" s="166">
        <f t="shared" si="4"/>
        <v>0</v>
      </c>
      <c r="H798" s="167"/>
    </row>
    <row r="799" spans="1:8" ht="22.5" customHeight="1">
      <c r="A799" s="139"/>
      <c r="B799" s="170"/>
      <c r="C799" s="171"/>
      <c r="D799" s="172"/>
      <c r="E799" s="164"/>
      <c r="F799" s="171"/>
      <c r="G799" s="166">
        <f t="shared" si="4"/>
        <v>0</v>
      </c>
      <c r="H799" s="167"/>
    </row>
    <row r="800" spans="1:8" ht="22.5" customHeight="1">
      <c r="A800" s="146"/>
      <c r="B800" s="162"/>
      <c r="C800" s="165"/>
      <c r="D800" s="163"/>
      <c r="E800" s="164"/>
      <c r="F800" s="165"/>
      <c r="G800" s="166">
        <f t="shared" si="4"/>
        <v>0</v>
      </c>
      <c r="H800" s="167"/>
    </row>
    <row r="801" spans="1:8" ht="24" customHeight="1">
      <c r="A801" s="139"/>
      <c r="B801" s="170"/>
      <c r="C801" s="171"/>
      <c r="D801" s="172"/>
      <c r="E801" s="164"/>
      <c r="F801" s="171"/>
      <c r="G801" s="166">
        <f t="shared" si="4"/>
        <v>0</v>
      </c>
      <c r="H801" s="167"/>
    </row>
    <row r="802" spans="1:8" ht="22.5" customHeight="1">
      <c r="A802" s="146"/>
      <c r="B802" s="162"/>
      <c r="C802" s="165"/>
      <c r="D802" s="163"/>
      <c r="E802" s="164"/>
      <c r="F802" s="165"/>
      <c r="G802" s="166">
        <f t="shared" si="4"/>
        <v>0</v>
      </c>
      <c r="H802" s="167"/>
    </row>
    <row r="803" spans="1:8" ht="22.5" customHeight="1">
      <c r="A803" s="139"/>
      <c r="B803" s="170"/>
      <c r="C803" s="171"/>
      <c r="D803" s="172"/>
      <c r="E803" s="164"/>
      <c r="F803" s="171"/>
      <c r="G803" s="166">
        <f t="shared" si="4"/>
        <v>0</v>
      </c>
      <c r="H803" s="167"/>
    </row>
    <row r="804" spans="1:8" ht="22.5" customHeight="1">
      <c r="A804" s="146"/>
      <c r="B804" s="162"/>
      <c r="C804" s="165"/>
      <c r="D804" s="163"/>
      <c r="E804" s="164"/>
      <c r="F804" s="165"/>
      <c r="G804" s="166">
        <f t="shared" si="4"/>
        <v>0</v>
      </c>
      <c r="H804" s="167"/>
    </row>
    <row r="805" spans="1:8" ht="22.5" customHeight="1">
      <c r="A805" s="139"/>
      <c r="B805" s="170"/>
      <c r="C805" s="171"/>
      <c r="D805" s="172"/>
      <c r="E805" s="164"/>
      <c r="F805" s="171"/>
      <c r="G805" s="166">
        <f t="shared" si="4"/>
        <v>0</v>
      </c>
      <c r="H805" s="167"/>
    </row>
    <row r="806" spans="1:8" ht="22.5" customHeight="1">
      <c r="A806" s="146"/>
      <c r="B806" s="162"/>
      <c r="C806" s="165"/>
      <c r="D806" s="163"/>
      <c r="E806" s="164"/>
      <c r="F806" s="165"/>
      <c r="G806" s="166">
        <f t="shared" si="4"/>
        <v>0</v>
      </c>
      <c r="H806" s="167"/>
    </row>
    <row r="807" spans="1:8" ht="22.5" customHeight="1">
      <c r="A807" s="139"/>
      <c r="B807" s="170"/>
      <c r="C807" s="171"/>
      <c r="D807" s="172"/>
      <c r="E807" s="164"/>
      <c r="F807" s="171"/>
      <c r="G807" s="166">
        <f t="shared" si="4"/>
        <v>0</v>
      </c>
      <c r="H807" s="167"/>
    </row>
    <row r="808" spans="1:8" ht="22.5" customHeight="1">
      <c r="A808" s="146"/>
      <c r="B808" s="162"/>
      <c r="C808" s="165"/>
      <c r="D808" s="163"/>
      <c r="E808" s="164"/>
      <c r="F808" s="165"/>
      <c r="G808" s="166">
        <f t="shared" si="4"/>
        <v>0</v>
      </c>
      <c r="H808" s="167"/>
    </row>
    <row r="809" spans="1:8" ht="21.75" customHeight="1">
      <c r="A809" s="139"/>
      <c r="B809" s="170"/>
      <c r="C809" s="171"/>
      <c r="D809" s="172"/>
      <c r="E809" s="164"/>
      <c r="F809" s="171"/>
      <c r="G809" s="166">
        <f t="shared" si="4"/>
        <v>0</v>
      </c>
      <c r="H809" s="167"/>
    </row>
    <row r="810" spans="1:8" ht="21" customHeight="1">
      <c r="A810" s="146"/>
      <c r="B810" s="162"/>
      <c r="C810" s="165"/>
      <c r="D810" s="163"/>
      <c r="E810" s="164"/>
      <c r="F810" s="165"/>
      <c r="G810" s="166">
        <f t="shared" si="4"/>
        <v>0</v>
      </c>
      <c r="H810" s="167"/>
    </row>
    <row r="811" spans="1:8" ht="22.5" customHeight="1">
      <c r="A811" s="139"/>
      <c r="B811" s="170"/>
      <c r="C811" s="171"/>
      <c r="D811" s="172"/>
      <c r="E811" s="164"/>
      <c r="F811" s="171"/>
      <c r="G811" s="166">
        <f t="shared" si="4"/>
        <v>0</v>
      </c>
      <c r="H811" s="167"/>
    </row>
    <row r="812" spans="1:8" ht="22.5" customHeight="1">
      <c r="A812" s="146"/>
      <c r="B812" s="162"/>
      <c r="C812" s="165"/>
      <c r="D812" s="163"/>
      <c r="E812" s="164"/>
      <c r="F812" s="165"/>
      <c r="G812" s="166">
        <f t="shared" si="4"/>
        <v>0</v>
      </c>
      <c r="H812" s="167"/>
    </row>
    <row r="813" spans="1:8" ht="20.25" customHeight="1">
      <c r="A813" s="139"/>
      <c r="B813" s="170"/>
      <c r="C813" s="171"/>
      <c r="D813" s="172"/>
      <c r="E813" s="164"/>
      <c r="F813" s="171"/>
      <c r="G813" s="166">
        <f t="shared" si="4"/>
        <v>0</v>
      </c>
      <c r="H813" s="167"/>
    </row>
    <row r="814" spans="1:8" ht="22.5" customHeight="1">
      <c r="A814" s="146"/>
      <c r="B814" s="162"/>
      <c r="C814" s="165"/>
      <c r="D814" s="163"/>
      <c r="E814" s="164"/>
      <c r="F814" s="165"/>
      <c r="G814" s="166">
        <f t="shared" si="4"/>
        <v>0</v>
      </c>
      <c r="H814" s="167"/>
    </row>
    <row r="815" spans="1:8" ht="19.5" customHeight="1">
      <c r="A815" s="139"/>
      <c r="B815" s="170"/>
      <c r="C815" s="171"/>
      <c r="D815" s="172"/>
      <c r="E815" s="164"/>
      <c r="F815" s="171"/>
      <c r="G815" s="166">
        <f t="shared" si="4"/>
        <v>0</v>
      </c>
      <c r="H815" s="167"/>
    </row>
    <row r="816" spans="1:8" ht="22.5" customHeight="1">
      <c r="A816" s="146"/>
      <c r="B816" s="162"/>
      <c r="C816" s="165"/>
      <c r="D816" s="163"/>
      <c r="E816" s="164"/>
      <c r="F816" s="165"/>
      <c r="G816" s="166">
        <f t="shared" si="4"/>
        <v>0</v>
      </c>
      <c r="H816" s="167"/>
    </row>
    <row r="817" spans="1:8" ht="19.5" customHeight="1">
      <c r="A817" s="139"/>
      <c r="B817" s="170"/>
      <c r="C817" s="171"/>
      <c r="D817" s="172"/>
      <c r="E817" s="164"/>
      <c r="F817" s="171"/>
      <c r="G817" s="166">
        <f t="shared" si="4"/>
        <v>0</v>
      </c>
      <c r="H817" s="167"/>
    </row>
    <row r="818" spans="1:8" ht="22.5" customHeight="1">
      <c r="A818" s="146"/>
      <c r="B818" s="162"/>
      <c r="C818" s="165"/>
      <c r="D818" s="163"/>
      <c r="E818" s="164"/>
      <c r="F818" s="165"/>
      <c r="G818" s="166">
        <f t="shared" si="4"/>
        <v>0</v>
      </c>
      <c r="H818" s="167"/>
    </row>
    <row r="819" spans="1:8" ht="22.5" customHeight="1">
      <c r="A819" s="139"/>
      <c r="B819" s="170"/>
      <c r="C819" s="171"/>
      <c r="D819" s="172"/>
      <c r="E819" s="164"/>
      <c r="F819" s="171"/>
      <c r="G819" s="166">
        <f t="shared" si="4"/>
        <v>0</v>
      </c>
      <c r="H819" s="167"/>
    </row>
    <row r="820" spans="1:8" ht="22.5" customHeight="1">
      <c r="A820" s="146"/>
      <c r="B820" s="162"/>
      <c r="C820" s="165"/>
      <c r="D820" s="163"/>
      <c r="E820" s="164"/>
      <c r="F820" s="165"/>
      <c r="G820" s="166">
        <f t="shared" si="4"/>
        <v>0</v>
      </c>
      <c r="H820" s="167"/>
    </row>
    <row r="821" spans="1:8" ht="22.5" customHeight="1">
      <c r="A821" s="139"/>
      <c r="B821" s="170"/>
      <c r="C821" s="171"/>
      <c r="D821" s="172"/>
      <c r="E821" s="164"/>
      <c r="F821" s="171"/>
      <c r="G821" s="166">
        <f t="shared" si="4"/>
        <v>0</v>
      </c>
      <c r="H821" s="167"/>
    </row>
    <row r="822" spans="1:8" ht="22.5" customHeight="1">
      <c r="A822" s="146"/>
      <c r="B822" s="162"/>
      <c r="C822" s="165"/>
      <c r="D822" s="163"/>
      <c r="E822" s="164"/>
      <c r="F822" s="165"/>
      <c r="G822" s="166">
        <f t="shared" si="4"/>
        <v>0</v>
      </c>
      <c r="H822" s="167"/>
    </row>
    <row r="823" spans="1:8" ht="23.25" customHeight="1">
      <c r="A823" s="139"/>
      <c r="B823" s="170"/>
      <c r="C823" s="171"/>
      <c r="D823" s="172"/>
      <c r="E823" s="164"/>
      <c r="F823" s="171"/>
      <c r="G823" s="166">
        <f t="shared" si="4"/>
        <v>0</v>
      </c>
      <c r="H823" s="167"/>
    </row>
    <row r="824" spans="1:8" ht="21" customHeight="1">
      <c r="A824" s="146"/>
      <c r="B824" s="162"/>
      <c r="C824" s="165"/>
      <c r="D824" s="163"/>
      <c r="E824" s="164"/>
      <c r="F824" s="165"/>
      <c r="G824" s="166">
        <f t="shared" si="4"/>
        <v>0</v>
      </c>
      <c r="H824" s="167"/>
    </row>
    <row r="825" spans="1:8" ht="22.5" customHeight="1">
      <c r="A825" s="139"/>
      <c r="B825" s="170"/>
      <c r="C825" s="171"/>
      <c r="D825" s="172"/>
      <c r="E825" s="164"/>
      <c r="F825" s="171"/>
      <c r="G825" s="166">
        <f t="shared" si="4"/>
        <v>0</v>
      </c>
      <c r="H825" s="167"/>
    </row>
    <row r="826" spans="1:8" ht="22.5" customHeight="1">
      <c r="A826" s="146"/>
      <c r="B826" s="162"/>
      <c r="C826" s="165"/>
      <c r="D826" s="163"/>
      <c r="E826" s="164"/>
      <c r="F826" s="165"/>
      <c r="G826" s="166">
        <f t="shared" si="4"/>
        <v>0</v>
      </c>
      <c r="H826" s="167"/>
    </row>
    <row r="827" spans="1:8" ht="22.5" customHeight="1">
      <c r="A827" s="139"/>
      <c r="B827" s="170"/>
      <c r="C827" s="171"/>
      <c r="D827" s="172"/>
      <c r="E827" s="164"/>
      <c r="F827" s="171"/>
      <c r="G827" s="166">
        <f t="shared" si="4"/>
        <v>0</v>
      </c>
      <c r="H827" s="167"/>
    </row>
    <row r="828" spans="1:8" ht="19.5" customHeight="1">
      <c r="A828" s="146"/>
      <c r="B828" s="162"/>
      <c r="C828" s="165"/>
      <c r="D828" s="163"/>
      <c r="E828" s="164"/>
      <c r="F828" s="165"/>
      <c r="G828" s="166">
        <f t="shared" si="4"/>
        <v>0</v>
      </c>
      <c r="H828" s="167"/>
    </row>
    <row r="829" spans="1:8" ht="22.5" customHeight="1">
      <c r="A829" s="139"/>
      <c r="B829" s="170"/>
      <c r="C829" s="171"/>
      <c r="D829" s="172"/>
      <c r="E829" s="164"/>
      <c r="F829" s="171"/>
      <c r="G829" s="166">
        <f t="shared" si="4"/>
        <v>0</v>
      </c>
      <c r="H829" s="167"/>
    </row>
    <row r="830" spans="1:8" ht="19.5" customHeight="1">
      <c r="A830" s="146"/>
      <c r="B830" s="162"/>
      <c r="C830" s="165"/>
      <c r="D830" s="163"/>
      <c r="E830" s="164"/>
      <c r="F830" s="165"/>
      <c r="G830" s="166">
        <f t="shared" si="4"/>
        <v>0</v>
      </c>
      <c r="H830" s="167"/>
    </row>
    <row r="831" spans="1:8" ht="22.5" customHeight="1">
      <c r="A831" s="139"/>
      <c r="B831" s="170"/>
      <c r="C831" s="171"/>
      <c r="D831" s="172"/>
      <c r="E831" s="164"/>
      <c r="F831" s="171"/>
      <c r="G831" s="166">
        <f t="shared" si="4"/>
        <v>0</v>
      </c>
      <c r="H831" s="167"/>
    </row>
    <row r="832" spans="1:8" ht="20.25" customHeight="1">
      <c r="A832" s="146"/>
      <c r="B832" s="162"/>
      <c r="C832" s="165"/>
      <c r="D832" s="163"/>
      <c r="E832" s="164"/>
      <c r="F832" s="165"/>
      <c r="G832" s="166">
        <f t="shared" si="4"/>
        <v>0</v>
      </c>
      <c r="H832" s="167"/>
    </row>
    <row r="833" spans="1:8" ht="21" customHeight="1">
      <c r="A833" s="139"/>
      <c r="B833" s="170"/>
      <c r="C833" s="171"/>
      <c r="D833" s="172"/>
      <c r="E833" s="164"/>
      <c r="F833" s="171"/>
      <c r="G833" s="166">
        <f t="shared" si="4"/>
        <v>0</v>
      </c>
      <c r="H833" s="167"/>
    </row>
    <row r="834" spans="1:8" ht="21.75" customHeight="1">
      <c r="A834" s="146"/>
      <c r="B834" s="162"/>
      <c r="C834" s="165"/>
      <c r="D834" s="163"/>
      <c r="E834" s="164"/>
      <c r="F834" s="165"/>
      <c r="G834" s="166">
        <f t="shared" si="4"/>
        <v>0</v>
      </c>
      <c r="H834" s="167"/>
    </row>
    <row r="835" spans="1:8" ht="22.5" customHeight="1">
      <c r="A835" s="139"/>
      <c r="B835" s="170"/>
      <c r="C835" s="171"/>
      <c r="D835" s="172"/>
      <c r="E835" s="164"/>
      <c r="F835" s="171"/>
      <c r="G835" s="166">
        <f t="shared" si="4"/>
        <v>0</v>
      </c>
      <c r="H835" s="167"/>
    </row>
    <row r="836" spans="1:8" ht="21" customHeight="1">
      <c r="A836" s="146"/>
      <c r="B836" s="162"/>
      <c r="C836" s="165"/>
      <c r="D836" s="163"/>
      <c r="E836" s="164"/>
      <c r="F836" s="165"/>
      <c r="G836" s="166">
        <f t="shared" si="4"/>
        <v>0</v>
      </c>
      <c r="H836" s="167"/>
    </row>
    <row r="837" spans="1:8" ht="22.5" customHeight="1">
      <c r="A837" s="139"/>
      <c r="B837" s="170"/>
      <c r="C837" s="171"/>
      <c r="D837" s="172"/>
      <c r="E837" s="164"/>
      <c r="F837" s="171"/>
      <c r="G837" s="166">
        <f t="shared" si="4"/>
        <v>0</v>
      </c>
      <c r="H837" s="167"/>
    </row>
    <row r="838" spans="1:8" ht="22.5" customHeight="1">
      <c r="A838" s="146"/>
      <c r="B838" s="162"/>
      <c r="C838" s="165"/>
      <c r="D838" s="163"/>
      <c r="E838" s="164"/>
      <c r="F838" s="165"/>
      <c r="G838" s="166">
        <f t="shared" si="4"/>
        <v>0</v>
      </c>
      <c r="H838" s="167"/>
    </row>
    <row r="839" spans="1:8" ht="22.5" customHeight="1">
      <c r="A839" s="139"/>
      <c r="B839" s="170"/>
      <c r="C839" s="171"/>
      <c r="D839" s="172"/>
      <c r="E839" s="164"/>
      <c r="F839" s="171"/>
      <c r="G839" s="166">
        <f t="shared" si="4"/>
        <v>0</v>
      </c>
      <c r="H839" s="167"/>
    </row>
    <row r="840" spans="1:8" ht="22.5" customHeight="1">
      <c r="A840" s="146"/>
      <c r="B840" s="162"/>
      <c r="C840" s="165"/>
      <c r="D840" s="163"/>
      <c r="E840" s="164"/>
      <c r="F840" s="165"/>
      <c r="G840" s="166">
        <f t="shared" si="4"/>
        <v>0</v>
      </c>
      <c r="H840" s="167"/>
    </row>
    <row r="841" spans="1:8" ht="24" customHeight="1">
      <c r="A841" s="139"/>
      <c r="B841" s="170"/>
      <c r="C841" s="171"/>
      <c r="D841" s="172"/>
      <c r="E841" s="164"/>
      <c r="F841" s="171"/>
      <c r="G841" s="166">
        <f t="shared" si="4"/>
        <v>0</v>
      </c>
      <c r="H841" s="167"/>
    </row>
    <row r="842" spans="1:8" ht="22.5" customHeight="1">
      <c r="A842" s="146"/>
      <c r="B842" s="162"/>
      <c r="C842" s="165"/>
      <c r="D842" s="163"/>
      <c r="E842" s="164"/>
      <c r="F842" s="165"/>
      <c r="G842" s="166">
        <f t="shared" si="4"/>
        <v>0</v>
      </c>
      <c r="H842" s="167"/>
    </row>
    <row r="843" spans="1:8" ht="22.5" customHeight="1">
      <c r="A843" s="139"/>
      <c r="B843" s="170"/>
      <c r="C843" s="171"/>
      <c r="D843" s="172"/>
      <c r="E843" s="164"/>
      <c r="F843" s="171"/>
      <c r="G843" s="166">
        <f t="shared" si="4"/>
        <v>0</v>
      </c>
      <c r="H843" s="167"/>
    </row>
    <row r="844" spans="1:8" ht="22.5" customHeight="1">
      <c r="A844" s="146"/>
      <c r="B844" s="162"/>
      <c r="C844" s="165"/>
      <c r="D844" s="163"/>
      <c r="E844" s="164"/>
      <c r="F844" s="165"/>
      <c r="G844" s="166">
        <f t="shared" si="4"/>
        <v>0</v>
      </c>
      <c r="H844" s="167"/>
    </row>
    <row r="845" spans="1:8" ht="22.5" customHeight="1">
      <c r="A845" s="139"/>
      <c r="B845" s="170"/>
      <c r="C845" s="171"/>
      <c r="D845" s="172"/>
      <c r="E845" s="164"/>
      <c r="F845" s="171"/>
      <c r="G845" s="166">
        <f t="shared" si="4"/>
        <v>0</v>
      </c>
      <c r="H845" s="167"/>
    </row>
    <row r="846" spans="1:8" ht="22.5" customHeight="1">
      <c r="A846" s="146"/>
      <c r="B846" s="176"/>
      <c r="C846" s="165"/>
      <c r="D846" s="163"/>
      <c r="E846" s="164"/>
      <c r="F846" s="165"/>
      <c r="G846" s="166">
        <f t="shared" si="4"/>
        <v>0</v>
      </c>
      <c r="H846" s="167"/>
    </row>
    <row r="847" spans="1:8" ht="22.5" customHeight="1">
      <c r="A847" s="139"/>
      <c r="B847" s="170"/>
      <c r="C847" s="171"/>
      <c r="D847" s="172"/>
      <c r="E847" s="164"/>
      <c r="F847" s="171"/>
      <c r="G847" s="166">
        <f t="shared" ref="G847:G1101" si="5">D847-E847</f>
        <v>0</v>
      </c>
      <c r="H847" s="167"/>
    </row>
    <row r="848" spans="1:8" ht="21" customHeight="1">
      <c r="A848" s="146"/>
      <c r="B848" s="162"/>
      <c r="C848" s="165"/>
      <c r="D848" s="163"/>
      <c r="E848" s="164"/>
      <c r="F848" s="165"/>
      <c r="G848" s="166">
        <f t="shared" si="5"/>
        <v>0</v>
      </c>
      <c r="H848" s="167"/>
    </row>
    <row r="849" spans="1:8" ht="22.5" customHeight="1">
      <c r="A849" s="139"/>
      <c r="B849" s="170"/>
      <c r="C849" s="171"/>
      <c r="D849" s="172"/>
      <c r="E849" s="164"/>
      <c r="F849" s="171"/>
      <c r="G849" s="166">
        <f t="shared" si="5"/>
        <v>0</v>
      </c>
      <c r="H849" s="167"/>
    </row>
    <row r="850" spans="1:8" ht="18.75" customHeight="1">
      <c r="A850" s="146"/>
      <c r="B850" s="162"/>
      <c r="C850" s="165"/>
      <c r="D850" s="163"/>
      <c r="E850" s="164"/>
      <c r="F850" s="165"/>
      <c r="G850" s="166">
        <f t="shared" si="5"/>
        <v>0</v>
      </c>
      <c r="H850" s="167"/>
    </row>
    <row r="851" spans="1:8" ht="18.75" customHeight="1">
      <c r="A851" s="139"/>
      <c r="B851" s="170"/>
      <c r="C851" s="171"/>
      <c r="D851" s="172"/>
      <c r="E851" s="164"/>
      <c r="F851" s="171"/>
      <c r="G851" s="166">
        <f t="shared" si="5"/>
        <v>0</v>
      </c>
      <c r="H851" s="167"/>
    </row>
    <row r="852" spans="1:8" ht="19.5" customHeight="1">
      <c r="A852" s="146"/>
      <c r="B852" s="162"/>
      <c r="C852" s="165"/>
      <c r="D852" s="163"/>
      <c r="E852" s="164"/>
      <c r="F852" s="165"/>
      <c r="G852" s="166">
        <f t="shared" si="5"/>
        <v>0</v>
      </c>
      <c r="H852" s="167"/>
    </row>
    <row r="853" spans="1:8" ht="19.5" customHeight="1">
      <c r="A853" s="139"/>
      <c r="B853" s="170"/>
      <c r="C853" s="171"/>
      <c r="D853" s="172"/>
      <c r="E853" s="164"/>
      <c r="F853" s="171"/>
      <c r="G853" s="166">
        <f t="shared" si="5"/>
        <v>0</v>
      </c>
      <c r="H853" s="167"/>
    </row>
    <row r="854" spans="1:8" ht="18.75" customHeight="1">
      <c r="A854" s="146"/>
      <c r="B854" s="162"/>
      <c r="C854" s="165"/>
      <c r="D854" s="163"/>
      <c r="E854" s="164"/>
      <c r="F854" s="165"/>
      <c r="G854" s="166">
        <f t="shared" si="5"/>
        <v>0</v>
      </c>
      <c r="H854" s="167"/>
    </row>
    <row r="855" spans="1:8" ht="17.25" customHeight="1">
      <c r="A855" s="139"/>
      <c r="B855" s="170"/>
      <c r="C855" s="171"/>
      <c r="D855" s="172"/>
      <c r="E855" s="164"/>
      <c r="F855" s="171"/>
      <c r="G855" s="166">
        <f t="shared" si="5"/>
        <v>0</v>
      </c>
      <c r="H855" s="167"/>
    </row>
    <row r="856" spans="1:8" ht="20.25" customHeight="1">
      <c r="A856" s="146"/>
      <c r="B856" s="162"/>
      <c r="C856" s="165"/>
      <c r="D856" s="163"/>
      <c r="E856" s="164"/>
      <c r="F856" s="165"/>
      <c r="G856" s="166">
        <f t="shared" si="5"/>
        <v>0</v>
      </c>
      <c r="H856" s="167"/>
    </row>
    <row r="857" spans="1:8" ht="21" customHeight="1">
      <c r="A857" s="139"/>
      <c r="B857" s="170"/>
      <c r="C857" s="171"/>
      <c r="D857" s="172"/>
      <c r="E857" s="164"/>
      <c r="F857" s="171"/>
      <c r="G857" s="166">
        <f t="shared" si="5"/>
        <v>0</v>
      </c>
      <c r="H857" s="167"/>
    </row>
    <row r="858" spans="1:8" ht="20.25" customHeight="1">
      <c r="A858" s="146"/>
      <c r="B858" s="162"/>
      <c r="C858" s="165"/>
      <c r="D858" s="163"/>
      <c r="E858" s="164"/>
      <c r="F858" s="165"/>
      <c r="G858" s="166">
        <f t="shared" si="5"/>
        <v>0</v>
      </c>
      <c r="H858" s="167"/>
    </row>
    <row r="859" spans="1:8" ht="19.5" customHeight="1">
      <c r="A859" s="139"/>
      <c r="B859" s="170"/>
      <c r="C859" s="171"/>
      <c r="D859" s="172"/>
      <c r="E859" s="164"/>
      <c r="F859" s="171"/>
      <c r="G859" s="166">
        <f t="shared" si="5"/>
        <v>0</v>
      </c>
      <c r="H859" s="167"/>
    </row>
    <row r="860" spans="1:8" ht="20.25" customHeight="1">
      <c r="A860" s="146"/>
      <c r="B860" s="162"/>
      <c r="C860" s="165"/>
      <c r="D860" s="163"/>
      <c r="E860" s="164"/>
      <c r="F860" s="165"/>
      <c r="G860" s="166">
        <f t="shared" si="5"/>
        <v>0</v>
      </c>
      <c r="H860" s="167"/>
    </row>
    <row r="861" spans="1:8" ht="20.25" customHeight="1">
      <c r="A861" s="139"/>
      <c r="B861" s="170"/>
      <c r="C861" s="171"/>
      <c r="D861" s="172"/>
      <c r="E861" s="164"/>
      <c r="F861" s="171"/>
      <c r="G861" s="166">
        <f t="shared" si="5"/>
        <v>0</v>
      </c>
      <c r="H861" s="167"/>
    </row>
    <row r="862" spans="1:8" ht="22.5" customHeight="1">
      <c r="A862" s="146"/>
      <c r="B862" s="162"/>
      <c r="C862" s="165"/>
      <c r="D862" s="163"/>
      <c r="E862" s="164"/>
      <c r="F862" s="165"/>
      <c r="G862" s="166">
        <f t="shared" si="5"/>
        <v>0</v>
      </c>
      <c r="H862" s="167"/>
    </row>
    <row r="863" spans="1:8" ht="20.25" customHeight="1">
      <c r="A863" s="139"/>
      <c r="B863" s="170"/>
      <c r="C863" s="171"/>
      <c r="D863" s="172"/>
      <c r="E863" s="164"/>
      <c r="F863" s="171"/>
      <c r="G863" s="166">
        <f t="shared" si="5"/>
        <v>0</v>
      </c>
      <c r="H863" s="167"/>
    </row>
    <row r="864" spans="1:8" ht="20.25" customHeight="1">
      <c r="A864" s="146"/>
      <c r="B864" s="162"/>
      <c r="C864" s="165"/>
      <c r="D864" s="163"/>
      <c r="E864" s="164"/>
      <c r="F864" s="165"/>
      <c r="G864" s="166">
        <f t="shared" si="5"/>
        <v>0</v>
      </c>
      <c r="H864" s="167"/>
    </row>
    <row r="865" spans="1:8" ht="22.5" customHeight="1">
      <c r="A865" s="139"/>
      <c r="B865" s="170"/>
      <c r="C865" s="171"/>
      <c r="D865" s="172"/>
      <c r="E865" s="164"/>
      <c r="F865" s="171"/>
      <c r="G865" s="166">
        <f t="shared" si="5"/>
        <v>0</v>
      </c>
      <c r="H865" s="167"/>
    </row>
    <row r="866" spans="1:8" ht="22.5" customHeight="1">
      <c r="A866" s="146"/>
      <c r="B866" s="162"/>
      <c r="C866" s="165"/>
      <c r="D866" s="163"/>
      <c r="E866" s="164"/>
      <c r="F866" s="165"/>
      <c r="G866" s="166">
        <f t="shared" si="5"/>
        <v>0</v>
      </c>
      <c r="H866" s="167"/>
    </row>
    <row r="867" spans="1:8" ht="22.5" customHeight="1">
      <c r="A867" s="139"/>
      <c r="B867" s="170"/>
      <c r="C867" s="171"/>
      <c r="D867" s="172"/>
      <c r="E867" s="164"/>
      <c r="F867" s="171"/>
      <c r="G867" s="166">
        <f t="shared" si="5"/>
        <v>0</v>
      </c>
      <c r="H867" s="167"/>
    </row>
    <row r="868" spans="1:8" ht="22.5" customHeight="1">
      <c r="A868" s="146"/>
      <c r="B868" s="162"/>
      <c r="C868" s="165"/>
      <c r="D868" s="163"/>
      <c r="E868" s="164"/>
      <c r="F868" s="165"/>
      <c r="G868" s="166">
        <f t="shared" si="5"/>
        <v>0</v>
      </c>
      <c r="H868" s="167"/>
    </row>
    <row r="869" spans="1:8" ht="22.5" customHeight="1">
      <c r="A869" s="139"/>
      <c r="B869" s="170"/>
      <c r="C869" s="171"/>
      <c r="D869" s="172"/>
      <c r="E869" s="164"/>
      <c r="F869" s="171"/>
      <c r="G869" s="166">
        <f t="shared" si="5"/>
        <v>0</v>
      </c>
      <c r="H869" s="167"/>
    </row>
    <row r="870" spans="1:8" ht="22.5" customHeight="1">
      <c r="A870" s="146"/>
      <c r="B870" s="162"/>
      <c r="C870" s="165"/>
      <c r="D870" s="163"/>
      <c r="E870" s="164"/>
      <c r="F870" s="165"/>
      <c r="G870" s="166">
        <f t="shared" si="5"/>
        <v>0</v>
      </c>
      <c r="H870" s="167"/>
    </row>
    <row r="871" spans="1:8" ht="22.5" customHeight="1">
      <c r="A871" s="139"/>
      <c r="B871" s="170"/>
      <c r="C871" s="171"/>
      <c r="D871" s="172"/>
      <c r="E871" s="164"/>
      <c r="F871" s="171"/>
      <c r="G871" s="166">
        <f t="shared" si="5"/>
        <v>0</v>
      </c>
      <c r="H871" s="167"/>
    </row>
    <row r="872" spans="1:8" ht="22.5" customHeight="1">
      <c r="A872" s="146"/>
      <c r="B872" s="162"/>
      <c r="C872" s="165"/>
      <c r="D872" s="163"/>
      <c r="E872" s="164"/>
      <c r="F872" s="165"/>
      <c r="G872" s="166">
        <f t="shared" si="5"/>
        <v>0</v>
      </c>
      <c r="H872" s="167"/>
    </row>
    <row r="873" spans="1:8" ht="22.5" customHeight="1">
      <c r="A873" s="139"/>
      <c r="B873" s="170"/>
      <c r="C873" s="171"/>
      <c r="D873" s="172"/>
      <c r="E873" s="164"/>
      <c r="F873" s="171"/>
      <c r="G873" s="166">
        <f t="shared" si="5"/>
        <v>0</v>
      </c>
      <c r="H873" s="167"/>
    </row>
    <row r="874" spans="1:8" ht="22.5" customHeight="1">
      <c r="A874" s="146"/>
      <c r="B874" s="162"/>
      <c r="C874" s="165"/>
      <c r="D874" s="163"/>
      <c r="E874" s="164"/>
      <c r="F874" s="165"/>
      <c r="G874" s="166">
        <f t="shared" si="5"/>
        <v>0</v>
      </c>
      <c r="H874" s="167"/>
    </row>
    <row r="875" spans="1:8" ht="22.5" customHeight="1">
      <c r="A875" s="139"/>
      <c r="B875" s="170"/>
      <c r="C875" s="171"/>
      <c r="D875" s="172"/>
      <c r="E875" s="164"/>
      <c r="F875" s="171"/>
      <c r="G875" s="166">
        <f t="shared" si="5"/>
        <v>0</v>
      </c>
      <c r="H875" s="167"/>
    </row>
    <row r="876" spans="1:8" ht="22.5" customHeight="1">
      <c r="A876" s="146"/>
      <c r="B876" s="162"/>
      <c r="C876" s="165"/>
      <c r="D876" s="163"/>
      <c r="E876" s="164"/>
      <c r="F876" s="165"/>
      <c r="G876" s="166">
        <f t="shared" si="5"/>
        <v>0</v>
      </c>
      <c r="H876" s="167"/>
    </row>
    <row r="877" spans="1:8" ht="22.5" customHeight="1">
      <c r="A877" s="139"/>
      <c r="B877" s="170"/>
      <c r="C877" s="171"/>
      <c r="D877" s="172"/>
      <c r="E877" s="164"/>
      <c r="F877" s="171"/>
      <c r="G877" s="166">
        <f t="shared" si="5"/>
        <v>0</v>
      </c>
      <c r="H877" s="167"/>
    </row>
    <row r="878" spans="1:8" ht="22.5" customHeight="1">
      <c r="A878" s="146"/>
      <c r="B878" s="162"/>
      <c r="C878" s="165"/>
      <c r="D878" s="163"/>
      <c r="E878" s="164"/>
      <c r="F878" s="165"/>
      <c r="G878" s="166">
        <f t="shared" si="5"/>
        <v>0</v>
      </c>
      <c r="H878" s="167"/>
    </row>
    <row r="879" spans="1:8" ht="22.5" customHeight="1">
      <c r="A879" s="139"/>
      <c r="B879" s="170"/>
      <c r="C879" s="171"/>
      <c r="D879" s="172"/>
      <c r="E879" s="164"/>
      <c r="F879" s="171"/>
      <c r="G879" s="166">
        <f t="shared" si="5"/>
        <v>0</v>
      </c>
      <c r="H879" s="167"/>
    </row>
    <row r="880" spans="1:8" ht="22.5" customHeight="1">
      <c r="A880" s="146"/>
      <c r="B880" s="162"/>
      <c r="C880" s="165"/>
      <c r="D880" s="163"/>
      <c r="E880" s="164"/>
      <c r="F880" s="165"/>
      <c r="G880" s="166">
        <f t="shared" si="5"/>
        <v>0</v>
      </c>
      <c r="H880" s="167"/>
    </row>
    <row r="881" spans="1:8" ht="22.5" customHeight="1">
      <c r="A881" s="139"/>
      <c r="B881" s="170"/>
      <c r="C881" s="171"/>
      <c r="D881" s="172"/>
      <c r="E881" s="164"/>
      <c r="F881" s="171"/>
      <c r="G881" s="166">
        <f t="shared" si="5"/>
        <v>0</v>
      </c>
      <c r="H881" s="167"/>
    </row>
    <row r="882" spans="1:8" ht="22.5" customHeight="1">
      <c r="A882" s="146"/>
      <c r="B882" s="162"/>
      <c r="C882" s="165"/>
      <c r="D882" s="163"/>
      <c r="E882" s="164"/>
      <c r="F882" s="165"/>
      <c r="G882" s="166">
        <f t="shared" si="5"/>
        <v>0</v>
      </c>
      <c r="H882" s="167"/>
    </row>
    <row r="883" spans="1:8" ht="22.5" customHeight="1">
      <c r="A883" s="139"/>
      <c r="B883" s="170"/>
      <c r="C883" s="171"/>
      <c r="D883" s="172"/>
      <c r="E883" s="164"/>
      <c r="F883" s="171"/>
      <c r="G883" s="166">
        <f t="shared" si="5"/>
        <v>0</v>
      </c>
      <c r="H883" s="167"/>
    </row>
    <row r="884" spans="1:8" ht="22.5" customHeight="1">
      <c r="A884" s="146"/>
      <c r="B884" s="162"/>
      <c r="C884" s="165"/>
      <c r="D884" s="163"/>
      <c r="E884" s="164"/>
      <c r="F884" s="165"/>
      <c r="G884" s="166">
        <f t="shared" si="5"/>
        <v>0</v>
      </c>
      <c r="H884" s="167"/>
    </row>
    <row r="885" spans="1:8" ht="22.5" customHeight="1">
      <c r="A885" s="139"/>
      <c r="B885" s="170"/>
      <c r="C885" s="171"/>
      <c r="D885" s="172"/>
      <c r="E885" s="164"/>
      <c r="F885" s="171"/>
      <c r="G885" s="166">
        <f t="shared" si="5"/>
        <v>0</v>
      </c>
      <c r="H885" s="167"/>
    </row>
    <row r="886" spans="1:8" ht="22.5" customHeight="1">
      <c r="A886" s="146"/>
      <c r="B886" s="162"/>
      <c r="C886" s="165"/>
      <c r="D886" s="163"/>
      <c r="E886" s="164"/>
      <c r="F886" s="165"/>
      <c r="G886" s="166">
        <f t="shared" si="5"/>
        <v>0</v>
      </c>
      <c r="H886" s="167"/>
    </row>
    <row r="887" spans="1:8" ht="22.5" customHeight="1">
      <c r="A887" s="139"/>
      <c r="B887" s="170"/>
      <c r="C887" s="171"/>
      <c r="D887" s="172"/>
      <c r="E887" s="164"/>
      <c r="F887" s="171"/>
      <c r="G887" s="166">
        <f t="shared" si="5"/>
        <v>0</v>
      </c>
      <c r="H887" s="167"/>
    </row>
    <row r="888" spans="1:8" ht="22.5" customHeight="1">
      <c r="A888" s="146"/>
      <c r="B888" s="162"/>
      <c r="C888" s="165"/>
      <c r="D888" s="163"/>
      <c r="E888" s="164"/>
      <c r="F888" s="165"/>
      <c r="G888" s="166">
        <f t="shared" si="5"/>
        <v>0</v>
      </c>
      <c r="H888" s="167"/>
    </row>
    <row r="889" spans="1:8" ht="22.5" customHeight="1">
      <c r="A889" s="139"/>
      <c r="B889" s="170"/>
      <c r="C889" s="171"/>
      <c r="D889" s="172"/>
      <c r="E889" s="164"/>
      <c r="F889" s="171"/>
      <c r="G889" s="166">
        <f t="shared" si="5"/>
        <v>0</v>
      </c>
      <c r="H889" s="167"/>
    </row>
    <row r="890" spans="1:8" ht="22.5" customHeight="1">
      <c r="A890" s="146"/>
      <c r="B890" s="162"/>
      <c r="C890" s="165"/>
      <c r="D890" s="163"/>
      <c r="E890" s="164"/>
      <c r="F890" s="165"/>
      <c r="G890" s="166">
        <f t="shared" si="5"/>
        <v>0</v>
      </c>
      <c r="H890" s="167"/>
    </row>
    <row r="891" spans="1:8" ht="22.5" customHeight="1">
      <c r="A891" s="139"/>
      <c r="B891" s="170"/>
      <c r="C891" s="171"/>
      <c r="D891" s="172"/>
      <c r="E891" s="164"/>
      <c r="F891" s="171"/>
      <c r="G891" s="166">
        <f t="shared" si="5"/>
        <v>0</v>
      </c>
      <c r="H891" s="167"/>
    </row>
    <row r="892" spans="1:8" ht="22.5" customHeight="1">
      <c r="A892" s="146"/>
      <c r="B892" s="162"/>
      <c r="C892" s="165"/>
      <c r="D892" s="163"/>
      <c r="E892" s="164"/>
      <c r="F892" s="165"/>
      <c r="G892" s="166">
        <f t="shared" si="5"/>
        <v>0</v>
      </c>
      <c r="H892" s="167"/>
    </row>
    <row r="893" spans="1:8" ht="22.5" customHeight="1">
      <c r="A893" s="139"/>
      <c r="B893" s="170"/>
      <c r="C893" s="171"/>
      <c r="D893" s="172"/>
      <c r="E893" s="164"/>
      <c r="F893" s="171"/>
      <c r="G893" s="166">
        <f t="shared" si="5"/>
        <v>0</v>
      </c>
      <c r="H893" s="167"/>
    </row>
    <row r="894" spans="1:8" ht="22.5" customHeight="1">
      <c r="A894" s="146"/>
      <c r="B894" s="162"/>
      <c r="C894" s="165"/>
      <c r="D894" s="163"/>
      <c r="E894" s="164"/>
      <c r="F894" s="165"/>
      <c r="G894" s="166">
        <f t="shared" si="5"/>
        <v>0</v>
      </c>
      <c r="H894" s="167"/>
    </row>
    <row r="895" spans="1:8" ht="22.5" customHeight="1">
      <c r="A895" s="139"/>
      <c r="B895" s="170"/>
      <c r="C895" s="171"/>
      <c r="D895" s="172"/>
      <c r="E895" s="164"/>
      <c r="F895" s="171"/>
      <c r="G895" s="166">
        <f t="shared" si="5"/>
        <v>0</v>
      </c>
      <c r="H895" s="167"/>
    </row>
    <row r="896" spans="1:8" ht="22.5" customHeight="1">
      <c r="A896" s="146"/>
      <c r="B896" s="162"/>
      <c r="C896" s="165"/>
      <c r="D896" s="163"/>
      <c r="E896" s="164"/>
      <c r="F896" s="165"/>
      <c r="G896" s="166">
        <f t="shared" si="5"/>
        <v>0</v>
      </c>
      <c r="H896" s="167"/>
    </row>
    <row r="897" spans="1:8" ht="22.5" customHeight="1">
      <c r="A897" s="139"/>
      <c r="B897" s="170"/>
      <c r="C897" s="171"/>
      <c r="D897" s="172"/>
      <c r="E897" s="164"/>
      <c r="F897" s="171"/>
      <c r="G897" s="166">
        <f t="shared" si="5"/>
        <v>0</v>
      </c>
      <c r="H897" s="167"/>
    </row>
    <row r="898" spans="1:8" ht="22.5" customHeight="1">
      <c r="A898" s="146"/>
      <c r="B898" s="162"/>
      <c r="C898" s="165"/>
      <c r="D898" s="163"/>
      <c r="E898" s="164"/>
      <c r="F898" s="165"/>
      <c r="G898" s="166">
        <f t="shared" si="5"/>
        <v>0</v>
      </c>
      <c r="H898" s="167"/>
    </row>
    <row r="899" spans="1:8" ht="22.5" customHeight="1">
      <c r="A899" s="139"/>
      <c r="B899" s="170"/>
      <c r="C899" s="171"/>
      <c r="D899" s="172"/>
      <c r="E899" s="164"/>
      <c r="F899" s="171"/>
      <c r="G899" s="166">
        <f t="shared" si="5"/>
        <v>0</v>
      </c>
      <c r="H899" s="167"/>
    </row>
    <row r="900" spans="1:8" ht="22.5" customHeight="1">
      <c r="A900" s="146"/>
      <c r="B900" s="162"/>
      <c r="C900" s="165"/>
      <c r="D900" s="163"/>
      <c r="E900" s="164"/>
      <c r="F900" s="165"/>
      <c r="G900" s="166">
        <f t="shared" si="5"/>
        <v>0</v>
      </c>
      <c r="H900" s="167"/>
    </row>
    <row r="901" spans="1:8" ht="22.5" customHeight="1">
      <c r="A901" s="139"/>
      <c r="B901" s="170"/>
      <c r="C901" s="171"/>
      <c r="D901" s="172"/>
      <c r="E901" s="164"/>
      <c r="F901" s="171"/>
      <c r="G901" s="166">
        <f t="shared" si="5"/>
        <v>0</v>
      </c>
      <c r="H901" s="167"/>
    </row>
    <row r="902" spans="1:8" ht="22.5" customHeight="1">
      <c r="A902" s="146"/>
      <c r="B902" s="162"/>
      <c r="C902" s="165"/>
      <c r="D902" s="163"/>
      <c r="E902" s="164"/>
      <c r="F902" s="165"/>
      <c r="G902" s="166">
        <f t="shared" si="5"/>
        <v>0</v>
      </c>
      <c r="H902" s="167"/>
    </row>
    <row r="903" spans="1:8" ht="22.5" customHeight="1">
      <c r="A903" s="139"/>
      <c r="B903" s="170"/>
      <c r="C903" s="171"/>
      <c r="D903" s="172"/>
      <c r="E903" s="164"/>
      <c r="F903" s="171"/>
      <c r="G903" s="166">
        <f t="shared" si="5"/>
        <v>0</v>
      </c>
      <c r="H903" s="167"/>
    </row>
    <row r="904" spans="1:8" ht="22.5" customHeight="1">
      <c r="A904" s="146"/>
      <c r="B904" s="162"/>
      <c r="C904" s="165"/>
      <c r="D904" s="163"/>
      <c r="E904" s="164"/>
      <c r="F904" s="165"/>
      <c r="G904" s="166">
        <f t="shared" si="5"/>
        <v>0</v>
      </c>
      <c r="H904" s="167"/>
    </row>
    <row r="905" spans="1:8" ht="22.5" customHeight="1">
      <c r="A905" s="139"/>
      <c r="B905" s="170"/>
      <c r="C905" s="171"/>
      <c r="D905" s="172"/>
      <c r="E905" s="164"/>
      <c r="F905" s="171"/>
      <c r="G905" s="166">
        <f t="shared" si="5"/>
        <v>0</v>
      </c>
      <c r="H905" s="167"/>
    </row>
    <row r="906" spans="1:8" ht="22.5" customHeight="1">
      <c r="A906" s="146"/>
      <c r="B906" s="162"/>
      <c r="C906" s="165"/>
      <c r="D906" s="163"/>
      <c r="E906" s="164"/>
      <c r="F906" s="165"/>
      <c r="G906" s="166">
        <f t="shared" si="5"/>
        <v>0</v>
      </c>
      <c r="H906" s="167"/>
    </row>
    <row r="907" spans="1:8" ht="22.5" customHeight="1">
      <c r="A907" s="139"/>
      <c r="B907" s="170"/>
      <c r="C907" s="171"/>
      <c r="D907" s="172"/>
      <c r="E907" s="164"/>
      <c r="F907" s="171"/>
      <c r="G907" s="166">
        <f t="shared" si="5"/>
        <v>0</v>
      </c>
      <c r="H907" s="167"/>
    </row>
    <row r="908" spans="1:8" ht="22.5" customHeight="1">
      <c r="A908" s="146"/>
      <c r="B908" s="162"/>
      <c r="C908" s="165"/>
      <c r="D908" s="163"/>
      <c r="E908" s="164"/>
      <c r="F908" s="165"/>
      <c r="G908" s="166">
        <f t="shared" si="5"/>
        <v>0</v>
      </c>
      <c r="H908" s="167"/>
    </row>
    <row r="909" spans="1:8" ht="22.5" customHeight="1">
      <c r="A909" s="139"/>
      <c r="B909" s="170"/>
      <c r="C909" s="171"/>
      <c r="D909" s="172"/>
      <c r="E909" s="164"/>
      <c r="F909" s="171"/>
      <c r="G909" s="166">
        <f t="shared" si="5"/>
        <v>0</v>
      </c>
      <c r="H909" s="167"/>
    </row>
    <row r="910" spans="1:8" ht="22.5" customHeight="1">
      <c r="A910" s="146"/>
      <c r="B910" s="162"/>
      <c r="C910" s="165"/>
      <c r="D910" s="163"/>
      <c r="E910" s="164"/>
      <c r="F910" s="165"/>
      <c r="G910" s="166">
        <f t="shared" si="5"/>
        <v>0</v>
      </c>
      <c r="H910" s="167"/>
    </row>
    <row r="911" spans="1:8" ht="22.5" customHeight="1">
      <c r="A911" s="139"/>
      <c r="B911" s="170"/>
      <c r="C911" s="171"/>
      <c r="D911" s="172"/>
      <c r="E911" s="164"/>
      <c r="F911" s="171"/>
      <c r="G911" s="166">
        <f t="shared" si="5"/>
        <v>0</v>
      </c>
      <c r="H911" s="167"/>
    </row>
    <row r="912" spans="1:8" ht="22.5" customHeight="1">
      <c r="A912" s="146"/>
      <c r="B912" s="162"/>
      <c r="C912" s="165"/>
      <c r="D912" s="163"/>
      <c r="E912" s="164"/>
      <c r="F912" s="165"/>
      <c r="G912" s="166">
        <f t="shared" si="5"/>
        <v>0</v>
      </c>
      <c r="H912" s="167"/>
    </row>
    <row r="913" spans="1:8" ht="22.5" customHeight="1">
      <c r="A913" s="139"/>
      <c r="B913" s="170"/>
      <c r="C913" s="171"/>
      <c r="D913" s="172"/>
      <c r="E913" s="164"/>
      <c r="F913" s="171"/>
      <c r="G913" s="166">
        <f t="shared" si="5"/>
        <v>0</v>
      </c>
      <c r="H913" s="167"/>
    </row>
    <row r="914" spans="1:8" ht="22.5" customHeight="1">
      <c r="A914" s="146"/>
      <c r="B914" s="162"/>
      <c r="C914" s="165"/>
      <c r="D914" s="163"/>
      <c r="E914" s="164"/>
      <c r="F914" s="165"/>
      <c r="G914" s="166">
        <f t="shared" si="5"/>
        <v>0</v>
      </c>
      <c r="H914" s="167"/>
    </row>
    <row r="915" spans="1:8" ht="22.5" customHeight="1">
      <c r="A915" s="139"/>
      <c r="B915" s="170"/>
      <c r="C915" s="171"/>
      <c r="D915" s="172"/>
      <c r="E915" s="164"/>
      <c r="F915" s="171"/>
      <c r="G915" s="166">
        <f t="shared" si="5"/>
        <v>0</v>
      </c>
      <c r="H915" s="167"/>
    </row>
    <row r="916" spans="1:8" ht="22.5" customHeight="1">
      <c r="A916" s="146"/>
      <c r="B916" s="162"/>
      <c r="C916" s="165"/>
      <c r="D916" s="163"/>
      <c r="E916" s="164"/>
      <c r="F916" s="165"/>
      <c r="G916" s="166">
        <f t="shared" si="5"/>
        <v>0</v>
      </c>
      <c r="H916" s="167"/>
    </row>
    <row r="917" spans="1:8" ht="22.5" customHeight="1">
      <c r="A917" s="139"/>
      <c r="B917" s="170"/>
      <c r="C917" s="171"/>
      <c r="D917" s="172"/>
      <c r="E917" s="164"/>
      <c r="F917" s="171"/>
      <c r="G917" s="166">
        <f t="shared" si="5"/>
        <v>0</v>
      </c>
      <c r="H917" s="167"/>
    </row>
    <row r="918" spans="1:8" ht="22.5" customHeight="1">
      <c r="A918" s="146"/>
      <c r="B918" s="162"/>
      <c r="C918" s="165"/>
      <c r="D918" s="163"/>
      <c r="E918" s="164"/>
      <c r="F918" s="165"/>
      <c r="G918" s="166">
        <f t="shared" si="5"/>
        <v>0</v>
      </c>
      <c r="H918" s="167"/>
    </row>
    <row r="919" spans="1:8" ht="22.5" customHeight="1">
      <c r="A919" s="139"/>
      <c r="B919" s="170"/>
      <c r="C919" s="171"/>
      <c r="D919" s="172"/>
      <c r="E919" s="164"/>
      <c r="F919" s="171"/>
      <c r="G919" s="166">
        <f t="shared" si="5"/>
        <v>0</v>
      </c>
      <c r="H919" s="167"/>
    </row>
    <row r="920" spans="1:8" ht="22.5" customHeight="1">
      <c r="A920" s="146"/>
      <c r="B920" s="162"/>
      <c r="C920" s="165"/>
      <c r="D920" s="163"/>
      <c r="E920" s="164"/>
      <c r="F920" s="165"/>
      <c r="G920" s="166">
        <f t="shared" si="5"/>
        <v>0</v>
      </c>
      <c r="H920" s="167"/>
    </row>
    <row r="921" spans="1:8" ht="22.5" customHeight="1">
      <c r="A921" s="139"/>
      <c r="B921" s="170"/>
      <c r="C921" s="171"/>
      <c r="D921" s="172"/>
      <c r="E921" s="164"/>
      <c r="F921" s="171"/>
      <c r="G921" s="166">
        <f t="shared" si="5"/>
        <v>0</v>
      </c>
      <c r="H921" s="167"/>
    </row>
    <row r="922" spans="1:8" ht="22.5" customHeight="1">
      <c r="A922" s="146"/>
      <c r="B922" s="162"/>
      <c r="C922" s="165"/>
      <c r="D922" s="163"/>
      <c r="E922" s="164"/>
      <c r="F922" s="165"/>
      <c r="G922" s="166">
        <f t="shared" si="5"/>
        <v>0</v>
      </c>
      <c r="H922" s="167"/>
    </row>
    <row r="923" spans="1:8" ht="22.5" customHeight="1">
      <c r="A923" s="139"/>
      <c r="B923" s="170"/>
      <c r="C923" s="171"/>
      <c r="D923" s="172"/>
      <c r="E923" s="164"/>
      <c r="F923" s="171"/>
      <c r="G923" s="166">
        <f t="shared" si="5"/>
        <v>0</v>
      </c>
      <c r="H923" s="167"/>
    </row>
    <row r="924" spans="1:8" ht="22.5" customHeight="1">
      <c r="A924" s="146"/>
      <c r="B924" s="162"/>
      <c r="C924" s="165"/>
      <c r="D924" s="163"/>
      <c r="E924" s="164"/>
      <c r="F924" s="165"/>
      <c r="G924" s="166">
        <f t="shared" si="5"/>
        <v>0</v>
      </c>
      <c r="H924" s="167"/>
    </row>
    <row r="925" spans="1:8" ht="22.5" customHeight="1">
      <c r="A925" s="139"/>
      <c r="B925" s="170"/>
      <c r="C925" s="171"/>
      <c r="D925" s="172"/>
      <c r="E925" s="164"/>
      <c r="F925" s="171"/>
      <c r="G925" s="166">
        <f t="shared" si="5"/>
        <v>0</v>
      </c>
      <c r="H925" s="167"/>
    </row>
    <row r="926" spans="1:8" ht="22.5" customHeight="1">
      <c r="A926" s="146"/>
      <c r="B926" s="162"/>
      <c r="C926" s="165"/>
      <c r="D926" s="163"/>
      <c r="E926" s="164"/>
      <c r="F926" s="165"/>
      <c r="G926" s="166">
        <f t="shared" si="5"/>
        <v>0</v>
      </c>
      <c r="H926" s="167"/>
    </row>
    <row r="927" spans="1:8" ht="22.5" customHeight="1">
      <c r="A927" s="139"/>
      <c r="B927" s="170"/>
      <c r="C927" s="171"/>
      <c r="D927" s="172"/>
      <c r="E927" s="164"/>
      <c r="F927" s="171"/>
      <c r="G927" s="166">
        <f t="shared" si="5"/>
        <v>0</v>
      </c>
      <c r="H927" s="167"/>
    </row>
    <row r="928" spans="1:8" ht="22.5" customHeight="1">
      <c r="A928" s="146"/>
      <c r="B928" s="162"/>
      <c r="C928" s="165"/>
      <c r="D928" s="163"/>
      <c r="E928" s="164"/>
      <c r="F928" s="165"/>
      <c r="G928" s="166">
        <f t="shared" si="5"/>
        <v>0</v>
      </c>
      <c r="H928" s="167"/>
    </row>
    <row r="929" spans="1:8" ht="22.5" customHeight="1">
      <c r="A929" s="139"/>
      <c r="B929" s="170"/>
      <c r="C929" s="171"/>
      <c r="D929" s="172"/>
      <c r="E929" s="164"/>
      <c r="F929" s="171"/>
      <c r="G929" s="166">
        <f t="shared" si="5"/>
        <v>0</v>
      </c>
      <c r="H929" s="167"/>
    </row>
    <row r="930" spans="1:8" ht="22.5" customHeight="1">
      <c r="A930" s="146"/>
      <c r="B930" s="162"/>
      <c r="C930" s="165"/>
      <c r="D930" s="163"/>
      <c r="E930" s="164"/>
      <c r="F930" s="165"/>
      <c r="G930" s="166">
        <f t="shared" si="5"/>
        <v>0</v>
      </c>
      <c r="H930" s="167"/>
    </row>
    <row r="931" spans="1:8" ht="22.5" customHeight="1">
      <c r="A931" s="139"/>
      <c r="B931" s="170"/>
      <c r="C931" s="171"/>
      <c r="D931" s="172"/>
      <c r="E931" s="164"/>
      <c r="F931" s="171"/>
      <c r="G931" s="166">
        <f t="shared" si="5"/>
        <v>0</v>
      </c>
      <c r="H931" s="167"/>
    </row>
    <row r="932" spans="1:8" ht="22.5" customHeight="1">
      <c r="A932" s="146"/>
      <c r="B932" s="162"/>
      <c r="C932" s="165"/>
      <c r="D932" s="163"/>
      <c r="E932" s="164"/>
      <c r="F932" s="165"/>
      <c r="G932" s="166">
        <f t="shared" si="5"/>
        <v>0</v>
      </c>
      <c r="H932" s="167"/>
    </row>
    <row r="933" spans="1:8" ht="22.5" customHeight="1">
      <c r="A933" s="139"/>
      <c r="B933" s="170"/>
      <c r="C933" s="171"/>
      <c r="D933" s="172"/>
      <c r="E933" s="164"/>
      <c r="F933" s="171"/>
      <c r="G933" s="166">
        <f t="shared" si="5"/>
        <v>0</v>
      </c>
      <c r="H933" s="167"/>
    </row>
    <row r="934" spans="1:8" ht="22.5" customHeight="1">
      <c r="A934" s="146"/>
      <c r="B934" s="162"/>
      <c r="C934" s="165"/>
      <c r="D934" s="163"/>
      <c r="E934" s="164"/>
      <c r="F934" s="165"/>
      <c r="G934" s="166">
        <f t="shared" si="5"/>
        <v>0</v>
      </c>
      <c r="H934" s="167"/>
    </row>
    <row r="935" spans="1:8" ht="22.5" customHeight="1">
      <c r="A935" s="139"/>
      <c r="B935" s="170"/>
      <c r="C935" s="171"/>
      <c r="D935" s="172"/>
      <c r="E935" s="164"/>
      <c r="F935" s="171"/>
      <c r="G935" s="166">
        <f t="shared" si="5"/>
        <v>0</v>
      </c>
      <c r="H935" s="167"/>
    </row>
    <row r="936" spans="1:8" ht="22.5" customHeight="1">
      <c r="A936" s="146"/>
      <c r="B936" s="162"/>
      <c r="C936" s="165"/>
      <c r="D936" s="163"/>
      <c r="E936" s="164"/>
      <c r="F936" s="165"/>
      <c r="G936" s="166">
        <f t="shared" si="5"/>
        <v>0</v>
      </c>
      <c r="H936" s="167"/>
    </row>
    <row r="937" spans="1:8" ht="22.5" customHeight="1">
      <c r="A937" s="139"/>
      <c r="B937" s="170"/>
      <c r="C937" s="171"/>
      <c r="D937" s="172"/>
      <c r="E937" s="164"/>
      <c r="F937" s="171"/>
      <c r="G937" s="166">
        <f t="shared" si="5"/>
        <v>0</v>
      </c>
      <c r="H937" s="167"/>
    </row>
    <row r="938" spans="1:8" ht="22.5" customHeight="1">
      <c r="A938" s="146"/>
      <c r="B938" s="162"/>
      <c r="C938" s="165"/>
      <c r="D938" s="163"/>
      <c r="E938" s="164"/>
      <c r="F938" s="165"/>
      <c r="G938" s="166">
        <f t="shared" si="5"/>
        <v>0</v>
      </c>
      <c r="H938" s="167"/>
    </row>
    <row r="939" spans="1:8" ht="22.5" customHeight="1">
      <c r="A939" s="139"/>
      <c r="B939" s="170"/>
      <c r="C939" s="171"/>
      <c r="D939" s="172"/>
      <c r="E939" s="164"/>
      <c r="F939" s="171"/>
      <c r="G939" s="166">
        <f t="shared" si="5"/>
        <v>0</v>
      </c>
      <c r="H939" s="167"/>
    </row>
    <row r="940" spans="1:8" ht="22.5" customHeight="1">
      <c r="A940" s="146"/>
      <c r="B940" s="162"/>
      <c r="C940" s="165"/>
      <c r="D940" s="163"/>
      <c r="E940" s="164"/>
      <c r="F940" s="165"/>
      <c r="G940" s="166">
        <f t="shared" si="5"/>
        <v>0</v>
      </c>
      <c r="H940" s="167"/>
    </row>
    <row r="941" spans="1:8" ht="22.5" customHeight="1">
      <c r="A941" s="139"/>
      <c r="B941" s="170"/>
      <c r="C941" s="171"/>
      <c r="D941" s="172"/>
      <c r="E941" s="164"/>
      <c r="F941" s="171"/>
      <c r="G941" s="166">
        <f t="shared" si="5"/>
        <v>0</v>
      </c>
      <c r="H941" s="167"/>
    </row>
    <row r="942" spans="1:8" ht="22.5" customHeight="1">
      <c r="A942" s="146"/>
      <c r="B942" s="162"/>
      <c r="C942" s="165"/>
      <c r="D942" s="163"/>
      <c r="E942" s="164"/>
      <c r="F942" s="165"/>
      <c r="G942" s="166">
        <f t="shared" si="5"/>
        <v>0</v>
      </c>
      <c r="H942" s="167"/>
    </row>
    <row r="943" spans="1:8" ht="22.5" customHeight="1">
      <c r="A943" s="139"/>
      <c r="B943" s="170"/>
      <c r="C943" s="171"/>
      <c r="D943" s="172"/>
      <c r="E943" s="164"/>
      <c r="F943" s="171"/>
      <c r="G943" s="166">
        <f t="shared" si="5"/>
        <v>0</v>
      </c>
      <c r="H943" s="167"/>
    </row>
    <row r="944" spans="1:8" ht="22.5" customHeight="1">
      <c r="A944" s="146"/>
      <c r="B944" s="162"/>
      <c r="C944" s="165"/>
      <c r="D944" s="163"/>
      <c r="E944" s="164"/>
      <c r="F944" s="165"/>
      <c r="G944" s="166">
        <f t="shared" si="5"/>
        <v>0</v>
      </c>
      <c r="H944" s="167"/>
    </row>
    <row r="945" spans="1:8" ht="22.5" customHeight="1">
      <c r="A945" s="139"/>
      <c r="B945" s="170"/>
      <c r="C945" s="171"/>
      <c r="D945" s="172"/>
      <c r="E945" s="164"/>
      <c r="F945" s="171"/>
      <c r="G945" s="166">
        <f t="shared" si="5"/>
        <v>0</v>
      </c>
      <c r="H945" s="167"/>
    </row>
    <row r="946" spans="1:8" ht="22.5" customHeight="1">
      <c r="A946" s="146"/>
      <c r="B946" s="162"/>
      <c r="C946" s="165"/>
      <c r="D946" s="163"/>
      <c r="E946" s="164"/>
      <c r="F946" s="165"/>
      <c r="G946" s="166">
        <f t="shared" si="5"/>
        <v>0</v>
      </c>
      <c r="H946" s="167"/>
    </row>
    <row r="947" spans="1:8" ht="22.5" customHeight="1">
      <c r="A947" s="139"/>
      <c r="B947" s="170"/>
      <c r="C947" s="171"/>
      <c r="D947" s="172"/>
      <c r="E947" s="164"/>
      <c r="F947" s="171"/>
      <c r="G947" s="166">
        <f t="shared" si="5"/>
        <v>0</v>
      </c>
      <c r="H947" s="167"/>
    </row>
    <row r="948" spans="1:8" ht="22.5" customHeight="1">
      <c r="A948" s="146"/>
      <c r="B948" s="162"/>
      <c r="C948" s="165"/>
      <c r="D948" s="163"/>
      <c r="E948" s="164"/>
      <c r="F948" s="165"/>
      <c r="G948" s="166">
        <f t="shared" si="5"/>
        <v>0</v>
      </c>
      <c r="H948" s="167"/>
    </row>
    <row r="949" spans="1:8" ht="22.5" customHeight="1">
      <c r="A949" s="139"/>
      <c r="B949" s="170"/>
      <c r="C949" s="171"/>
      <c r="D949" s="172"/>
      <c r="E949" s="164"/>
      <c r="F949" s="171"/>
      <c r="G949" s="166">
        <f t="shared" si="5"/>
        <v>0</v>
      </c>
      <c r="H949" s="167"/>
    </row>
    <row r="950" spans="1:8" ht="22.5" customHeight="1">
      <c r="A950" s="146"/>
      <c r="B950" s="162"/>
      <c r="C950" s="165"/>
      <c r="D950" s="163"/>
      <c r="E950" s="164"/>
      <c r="F950" s="165"/>
      <c r="G950" s="166">
        <f t="shared" si="5"/>
        <v>0</v>
      </c>
      <c r="H950" s="167"/>
    </row>
    <row r="951" spans="1:8" ht="22.5" customHeight="1">
      <c r="A951" s="139"/>
      <c r="B951" s="170"/>
      <c r="C951" s="171"/>
      <c r="D951" s="172"/>
      <c r="E951" s="164"/>
      <c r="F951" s="171"/>
      <c r="G951" s="166">
        <f t="shared" si="5"/>
        <v>0</v>
      </c>
      <c r="H951" s="167"/>
    </row>
    <row r="952" spans="1:8" ht="22.5" customHeight="1">
      <c r="A952" s="146"/>
      <c r="B952" s="162"/>
      <c r="C952" s="165"/>
      <c r="D952" s="163"/>
      <c r="E952" s="164"/>
      <c r="F952" s="165"/>
      <c r="G952" s="166">
        <f t="shared" si="5"/>
        <v>0</v>
      </c>
      <c r="H952" s="167"/>
    </row>
    <row r="953" spans="1:8" ht="22.5" customHeight="1">
      <c r="A953" s="139"/>
      <c r="B953" s="170"/>
      <c r="C953" s="171"/>
      <c r="D953" s="172"/>
      <c r="E953" s="164"/>
      <c r="F953" s="171"/>
      <c r="G953" s="166">
        <f t="shared" si="5"/>
        <v>0</v>
      </c>
      <c r="H953" s="167"/>
    </row>
    <row r="954" spans="1:8" ht="22.5" customHeight="1">
      <c r="A954" s="146"/>
      <c r="B954" s="162"/>
      <c r="C954" s="165"/>
      <c r="D954" s="163"/>
      <c r="E954" s="164"/>
      <c r="F954" s="165"/>
      <c r="G954" s="166">
        <f t="shared" si="5"/>
        <v>0</v>
      </c>
      <c r="H954" s="167"/>
    </row>
    <row r="955" spans="1:8" ht="22.5" customHeight="1">
      <c r="A955" s="139"/>
      <c r="B955" s="179"/>
      <c r="C955" s="171"/>
      <c r="D955" s="172"/>
      <c r="E955" s="164"/>
      <c r="F955" s="171"/>
      <c r="G955" s="166">
        <f t="shared" si="5"/>
        <v>0</v>
      </c>
      <c r="H955" s="167"/>
    </row>
    <row r="956" spans="1:8" ht="22.5" customHeight="1">
      <c r="A956" s="146"/>
      <c r="B956" s="162"/>
      <c r="C956" s="165"/>
      <c r="D956" s="163"/>
      <c r="E956" s="164"/>
      <c r="F956" s="165"/>
      <c r="G956" s="166">
        <f t="shared" si="5"/>
        <v>0</v>
      </c>
      <c r="H956" s="167"/>
    </row>
    <row r="957" spans="1:8" ht="22.5" customHeight="1">
      <c r="A957" s="139"/>
      <c r="B957" s="170"/>
      <c r="C957" s="171"/>
      <c r="D957" s="172"/>
      <c r="E957" s="164"/>
      <c r="F957" s="171"/>
      <c r="G957" s="166">
        <f t="shared" si="5"/>
        <v>0</v>
      </c>
      <c r="H957" s="167"/>
    </row>
    <row r="958" spans="1:8" ht="22.5" customHeight="1">
      <c r="A958" s="146"/>
      <c r="B958" s="162"/>
      <c r="C958" s="165"/>
      <c r="D958" s="163"/>
      <c r="E958" s="164"/>
      <c r="F958" s="165"/>
      <c r="G958" s="166">
        <f t="shared" si="5"/>
        <v>0</v>
      </c>
      <c r="H958" s="167"/>
    </row>
    <row r="959" spans="1:8" ht="22.5" customHeight="1">
      <c r="A959" s="139"/>
      <c r="B959" s="170"/>
      <c r="C959" s="171"/>
      <c r="D959" s="172"/>
      <c r="E959" s="164"/>
      <c r="F959" s="171"/>
      <c r="G959" s="166">
        <f t="shared" si="5"/>
        <v>0</v>
      </c>
      <c r="H959" s="167"/>
    </row>
    <row r="960" spans="1:8" ht="22.5" customHeight="1">
      <c r="A960" s="146"/>
      <c r="B960" s="162"/>
      <c r="C960" s="165"/>
      <c r="D960" s="163"/>
      <c r="E960" s="164"/>
      <c r="F960" s="165"/>
      <c r="G960" s="166">
        <f t="shared" si="5"/>
        <v>0</v>
      </c>
      <c r="H960" s="167"/>
    </row>
    <row r="961" spans="1:8" ht="22.5" customHeight="1">
      <c r="A961" s="139"/>
      <c r="B961" s="170"/>
      <c r="C961" s="171"/>
      <c r="D961" s="172"/>
      <c r="E961" s="164"/>
      <c r="F961" s="171"/>
      <c r="G961" s="166">
        <f t="shared" si="5"/>
        <v>0</v>
      </c>
      <c r="H961" s="167"/>
    </row>
    <row r="962" spans="1:8" ht="22.5" customHeight="1">
      <c r="A962" s="146"/>
      <c r="B962" s="162"/>
      <c r="C962" s="165"/>
      <c r="D962" s="163"/>
      <c r="E962" s="164"/>
      <c r="F962" s="165"/>
      <c r="G962" s="166">
        <f t="shared" si="5"/>
        <v>0</v>
      </c>
      <c r="H962" s="167"/>
    </row>
    <row r="963" spans="1:8" ht="22.5" customHeight="1">
      <c r="A963" s="139"/>
      <c r="B963" s="170"/>
      <c r="C963" s="171"/>
      <c r="D963" s="172"/>
      <c r="E963" s="164"/>
      <c r="F963" s="171"/>
      <c r="G963" s="166">
        <f t="shared" si="5"/>
        <v>0</v>
      </c>
      <c r="H963" s="167"/>
    </row>
    <row r="964" spans="1:8" ht="22.5" customHeight="1">
      <c r="A964" s="146"/>
      <c r="B964" s="162"/>
      <c r="C964" s="165"/>
      <c r="D964" s="163"/>
      <c r="E964" s="164"/>
      <c r="F964" s="165"/>
      <c r="G964" s="166">
        <f t="shared" si="5"/>
        <v>0</v>
      </c>
      <c r="H964" s="167"/>
    </row>
    <row r="965" spans="1:8" ht="22.5" customHeight="1">
      <c r="A965" s="139"/>
      <c r="B965" s="170"/>
      <c r="C965" s="171"/>
      <c r="D965" s="172"/>
      <c r="E965" s="164"/>
      <c r="F965" s="171"/>
      <c r="G965" s="166">
        <f t="shared" si="5"/>
        <v>0</v>
      </c>
      <c r="H965" s="167"/>
    </row>
    <row r="966" spans="1:8" ht="22.5" customHeight="1">
      <c r="A966" s="146"/>
      <c r="B966" s="162"/>
      <c r="C966" s="165"/>
      <c r="D966" s="163"/>
      <c r="E966" s="164"/>
      <c r="F966" s="165"/>
      <c r="G966" s="166">
        <f t="shared" si="5"/>
        <v>0</v>
      </c>
      <c r="H966" s="167"/>
    </row>
    <row r="967" spans="1:8" ht="22.5" customHeight="1">
      <c r="A967" s="139"/>
      <c r="B967" s="170"/>
      <c r="C967" s="171"/>
      <c r="D967" s="172"/>
      <c r="E967" s="164"/>
      <c r="F967" s="171"/>
      <c r="G967" s="166">
        <f t="shared" si="5"/>
        <v>0</v>
      </c>
      <c r="H967" s="167"/>
    </row>
    <row r="968" spans="1:8" ht="22.5" customHeight="1">
      <c r="A968" s="146"/>
      <c r="B968" s="162"/>
      <c r="C968" s="165"/>
      <c r="D968" s="163"/>
      <c r="E968" s="164"/>
      <c r="F968" s="165"/>
      <c r="G968" s="166">
        <f t="shared" si="5"/>
        <v>0</v>
      </c>
      <c r="H968" s="167"/>
    </row>
    <row r="969" spans="1:8" ht="22.5" customHeight="1">
      <c r="A969" s="139"/>
      <c r="B969" s="170"/>
      <c r="C969" s="171"/>
      <c r="D969" s="172"/>
      <c r="E969" s="164"/>
      <c r="F969" s="171"/>
      <c r="G969" s="166">
        <f t="shared" si="5"/>
        <v>0</v>
      </c>
      <c r="H969" s="167"/>
    </row>
    <row r="970" spans="1:8" ht="22.5" customHeight="1">
      <c r="A970" s="146"/>
      <c r="B970" s="162"/>
      <c r="C970" s="165"/>
      <c r="D970" s="163"/>
      <c r="E970" s="164"/>
      <c r="F970" s="165"/>
      <c r="G970" s="166">
        <f t="shared" si="5"/>
        <v>0</v>
      </c>
      <c r="H970" s="167"/>
    </row>
    <row r="971" spans="1:8" ht="22.5" customHeight="1">
      <c r="A971" s="139"/>
      <c r="B971" s="170"/>
      <c r="C971" s="171"/>
      <c r="D971" s="172"/>
      <c r="E971" s="164"/>
      <c r="F971" s="171"/>
      <c r="G971" s="166">
        <f t="shared" si="5"/>
        <v>0</v>
      </c>
      <c r="H971" s="167"/>
    </row>
    <row r="972" spans="1:8" ht="22.5" customHeight="1">
      <c r="A972" s="146"/>
      <c r="B972" s="162"/>
      <c r="C972" s="165"/>
      <c r="D972" s="163"/>
      <c r="E972" s="164"/>
      <c r="F972" s="165"/>
      <c r="G972" s="166">
        <f t="shared" si="5"/>
        <v>0</v>
      </c>
      <c r="H972" s="167"/>
    </row>
    <row r="973" spans="1:8" ht="22.5" customHeight="1">
      <c r="A973" s="139"/>
      <c r="B973" s="170"/>
      <c r="C973" s="171"/>
      <c r="D973" s="172"/>
      <c r="E973" s="164"/>
      <c r="F973" s="171"/>
      <c r="G973" s="166">
        <f t="shared" si="5"/>
        <v>0</v>
      </c>
      <c r="H973" s="167"/>
    </row>
    <row r="974" spans="1:8" ht="22.5" customHeight="1">
      <c r="A974" s="146"/>
      <c r="B974" s="162"/>
      <c r="C974" s="165"/>
      <c r="D974" s="163"/>
      <c r="E974" s="164"/>
      <c r="F974" s="165"/>
      <c r="G974" s="166">
        <f t="shared" si="5"/>
        <v>0</v>
      </c>
      <c r="H974" s="167"/>
    </row>
    <row r="975" spans="1:8" ht="22.5" customHeight="1">
      <c r="A975" s="139"/>
      <c r="B975" s="170"/>
      <c r="C975" s="171"/>
      <c r="D975" s="172"/>
      <c r="E975" s="164"/>
      <c r="F975" s="171"/>
      <c r="G975" s="166">
        <f t="shared" si="5"/>
        <v>0</v>
      </c>
      <c r="H975" s="167"/>
    </row>
    <row r="976" spans="1:8" ht="22.5" customHeight="1">
      <c r="A976" s="146"/>
      <c r="B976" s="162"/>
      <c r="C976" s="165"/>
      <c r="D976" s="163"/>
      <c r="E976" s="164"/>
      <c r="F976" s="165"/>
      <c r="G976" s="166">
        <f t="shared" si="5"/>
        <v>0</v>
      </c>
      <c r="H976" s="167"/>
    </row>
    <row r="977" spans="1:8" ht="22.5" customHeight="1">
      <c r="A977" s="139"/>
      <c r="B977" s="170"/>
      <c r="C977" s="171"/>
      <c r="D977" s="172"/>
      <c r="E977" s="164"/>
      <c r="F977" s="171"/>
      <c r="G977" s="166">
        <f t="shared" si="5"/>
        <v>0</v>
      </c>
      <c r="H977" s="167"/>
    </row>
    <row r="978" spans="1:8" ht="22.5" customHeight="1">
      <c r="A978" s="146"/>
      <c r="B978" s="162"/>
      <c r="C978" s="165"/>
      <c r="D978" s="163"/>
      <c r="E978" s="164"/>
      <c r="F978" s="165"/>
      <c r="G978" s="166">
        <f t="shared" si="5"/>
        <v>0</v>
      </c>
      <c r="H978" s="167"/>
    </row>
    <row r="979" spans="1:8" ht="22.5" customHeight="1">
      <c r="A979" s="139"/>
      <c r="B979" s="170"/>
      <c r="C979" s="171"/>
      <c r="D979" s="172"/>
      <c r="E979" s="164"/>
      <c r="F979" s="171"/>
      <c r="G979" s="166">
        <f t="shared" si="5"/>
        <v>0</v>
      </c>
      <c r="H979" s="167"/>
    </row>
    <row r="980" spans="1:8" ht="22.5" customHeight="1">
      <c r="A980" s="146"/>
      <c r="B980" s="162"/>
      <c r="C980" s="165"/>
      <c r="D980" s="163"/>
      <c r="E980" s="164"/>
      <c r="F980" s="165"/>
      <c r="G980" s="166">
        <f t="shared" si="5"/>
        <v>0</v>
      </c>
      <c r="H980" s="167"/>
    </row>
    <row r="981" spans="1:8" ht="22.5" customHeight="1">
      <c r="A981" s="139"/>
      <c r="B981" s="170"/>
      <c r="C981" s="171"/>
      <c r="D981" s="172"/>
      <c r="E981" s="164"/>
      <c r="F981" s="171"/>
      <c r="G981" s="166">
        <f t="shared" si="5"/>
        <v>0</v>
      </c>
      <c r="H981" s="167"/>
    </row>
    <row r="982" spans="1:8" ht="22.5" customHeight="1">
      <c r="A982" s="146"/>
      <c r="B982" s="162"/>
      <c r="C982" s="165"/>
      <c r="D982" s="163"/>
      <c r="E982" s="164"/>
      <c r="F982" s="165"/>
      <c r="G982" s="166">
        <f t="shared" si="5"/>
        <v>0</v>
      </c>
      <c r="H982" s="167"/>
    </row>
    <row r="983" spans="1:8" ht="22.5" customHeight="1">
      <c r="A983" s="139"/>
      <c r="B983" s="170"/>
      <c r="C983" s="171"/>
      <c r="D983" s="172"/>
      <c r="E983" s="164"/>
      <c r="F983" s="171"/>
      <c r="G983" s="166">
        <f t="shared" si="5"/>
        <v>0</v>
      </c>
      <c r="H983" s="167"/>
    </row>
    <row r="984" spans="1:8" ht="22.5" customHeight="1">
      <c r="A984" s="146"/>
      <c r="B984" s="162"/>
      <c r="C984" s="165"/>
      <c r="D984" s="163"/>
      <c r="E984" s="164"/>
      <c r="F984" s="165"/>
      <c r="G984" s="166">
        <f t="shared" si="5"/>
        <v>0</v>
      </c>
      <c r="H984" s="167"/>
    </row>
    <row r="985" spans="1:8" ht="22.5" customHeight="1">
      <c r="A985" s="139"/>
      <c r="B985" s="170"/>
      <c r="C985" s="171"/>
      <c r="D985" s="172"/>
      <c r="E985" s="164"/>
      <c r="F985" s="171"/>
      <c r="G985" s="166">
        <f t="shared" si="5"/>
        <v>0</v>
      </c>
      <c r="H985" s="167"/>
    </row>
    <row r="986" spans="1:8" ht="22.5" customHeight="1">
      <c r="A986" s="146"/>
      <c r="B986" s="162"/>
      <c r="C986" s="165"/>
      <c r="D986" s="163"/>
      <c r="E986" s="164"/>
      <c r="F986" s="165"/>
      <c r="G986" s="166">
        <f t="shared" si="5"/>
        <v>0</v>
      </c>
      <c r="H986" s="167"/>
    </row>
    <row r="987" spans="1:8" ht="22.5" customHeight="1">
      <c r="A987" s="139"/>
      <c r="B987" s="170"/>
      <c r="C987" s="171"/>
      <c r="D987" s="172"/>
      <c r="E987" s="164"/>
      <c r="F987" s="171"/>
      <c r="G987" s="166">
        <f t="shared" si="5"/>
        <v>0</v>
      </c>
      <c r="H987" s="167"/>
    </row>
    <row r="988" spans="1:8" ht="22.5" customHeight="1">
      <c r="A988" s="146"/>
      <c r="B988" s="162"/>
      <c r="C988" s="165"/>
      <c r="D988" s="163"/>
      <c r="E988" s="164"/>
      <c r="F988" s="165"/>
      <c r="G988" s="166">
        <f t="shared" si="5"/>
        <v>0</v>
      </c>
      <c r="H988" s="167"/>
    </row>
    <row r="989" spans="1:8" ht="22.5" customHeight="1">
      <c r="A989" s="139"/>
      <c r="B989" s="170"/>
      <c r="C989" s="171"/>
      <c r="D989" s="172"/>
      <c r="E989" s="164"/>
      <c r="F989" s="171"/>
      <c r="G989" s="166">
        <f t="shared" si="5"/>
        <v>0</v>
      </c>
      <c r="H989" s="167"/>
    </row>
    <row r="990" spans="1:8" ht="22.5" customHeight="1">
      <c r="A990" s="146"/>
      <c r="B990" s="162"/>
      <c r="C990" s="165"/>
      <c r="D990" s="163"/>
      <c r="E990" s="164"/>
      <c r="F990" s="165"/>
      <c r="G990" s="166">
        <f t="shared" si="5"/>
        <v>0</v>
      </c>
      <c r="H990" s="167"/>
    </row>
    <row r="991" spans="1:8" ht="22.5" customHeight="1">
      <c r="A991" s="139"/>
      <c r="B991" s="170"/>
      <c r="C991" s="171"/>
      <c r="D991" s="172"/>
      <c r="E991" s="164"/>
      <c r="F991" s="171"/>
      <c r="G991" s="166">
        <f t="shared" si="5"/>
        <v>0</v>
      </c>
      <c r="H991" s="167"/>
    </row>
    <row r="992" spans="1:8" ht="22.5" customHeight="1">
      <c r="A992" s="146"/>
      <c r="B992" s="162"/>
      <c r="C992" s="165"/>
      <c r="D992" s="163"/>
      <c r="E992" s="164"/>
      <c r="F992" s="165"/>
      <c r="G992" s="166">
        <f t="shared" si="5"/>
        <v>0</v>
      </c>
      <c r="H992" s="167"/>
    </row>
    <row r="993" spans="1:8" ht="22.5" customHeight="1">
      <c r="A993" s="139"/>
      <c r="B993" s="170"/>
      <c r="C993" s="171"/>
      <c r="D993" s="172"/>
      <c r="E993" s="164"/>
      <c r="F993" s="171"/>
      <c r="G993" s="166">
        <f t="shared" si="5"/>
        <v>0</v>
      </c>
      <c r="H993" s="167"/>
    </row>
    <row r="994" spans="1:8" ht="22.5" customHeight="1">
      <c r="A994" s="146"/>
      <c r="B994" s="162"/>
      <c r="C994" s="165"/>
      <c r="D994" s="163"/>
      <c r="E994" s="164"/>
      <c r="F994" s="165"/>
      <c r="G994" s="166">
        <f t="shared" si="5"/>
        <v>0</v>
      </c>
      <c r="H994" s="167"/>
    </row>
    <row r="995" spans="1:8" ht="22.5" customHeight="1">
      <c r="A995" s="139"/>
      <c r="B995" s="170"/>
      <c r="C995" s="171"/>
      <c r="D995" s="172"/>
      <c r="E995" s="164"/>
      <c r="F995" s="171"/>
      <c r="G995" s="166">
        <f t="shared" si="5"/>
        <v>0</v>
      </c>
      <c r="H995" s="167"/>
    </row>
    <row r="996" spans="1:8" ht="22.5" customHeight="1">
      <c r="A996" s="146"/>
      <c r="B996" s="162"/>
      <c r="C996" s="165"/>
      <c r="D996" s="163"/>
      <c r="E996" s="164"/>
      <c r="F996" s="165"/>
      <c r="G996" s="166">
        <f t="shared" si="5"/>
        <v>0</v>
      </c>
      <c r="H996" s="167"/>
    </row>
    <row r="997" spans="1:8" ht="22.5" customHeight="1">
      <c r="A997" s="139"/>
      <c r="B997" s="170"/>
      <c r="C997" s="171"/>
      <c r="D997" s="172"/>
      <c r="E997" s="164"/>
      <c r="F997" s="171"/>
      <c r="G997" s="166">
        <f t="shared" si="5"/>
        <v>0</v>
      </c>
      <c r="H997" s="167"/>
    </row>
    <row r="998" spans="1:8" ht="22.5" customHeight="1">
      <c r="A998" s="146"/>
      <c r="B998" s="162"/>
      <c r="C998" s="165"/>
      <c r="D998" s="163"/>
      <c r="E998" s="164"/>
      <c r="F998" s="165"/>
      <c r="G998" s="166">
        <f t="shared" si="5"/>
        <v>0</v>
      </c>
      <c r="H998" s="167"/>
    </row>
    <row r="999" spans="1:8" ht="22.5" customHeight="1">
      <c r="A999" s="139"/>
      <c r="B999" s="170"/>
      <c r="C999" s="171"/>
      <c r="D999" s="172"/>
      <c r="E999" s="164"/>
      <c r="F999" s="171"/>
      <c r="G999" s="166">
        <f t="shared" si="5"/>
        <v>0</v>
      </c>
      <c r="H999" s="167"/>
    </row>
    <row r="1000" spans="1:8" ht="22.5" customHeight="1">
      <c r="A1000" s="146"/>
      <c r="B1000" s="162"/>
      <c r="C1000" s="165"/>
      <c r="D1000" s="163"/>
      <c r="E1000" s="164"/>
      <c r="F1000" s="165"/>
      <c r="G1000" s="166">
        <f t="shared" si="5"/>
        <v>0</v>
      </c>
      <c r="H1000" s="167"/>
    </row>
    <row r="1001" spans="1:8" ht="22.5" customHeight="1">
      <c r="A1001" s="139"/>
      <c r="B1001" s="170"/>
      <c r="C1001" s="171"/>
      <c r="D1001" s="172"/>
      <c r="E1001" s="164"/>
      <c r="F1001" s="171"/>
      <c r="G1001" s="166">
        <f t="shared" si="5"/>
        <v>0</v>
      </c>
      <c r="H1001" s="167"/>
    </row>
    <row r="1002" spans="1:8" ht="22.5" customHeight="1">
      <c r="A1002" s="146"/>
      <c r="B1002" s="162"/>
      <c r="C1002" s="165"/>
      <c r="D1002" s="163"/>
      <c r="E1002" s="164"/>
      <c r="F1002" s="165"/>
      <c r="G1002" s="166">
        <f t="shared" si="5"/>
        <v>0</v>
      </c>
      <c r="H1002" s="167"/>
    </row>
    <row r="1003" spans="1:8" ht="22.5" customHeight="1">
      <c r="A1003" s="139"/>
      <c r="B1003" s="170"/>
      <c r="C1003" s="171"/>
      <c r="D1003" s="172"/>
      <c r="E1003" s="164"/>
      <c r="F1003" s="171"/>
      <c r="G1003" s="166">
        <f t="shared" si="5"/>
        <v>0</v>
      </c>
      <c r="H1003" s="167"/>
    </row>
    <row r="1004" spans="1:8" ht="22.5" customHeight="1">
      <c r="A1004" s="146"/>
      <c r="B1004" s="162"/>
      <c r="C1004" s="165"/>
      <c r="D1004" s="163"/>
      <c r="E1004" s="164"/>
      <c r="F1004" s="165"/>
      <c r="G1004" s="166">
        <f t="shared" si="5"/>
        <v>0</v>
      </c>
      <c r="H1004" s="167"/>
    </row>
    <row r="1005" spans="1:8" ht="22.5" customHeight="1">
      <c r="A1005" s="139"/>
      <c r="B1005" s="170"/>
      <c r="C1005" s="171"/>
      <c r="D1005" s="172"/>
      <c r="E1005" s="164"/>
      <c r="F1005" s="171"/>
      <c r="G1005" s="166">
        <f t="shared" si="5"/>
        <v>0</v>
      </c>
      <c r="H1005" s="167"/>
    </row>
    <row r="1006" spans="1:8" ht="22.5" customHeight="1">
      <c r="A1006" s="146"/>
      <c r="B1006" s="162"/>
      <c r="C1006" s="165"/>
      <c r="D1006" s="163"/>
      <c r="E1006" s="164"/>
      <c r="F1006" s="165"/>
      <c r="G1006" s="166">
        <f t="shared" si="5"/>
        <v>0</v>
      </c>
      <c r="H1006" s="167"/>
    </row>
    <row r="1007" spans="1:8" ht="22.5" customHeight="1">
      <c r="A1007" s="139"/>
      <c r="B1007" s="170"/>
      <c r="C1007" s="171"/>
      <c r="D1007" s="172"/>
      <c r="E1007" s="164"/>
      <c r="F1007" s="171"/>
      <c r="G1007" s="166">
        <f t="shared" si="5"/>
        <v>0</v>
      </c>
      <c r="H1007" s="167"/>
    </row>
    <row r="1008" spans="1:8" ht="22.5" customHeight="1">
      <c r="A1008" s="146"/>
      <c r="B1008" s="162"/>
      <c r="C1008" s="165"/>
      <c r="D1008" s="163"/>
      <c r="E1008" s="164"/>
      <c r="F1008" s="165"/>
      <c r="G1008" s="166">
        <f t="shared" si="5"/>
        <v>0</v>
      </c>
      <c r="H1008" s="167"/>
    </row>
    <row r="1009" spans="1:8" ht="22.5" customHeight="1">
      <c r="A1009" s="139"/>
      <c r="B1009" s="170"/>
      <c r="C1009" s="171"/>
      <c r="D1009" s="172"/>
      <c r="E1009" s="164"/>
      <c r="F1009" s="171"/>
      <c r="G1009" s="166">
        <f t="shared" si="5"/>
        <v>0</v>
      </c>
      <c r="H1009" s="167"/>
    </row>
    <row r="1010" spans="1:8" ht="22.5" customHeight="1">
      <c r="A1010" s="146"/>
      <c r="B1010" s="162"/>
      <c r="C1010" s="165"/>
      <c r="D1010" s="163"/>
      <c r="E1010" s="164"/>
      <c r="F1010" s="165"/>
      <c r="G1010" s="166">
        <f t="shared" si="5"/>
        <v>0</v>
      </c>
      <c r="H1010" s="167"/>
    </row>
    <row r="1011" spans="1:8" ht="22.5" customHeight="1">
      <c r="A1011" s="139"/>
      <c r="B1011" s="170"/>
      <c r="C1011" s="171"/>
      <c r="D1011" s="172"/>
      <c r="E1011" s="164"/>
      <c r="F1011" s="171"/>
      <c r="G1011" s="166">
        <f t="shared" si="5"/>
        <v>0</v>
      </c>
      <c r="H1011" s="167"/>
    </row>
    <row r="1012" spans="1:8" ht="22.5" customHeight="1">
      <c r="A1012" s="146"/>
      <c r="B1012" s="162"/>
      <c r="C1012" s="165"/>
      <c r="D1012" s="163"/>
      <c r="E1012" s="164"/>
      <c r="F1012" s="165"/>
      <c r="G1012" s="166">
        <f t="shared" si="5"/>
        <v>0</v>
      </c>
      <c r="H1012" s="167"/>
    </row>
    <row r="1013" spans="1:8" ht="22.5" customHeight="1">
      <c r="A1013" s="139"/>
      <c r="B1013" s="170"/>
      <c r="C1013" s="171"/>
      <c r="D1013" s="172"/>
      <c r="E1013" s="164"/>
      <c r="F1013" s="171"/>
      <c r="G1013" s="166">
        <f t="shared" si="5"/>
        <v>0</v>
      </c>
      <c r="H1013" s="167"/>
    </row>
    <row r="1014" spans="1:8" ht="22.5" customHeight="1">
      <c r="A1014" s="146"/>
      <c r="B1014" s="162"/>
      <c r="C1014" s="165"/>
      <c r="D1014" s="163"/>
      <c r="E1014" s="164"/>
      <c r="F1014" s="165"/>
      <c r="G1014" s="166">
        <f t="shared" si="5"/>
        <v>0</v>
      </c>
      <c r="H1014" s="167"/>
    </row>
    <row r="1015" spans="1:8" ht="22.5" customHeight="1">
      <c r="A1015" s="139"/>
      <c r="B1015" s="170"/>
      <c r="C1015" s="171"/>
      <c r="D1015" s="172"/>
      <c r="E1015" s="164"/>
      <c r="F1015" s="171"/>
      <c r="G1015" s="166">
        <f t="shared" si="5"/>
        <v>0</v>
      </c>
      <c r="H1015" s="167"/>
    </row>
    <row r="1016" spans="1:8" ht="22.5" customHeight="1">
      <c r="A1016" s="146"/>
      <c r="B1016" s="162"/>
      <c r="C1016" s="165"/>
      <c r="D1016" s="163"/>
      <c r="E1016" s="164"/>
      <c r="F1016" s="165"/>
      <c r="G1016" s="166">
        <f t="shared" si="5"/>
        <v>0</v>
      </c>
      <c r="H1016" s="167"/>
    </row>
    <row r="1017" spans="1:8" ht="22.5" customHeight="1">
      <c r="A1017" s="139"/>
      <c r="B1017" s="170"/>
      <c r="C1017" s="171"/>
      <c r="D1017" s="172"/>
      <c r="E1017" s="164"/>
      <c r="F1017" s="171"/>
      <c r="G1017" s="166">
        <f t="shared" si="5"/>
        <v>0</v>
      </c>
      <c r="H1017" s="167"/>
    </row>
    <row r="1018" spans="1:8" ht="22.5" customHeight="1">
      <c r="A1018" s="146"/>
      <c r="B1018" s="162"/>
      <c r="C1018" s="165"/>
      <c r="D1018" s="163"/>
      <c r="E1018" s="164"/>
      <c r="F1018" s="165"/>
      <c r="G1018" s="166">
        <f t="shared" si="5"/>
        <v>0</v>
      </c>
      <c r="H1018" s="167"/>
    </row>
    <row r="1019" spans="1:8" ht="22.5" customHeight="1">
      <c r="A1019" s="139"/>
      <c r="B1019" s="170"/>
      <c r="C1019" s="171"/>
      <c r="D1019" s="172"/>
      <c r="E1019" s="164"/>
      <c r="F1019" s="171"/>
      <c r="G1019" s="166">
        <f t="shared" si="5"/>
        <v>0</v>
      </c>
      <c r="H1019" s="167"/>
    </row>
    <row r="1020" spans="1:8" ht="22.5" customHeight="1">
      <c r="A1020" s="146"/>
      <c r="B1020" s="162"/>
      <c r="C1020" s="165"/>
      <c r="D1020" s="163"/>
      <c r="E1020" s="164"/>
      <c r="F1020" s="165"/>
      <c r="G1020" s="166">
        <f t="shared" si="5"/>
        <v>0</v>
      </c>
      <c r="H1020" s="167"/>
    </row>
    <row r="1021" spans="1:8" ht="22.5" customHeight="1">
      <c r="A1021" s="139"/>
      <c r="B1021" s="170"/>
      <c r="C1021" s="171"/>
      <c r="D1021" s="172"/>
      <c r="E1021" s="164"/>
      <c r="F1021" s="171"/>
      <c r="G1021" s="166">
        <f t="shared" si="5"/>
        <v>0</v>
      </c>
      <c r="H1021" s="167"/>
    </row>
    <row r="1022" spans="1:8" ht="22.5" customHeight="1">
      <c r="A1022" s="146"/>
      <c r="B1022" s="162"/>
      <c r="C1022" s="165"/>
      <c r="D1022" s="163"/>
      <c r="E1022" s="164"/>
      <c r="F1022" s="165"/>
      <c r="G1022" s="166">
        <f t="shared" si="5"/>
        <v>0</v>
      </c>
      <c r="H1022" s="167"/>
    </row>
    <row r="1023" spans="1:8" ht="22.5" customHeight="1">
      <c r="A1023" s="139"/>
      <c r="B1023" s="170"/>
      <c r="C1023" s="171"/>
      <c r="D1023" s="172"/>
      <c r="E1023" s="164"/>
      <c r="F1023" s="171"/>
      <c r="G1023" s="166">
        <f t="shared" si="5"/>
        <v>0</v>
      </c>
      <c r="H1023" s="167"/>
    </row>
    <row r="1024" spans="1:8" ht="22.5" customHeight="1">
      <c r="A1024" s="146"/>
      <c r="B1024" s="162"/>
      <c r="C1024" s="165"/>
      <c r="D1024" s="163"/>
      <c r="E1024" s="164"/>
      <c r="F1024" s="165"/>
      <c r="G1024" s="166">
        <f t="shared" si="5"/>
        <v>0</v>
      </c>
      <c r="H1024" s="167"/>
    </row>
    <row r="1025" spans="1:8" ht="22.5" customHeight="1">
      <c r="A1025" s="139"/>
      <c r="B1025" s="170"/>
      <c r="C1025" s="171"/>
      <c r="D1025" s="172"/>
      <c r="E1025" s="164"/>
      <c r="F1025" s="171"/>
      <c r="G1025" s="166">
        <f t="shared" si="5"/>
        <v>0</v>
      </c>
      <c r="H1025" s="167"/>
    </row>
    <row r="1026" spans="1:8" ht="22.5" customHeight="1">
      <c r="A1026" s="146"/>
      <c r="B1026" s="162"/>
      <c r="C1026" s="165"/>
      <c r="D1026" s="163"/>
      <c r="E1026" s="164"/>
      <c r="F1026" s="165"/>
      <c r="G1026" s="166">
        <f t="shared" si="5"/>
        <v>0</v>
      </c>
      <c r="H1026" s="167"/>
    </row>
    <row r="1027" spans="1:8" ht="22.5" customHeight="1">
      <c r="A1027" s="139"/>
      <c r="B1027" s="170"/>
      <c r="C1027" s="171"/>
      <c r="D1027" s="172"/>
      <c r="E1027" s="164"/>
      <c r="F1027" s="171"/>
      <c r="G1027" s="166">
        <f t="shared" si="5"/>
        <v>0</v>
      </c>
      <c r="H1027" s="167"/>
    </row>
    <row r="1028" spans="1:8" ht="22.5" customHeight="1">
      <c r="A1028" s="146"/>
      <c r="B1028" s="162"/>
      <c r="C1028" s="165"/>
      <c r="D1028" s="163"/>
      <c r="E1028" s="164"/>
      <c r="F1028" s="165"/>
      <c r="G1028" s="166">
        <f t="shared" si="5"/>
        <v>0</v>
      </c>
      <c r="H1028" s="167"/>
    </row>
    <row r="1029" spans="1:8" ht="22.5" customHeight="1">
      <c r="A1029" s="139"/>
      <c r="B1029" s="170"/>
      <c r="C1029" s="171"/>
      <c r="D1029" s="172"/>
      <c r="E1029" s="164"/>
      <c r="F1029" s="171"/>
      <c r="G1029" s="166">
        <f t="shared" si="5"/>
        <v>0</v>
      </c>
      <c r="H1029" s="167"/>
    </row>
    <row r="1030" spans="1:8" ht="22.5" customHeight="1">
      <c r="A1030" s="146"/>
      <c r="B1030" s="162"/>
      <c r="C1030" s="165"/>
      <c r="D1030" s="163"/>
      <c r="E1030" s="164"/>
      <c r="F1030" s="165"/>
      <c r="G1030" s="166">
        <f t="shared" si="5"/>
        <v>0</v>
      </c>
      <c r="H1030" s="167"/>
    </row>
    <row r="1031" spans="1:8" ht="22.5" customHeight="1">
      <c r="A1031" s="139"/>
      <c r="B1031" s="170"/>
      <c r="C1031" s="178"/>
      <c r="D1031" s="177"/>
      <c r="E1031" s="164"/>
      <c r="F1031" s="171"/>
      <c r="G1031" s="166">
        <f t="shared" si="5"/>
        <v>0</v>
      </c>
      <c r="H1031" s="167"/>
    </row>
    <row r="1032" spans="1:8" ht="22.5" customHeight="1">
      <c r="A1032" s="146"/>
      <c r="B1032" s="162"/>
      <c r="C1032" s="165"/>
      <c r="D1032" s="163"/>
      <c r="E1032" s="164"/>
      <c r="F1032" s="165"/>
      <c r="G1032" s="166">
        <f t="shared" si="5"/>
        <v>0</v>
      </c>
      <c r="H1032" s="167"/>
    </row>
    <row r="1033" spans="1:8" ht="22.5" customHeight="1">
      <c r="A1033" s="139"/>
      <c r="B1033" s="170"/>
      <c r="C1033" s="171"/>
      <c r="D1033" s="172"/>
      <c r="E1033" s="164"/>
      <c r="F1033" s="171"/>
      <c r="G1033" s="166">
        <f t="shared" si="5"/>
        <v>0</v>
      </c>
      <c r="H1033" s="167"/>
    </row>
    <row r="1034" spans="1:8" ht="22.5" customHeight="1">
      <c r="A1034" s="146"/>
      <c r="B1034" s="162"/>
      <c r="C1034" s="165"/>
      <c r="D1034" s="163"/>
      <c r="E1034" s="164"/>
      <c r="F1034" s="165"/>
      <c r="G1034" s="166">
        <f t="shared" si="5"/>
        <v>0</v>
      </c>
      <c r="H1034" s="167"/>
    </row>
    <row r="1035" spans="1:8" ht="22.5" customHeight="1">
      <c r="A1035" s="139"/>
      <c r="B1035" s="170"/>
      <c r="C1035" s="171"/>
      <c r="D1035" s="172"/>
      <c r="E1035" s="164"/>
      <c r="F1035" s="171"/>
      <c r="G1035" s="166">
        <f t="shared" si="5"/>
        <v>0</v>
      </c>
      <c r="H1035" s="167"/>
    </row>
    <row r="1036" spans="1:8" ht="22.5" customHeight="1">
      <c r="A1036" s="146"/>
      <c r="B1036" s="162"/>
      <c r="C1036" s="165"/>
      <c r="D1036" s="163"/>
      <c r="E1036" s="164"/>
      <c r="F1036" s="165"/>
      <c r="G1036" s="166">
        <f t="shared" si="5"/>
        <v>0</v>
      </c>
      <c r="H1036" s="167"/>
    </row>
    <row r="1037" spans="1:8" ht="22.5" customHeight="1">
      <c r="A1037" s="139"/>
      <c r="B1037" s="170"/>
      <c r="C1037" s="171"/>
      <c r="D1037" s="172"/>
      <c r="E1037" s="164"/>
      <c r="F1037" s="171"/>
      <c r="G1037" s="166">
        <f t="shared" si="5"/>
        <v>0</v>
      </c>
      <c r="H1037" s="167"/>
    </row>
    <row r="1038" spans="1:8" ht="22.5" customHeight="1">
      <c r="A1038" s="146"/>
      <c r="B1038" s="162"/>
      <c r="C1038" s="165"/>
      <c r="D1038" s="163"/>
      <c r="E1038" s="164"/>
      <c r="F1038" s="165"/>
      <c r="G1038" s="166">
        <f t="shared" si="5"/>
        <v>0</v>
      </c>
      <c r="H1038" s="167"/>
    </row>
    <row r="1039" spans="1:8" ht="22.5" customHeight="1">
      <c r="A1039" s="139"/>
      <c r="B1039" s="170"/>
      <c r="C1039" s="171"/>
      <c r="D1039" s="172"/>
      <c r="E1039" s="164"/>
      <c r="F1039" s="171"/>
      <c r="G1039" s="166">
        <f t="shared" si="5"/>
        <v>0</v>
      </c>
      <c r="H1039" s="167"/>
    </row>
    <row r="1040" spans="1:8" ht="22.5" customHeight="1">
      <c r="A1040" s="146"/>
      <c r="B1040" s="162"/>
      <c r="C1040" s="165"/>
      <c r="D1040" s="163"/>
      <c r="E1040" s="164"/>
      <c r="F1040" s="165"/>
      <c r="G1040" s="166">
        <f t="shared" si="5"/>
        <v>0</v>
      </c>
      <c r="H1040" s="167"/>
    </row>
    <row r="1041" spans="1:8" ht="22.5" customHeight="1">
      <c r="A1041" s="139"/>
      <c r="B1041" s="170"/>
      <c r="C1041" s="171"/>
      <c r="D1041" s="172"/>
      <c r="E1041" s="164"/>
      <c r="F1041" s="171"/>
      <c r="G1041" s="166">
        <f t="shared" si="5"/>
        <v>0</v>
      </c>
      <c r="H1041" s="167"/>
    </row>
    <row r="1042" spans="1:8" ht="22.5" customHeight="1">
      <c r="A1042" s="146"/>
      <c r="B1042" s="162"/>
      <c r="C1042" s="165"/>
      <c r="D1042" s="163"/>
      <c r="E1042" s="164"/>
      <c r="F1042" s="165"/>
      <c r="G1042" s="166">
        <f t="shared" si="5"/>
        <v>0</v>
      </c>
      <c r="H1042" s="167"/>
    </row>
    <row r="1043" spans="1:8" ht="22.5" customHeight="1">
      <c r="A1043" s="139"/>
      <c r="B1043" s="170"/>
      <c r="C1043" s="171"/>
      <c r="D1043" s="172"/>
      <c r="E1043" s="164"/>
      <c r="F1043" s="171"/>
      <c r="G1043" s="166">
        <f t="shared" si="5"/>
        <v>0</v>
      </c>
      <c r="H1043" s="167"/>
    </row>
    <row r="1044" spans="1:8" ht="22.5" customHeight="1">
      <c r="A1044" s="146"/>
      <c r="B1044" s="162"/>
      <c r="C1044" s="165"/>
      <c r="D1044" s="163"/>
      <c r="E1044" s="164"/>
      <c r="F1044" s="165"/>
      <c r="G1044" s="166">
        <f t="shared" si="5"/>
        <v>0</v>
      </c>
      <c r="H1044" s="167"/>
    </row>
    <row r="1045" spans="1:8" ht="22.5" customHeight="1">
      <c r="A1045" s="139"/>
      <c r="B1045" s="170"/>
      <c r="C1045" s="171"/>
      <c r="D1045" s="172"/>
      <c r="E1045" s="164"/>
      <c r="F1045" s="171"/>
      <c r="G1045" s="166">
        <f t="shared" si="5"/>
        <v>0</v>
      </c>
      <c r="H1045" s="167"/>
    </row>
    <row r="1046" spans="1:8" ht="22.5" customHeight="1">
      <c r="A1046" s="146"/>
      <c r="B1046" s="162"/>
      <c r="C1046" s="165"/>
      <c r="D1046" s="163"/>
      <c r="E1046" s="164"/>
      <c r="F1046" s="165"/>
      <c r="G1046" s="166">
        <f t="shared" si="5"/>
        <v>0</v>
      </c>
      <c r="H1046" s="167"/>
    </row>
    <row r="1047" spans="1:8" ht="22.5" customHeight="1">
      <c r="A1047" s="139"/>
      <c r="B1047" s="170"/>
      <c r="C1047" s="171"/>
      <c r="D1047" s="172"/>
      <c r="E1047" s="164"/>
      <c r="F1047" s="171"/>
      <c r="G1047" s="166">
        <f t="shared" si="5"/>
        <v>0</v>
      </c>
      <c r="H1047" s="167"/>
    </row>
    <row r="1048" spans="1:8" ht="22.5" customHeight="1">
      <c r="A1048" s="146"/>
      <c r="B1048" s="162"/>
      <c r="C1048" s="165"/>
      <c r="D1048" s="163"/>
      <c r="E1048" s="164"/>
      <c r="F1048" s="165"/>
      <c r="G1048" s="166">
        <f t="shared" si="5"/>
        <v>0</v>
      </c>
      <c r="H1048" s="167"/>
    </row>
    <row r="1049" spans="1:8" ht="22.5" customHeight="1">
      <c r="A1049" s="139"/>
      <c r="B1049" s="170"/>
      <c r="C1049" s="171"/>
      <c r="D1049" s="172"/>
      <c r="E1049" s="164"/>
      <c r="F1049" s="171"/>
      <c r="G1049" s="166">
        <f t="shared" si="5"/>
        <v>0</v>
      </c>
      <c r="H1049" s="167"/>
    </row>
    <row r="1050" spans="1:8" ht="22.5" customHeight="1">
      <c r="A1050" s="146"/>
      <c r="B1050" s="162"/>
      <c r="C1050" s="165"/>
      <c r="D1050" s="163"/>
      <c r="E1050" s="164"/>
      <c r="F1050" s="165"/>
      <c r="G1050" s="166">
        <f t="shared" si="5"/>
        <v>0</v>
      </c>
      <c r="H1050" s="167"/>
    </row>
    <row r="1051" spans="1:8" ht="22.5" customHeight="1">
      <c r="A1051" s="139"/>
      <c r="B1051" s="170"/>
      <c r="C1051" s="171"/>
      <c r="D1051" s="172"/>
      <c r="E1051" s="164"/>
      <c r="F1051" s="171"/>
      <c r="G1051" s="166">
        <f t="shared" si="5"/>
        <v>0</v>
      </c>
      <c r="H1051" s="167"/>
    </row>
    <row r="1052" spans="1:8" ht="22.5" customHeight="1">
      <c r="A1052" s="146"/>
      <c r="B1052" s="162"/>
      <c r="C1052" s="165"/>
      <c r="D1052" s="163"/>
      <c r="E1052" s="164"/>
      <c r="F1052" s="165"/>
      <c r="G1052" s="166">
        <f t="shared" si="5"/>
        <v>0</v>
      </c>
      <c r="H1052" s="167"/>
    </row>
    <row r="1053" spans="1:8" ht="22.5" customHeight="1">
      <c r="A1053" s="139"/>
      <c r="B1053" s="170"/>
      <c r="C1053" s="171"/>
      <c r="D1053" s="172"/>
      <c r="E1053" s="164"/>
      <c r="F1053" s="171"/>
      <c r="G1053" s="166">
        <f t="shared" si="5"/>
        <v>0</v>
      </c>
      <c r="H1053" s="167"/>
    </row>
    <row r="1054" spans="1:8" ht="22.5" customHeight="1">
      <c r="A1054" s="146"/>
      <c r="B1054" s="162"/>
      <c r="C1054" s="165"/>
      <c r="D1054" s="163"/>
      <c r="E1054" s="164"/>
      <c r="F1054" s="165"/>
      <c r="G1054" s="166">
        <f t="shared" si="5"/>
        <v>0</v>
      </c>
      <c r="H1054" s="167"/>
    </row>
    <row r="1055" spans="1:8" ht="22.5" customHeight="1">
      <c r="A1055" s="139"/>
      <c r="B1055" s="170"/>
      <c r="C1055" s="171"/>
      <c r="D1055" s="172"/>
      <c r="E1055" s="164"/>
      <c r="F1055" s="171"/>
      <c r="G1055" s="166">
        <f t="shared" si="5"/>
        <v>0</v>
      </c>
      <c r="H1055" s="167"/>
    </row>
    <row r="1056" spans="1:8" ht="22.5" customHeight="1">
      <c r="A1056" s="146"/>
      <c r="B1056" s="162"/>
      <c r="C1056" s="165"/>
      <c r="D1056" s="163"/>
      <c r="E1056" s="164"/>
      <c r="F1056" s="165"/>
      <c r="G1056" s="166">
        <f t="shared" si="5"/>
        <v>0</v>
      </c>
      <c r="H1056" s="167"/>
    </row>
    <row r="1057" spans="1:8" ht="22.5" customHeight="1">
      <c r="A1057" s="139"/>
      <c r="B1057" s="170"/>
      <c r="C1057" s="171"/>
      <c r="D1057" s="172"/>
      <c r="E1057" s="164"/>
      <c r="F1057" s="171"/>
      <c r="G1057" s="166">
        <f t="shared" si="5"/>
        <v>0</v>
      </c>
      <c r="H1057" s="167"/>
    </row>
    <row r="1058" spans="1:8" ht="22.5" customHeight="1">
      <c r="A1058" s="146"/>
      <c r="B1058" s="162"/>
      <c r="C1058" s="165"/>
      <c r="D1058" s="163"/>
      <c r="E1058" s="164"/>
      <c r="F1058" s="165"/>
      <c r="G1058" s="166">
        <f t="shared" si="5"/>
        <v>0</v>
      </c>
      <c r="H1058" s="167"/>
    </row>
    <row r="1059" spans="1:8" ht="22.5" customHeight="1">
      <c r="A1059" s="139"/>
      <c r="B1059" s="170"/>
      <c r="C1059" s="171"/>
      <c r="D1059" s="172"/>
      <c r="E1059" s="164"/>
      <c r="F1059" s="171"/>
      <c r="G1059" s="166">
        <f t="shared" si="5"/>
        <v>0</v>
      </c>
      <c r="H1059" s="167"/>
    </row>
    <row r="1060" spans="1:8" ht="22.5" customHeight="1">
      <c r="A1060" s="146"/>
      <c r="B1060" s="162"/>
      <c r="C1060" s="165"/>
      <c r="D1060" s="163"/>
      <c r="E1060" s="164"/>
      <c r="F1060" s="165"/>
      <c r="G1060" s="166">
        <f t="shared" si="5"/>
        <v>0</v>
      </c>
      <c r="H1060" s="167"/>
    </row>
    <row r="1061" spans="1:8" ht="22.5" customHeight="1">
      <c r="A1061" s="139"/>
      <c r="B1061" s="170"/>
      <c r="C1061" s="171"/>
      <c r="D1061" s="172"/>
      <c r="E1061" s="164"/>
      <c r="F1061" s="171"/>
      <c r="G1061" s="166">
        <f t="shared" si="5"/>
        <v>0</v>
      </c>
      <c r="H1061" s="167"/>
    </row>
    <row r="1062" spans="1:8" ht="22.5" customHeight="1">
      <c r="A1062" s="146"/>
      <c r="B1062" s="162"/>
      <c r="C1062" s="165"/>
      <c r="D1062" s="163"/>
      <c r="E1062" s="164"/>
      <c r="F1062" s="165"/>
      <c r="G1062" s="166">
        <f t="shared" si="5"/>
        <v>0</v>
      </c>
      <c r="H1062" s="167"/>
    </row>
    <row r="1063" spans="1:8" ht="22.5" customHeight="1">
      <c r="A1063" s="139"/>
      <c r="B1063" s="179"/>
      <c r="C1063" s="171"/>
      <c r="D1063" s="172"/>
      <c r="E1063" s="164"/>
      <c r="F1063" s="171"/>
      <c r="G1063" s="166">
        <f t="shared" si="5"/>
        <v>0</v>
      </c>
      <c r="H1063" s="167"/>
    </row>
    <row r="1064" spans="1:8" ht="22.5" customHeight="1">
      <c r="A1064" s="146"/>
      <c r="B1064" s="162"/>
      <c r="C1064" s="165"/>
      <c r="D1064" s="163"/>
      <c r="E1064" s="164"/>
      <c r="F1064" s="165"/>
      <c r="G1064" s="166">
        <f t="shared" si="5"/>
        <v>0</v>
      </c>
      <c r="H1064" s="167"/>
    </row>
    <row r="1065" spans="1:8" ht="22.5" customHeight="1">
      <c r="A1065" s="139"/>
      <c r="B1065" s="170"/>
      <c r="C1065" s="171"/>
      <c r="D1065" s="172"/>
      <c r="E1065" s="164"/>
      <c r="F1065" s="171"/>
      <c r="G1065" s="166">
        <f t="shared" si="5"/>
        <v>0</v>
      </c>
      <c r="H1065" s="167"/>
    </row>
    <row r="1066" spans="1:8" ht="22.5" customHeight="1">
      <c r="A1066" s="146"/>
      <c r="B1066" s="162"/>
      <c r="C1066" s="165"/>
      <c r="D1066" s="163"/>
      <c r="E1066" s="164"/>
      <c r="F1066" s="165"/>
      <c r="G1066" s="166">
        <f t="shared" si="5"/>
        <v>0</v>
      </c>
      <c r="H1066" s="167"/>
    </row>
    <row r="1067" spans="1:8" ht="22.5" customHeight="1">
      <c r="A1067" s="139"/>
      <c r="B1067" s="170"/>
      <c r="C1067" s="171"/>
      <c r="D1067" s="172"/>
      <c r="E1067" s="164"/>
      <c r="F1067" s="171"/>
      <c r="G1067" s="166">
        <f t="shared" si="5"/>
        <v>0</v>
      </c>
      <c r="H1067" s="167"/>
    </row>
    <row r="1068" spans="1:8" ht="22.5" customHeight="1">
      <c r="A1068" s="146"/>
      <c r="B1068" s="162"/>
      <c r="C1068" s="165"/>
      <c r="D1068" s="163"/>
      <c r="E1068" s="164"/>
      <c r="F1068" s="165"/>
      <c r="G1068" s="166">
        <f t="shared" si="5"/>
        <v>0</v>
      </c>
      <c r="H1068" s="167"/>
    </row>
    <row r="1069" spans="1:8" ht="22.5" customHeight="1">
      <c r="A1069" s="139"/>
      <c r="B1069" s="170"/>
      <c r="C1069" s="171"/>
      <c r="D1069" s="172"/>
      <c r="E1069" s="164"/>
      <c r="F1069" s="171"/>
      <c r="G1069" s="166">
        <f t="shared" si="5"/>
        <v>0</v>
      </c>
      <c r="H1069" s="167"/>
    </row>
    <row r="1070" spans="1:8" ht="22.5" customHeight="1">
      <c r="A1070" s="146"/>
      <c r="B1070" s="162"/>
      <c r="C1070" s="165"/>
      <c r="D1070" s="163"/>
      <c r="E1070" s="164"/>
      <c r="F1070" s="165"/>
      <c r="G1070" s="166">
        <f t="shared" si="5"/>
        <v>0</v>
      </c>
      <c r="H1070" s="167"/>
    </row>
    <row r="1071" spans="1:8" ht="22.5" customHeight="1">
      <c r="A1071" s="139"/>
      <c r="B1071" s="170"/>
      <c r="C1071" s="171"/>
      <c r="D1071" s="172"/>
      <c r="E1071" s="164"/>
      <c r="F1071" s="171"/>
      <c r="G1071" s="166">
        <f t="shared" si="5"/>
        <v>0</v>
      </c>
      <c r="H1071" s="167"/>
    </row>
    <row r="1072" spans="1:8" ht="22.5" customHeight="1">
      <c r="A1072" s="146"/>
      <c r="B1072" s="162"/>
      <c r="C1072" s="165"/>
      <c r="D1072" s="163"/>
      <c r="E1072" s="164"/>
      <c r="F1072" s="165"/>
      <c r="G1072" s="166">
        <f t="shared" si="5"/>
        <v>0</v>
      </c>
      <c r="H1072" s="167"/>
    </row>
    <row r="1073" spans="1:8" ht="22.5" customHeight="1">
      <c r="A1073" s="139"/>
      <c r="B1073" s="170"/>
      <c r="C1073" s="171"/>
      <c r="D1073" s="172"/>
      <c r="E1073" s="164"/>
      <c r="F1073" s="171"/>
      <c r="G1073" s="166">
        <f t="shared" si="5"/>
        <v>0</v>
      </c>
      <c r="H1073" s="167"/>
    </row>
    <row r="1074" spans="1:8" ht="22.5" customHeight="1">
      <c r="A1074" s="146"/>
      <c r="B1074" s="162"/>
      <c r="C1074" s="165"/>
      <c r="D1074" s="163"/>
      <c r="E1074" s="164"/>
      <c r="F1074" s="165"/>
      <c r="G1074" s="166">
        <f t="shared" si="5"/>
        <v>0</v>
      </c>
      <c r="H1074" s="167"/>
    </row>
    <row r="1075" spans="1:8" ht="22.5" customHeight="1">
      <c r="A1075" s="139"/>
      <c r="B1075" s="170"/>
      <c r="C1075" s="171"/>
      <c r="D1075" s="172"/>
      <c r="E1075" s="164"/>
      <c r="F1075" s="171"/>
      <c r="G1075" s="166">
        <f t="shared" si="5"/>
        <v>0</v>
      </c>
      <c r="H1075" s="167"/>
    </row>
    <row r="1076" spans="1:8" ht="22.5" customHeight="1">
      <c r="A1076" s="146"/>
      <c r="B1076" s="162"/>
      <c r="C1076" s="165"/>
      <c r="D1076" s="163"/>
      <c r="E1076" s="164"/>
      <c r="F1076" s="165"/>
      <c r="G1076" s="166">
        <f t="shared" si="5"/>
        <v>0</v>
      </c>
      <c r="H1076" s="167"/>
    </row>
    <row r="1077" spans="1:8" ht="22.5" customHeight="1">
      <c r="A1077" s="139"/>
      <c r="B1077" s="170"/>
      <c r="C1077" s="171"/>
      <c r="D1077" s="172"/>
      <c r="E1077" s="164"/>
      <c r="F1077" s="171"/>
      <c r="G1077" s="166">
        <f t="shared" si="5"/>
        <v>0</v>
      </c>
      <c r="H1077" s="167"/>
    </row>
    <row r="1078" spans="1:8" ht="22.5" customHeight="1">
      <c r="A1078" s="146"/>
      <c r="B1078" s="162"/>
      <c r="C1078" s="165"/>
      <c r="D1078" s="163"/>
      <c r="E1078" s="164"/>
      <c r="F1078" s="165"/>
      <c r="G1078" s="166">
        <f t="shared" si="5"/>
        <v>0</v>
      </c>
      <c r="H1078" s="167"/>
    </row>
    <row r="1079" spans="1:8" ht="22.5" customHeight="1">
      <c r="A1079" s="139"/>
      <c r="B1079" s="170"/>
      <c r="C1079" s="171"/>
      <c r="D1079" s="172"/>
      <c r="E1079" s="164"/>
      <c r="F1079" s="171"/>
      <c r="G1079" s="166">
        <f t="shared" si="5"/>
        <v>0</v>
      </c>
      <c r="H1079" s="167"/>
    </row>
    <row r="1080" spans="1:8" ht="22.5" customHeight="1">
      <c r="A1080" s="146"/>
      <c r="B1080" s="162"/>
      <c r="C1080" s="165"/>
      <c r="D1080" s="163"/>
      <c r="E1080" s="164"/>
      <c r="F1080" s="165"/>
      <c r="G1080" s="166">
        <f t="shared" si="5"/>
        <v>0</v>
      </c>
      <c r="H1080" s="167"/>
    </row>
    <row r="1081" spans="1:8" ht="22.5" customHeight="1">
      <c r="A1081" s="139"/>
      <c r="B1081" s="170"/>
      <c r="C1081" s="171"/>
      <c r="D1081" s="172"/>
      <c r="E1081" s="164"/>
      <c r="F1081" s="171"/>
      <c r="G1081" s="166">
        <f t="shared" si="5"/>
        <v>0</v>
      </c>
      <c r="H1081" s="167"/>
    </row>
    <row r="1082" spans="1:8" ht="22.5" customHeight="1">
      <c r="A1082" s="146"/>
      <c r="B1082" s="162"/>
      <c r="C1082" s="165"/>
      <c r="D1082" s="163"/>
      <c r="E1082" s="164"/>
      <c r="F1082" s="165"/>
      <c r="G1082" s="166">
        <f t="shared" si="5"/>
        <v>0</v>
      </c>
      <c r="H1082" s="167"/>
    </row>
    <row r="1083" spans="1:8" ht="22.5" customHeight="1">
      <c r="A1083" s="139"/>
      <c r="B1083" s="170"/>
      <c r="C1083" s="171"/>
      <c r="D1083" s="172"/>
      <c r="E1083" s="164"/>
      <c r="F1083" s="171"/>
      <c r="G1083" s="166">
        <f t="shared" si="5"/>
        <v>0</v>
      </c>
      <c r="H1083" s="167"/>
    </row>
    <row r="1084" spans="1:8" ht="22.5" customHeight="1">
      <c r="A1084" s="146"/>
      <c r="B1084" s="162"/>
      <c r="C1084" s="165"/>
      <c r="D1084" s="163"/>
      <c r="E1084" s="164"/>
      <c r="F1084" s="165"/>
      <c r="G1084" s="166">
        <f t="shared" si="5"/>
        <v>0</v>
      </c>
      <c r="H1084" s="167"/>
    </row>
    <row r="1085" spans="1:8" ht="22.5" customHeight="1">
      <c r="A1085" s="139"/>
      <c r="B1085" s="170"/>
      <c r="C1085" s="171"/>
      <c r="D1085" s="172"/>
      <c r="E1085" s="164"/>
      <c r="F1085" s="171"/>
      <c r="G1085" s="166">
        <f t="shared" si="5"/>
        <v>0</v>
      </c>
      <c r="H1085" s="167"/>
    </row>
    <row r="1086" spans="1:8" ht="22.5" customHeight="1">
      <c r="A1086" s="146"/>
      <c r="B1086" s="162"/>
      <c r="C1086" s="165"/>
      <c r="D1086" s="163"/>
      <c r="E1086" s="164"/>
      <c r="F1086" s="165"/>
      <c r="G1086" s="166">
        <f t="shared" si="5"/>
        <v>0</v>
      </c>
      <c r="H1086" s="167"/>
    </row>
    <row r="1087" spans="1:8" ht="22.5" customHeight="1">
      <c r="A1087" s="139"/>
      <c r="B1087" s="170"/>
      <c r="C1087" s="171"/>
      <c r="D1087" s="172"/>
      <c r="E1087" s="164"/>
      <c r="F1087" s="171"/>
      <c r="G1087" s="166">
        <f t="shared" si="5"/>
        <v>0</v>
      </c>
      <c r="H1087" s="167"/>
    </row>
    <row r="1088" spans="1:8" ht="22.5" customHeight="1">
      <c r="A1088" s="146"/>
      <c r="B1088" s="162"/>
      <c r="C1088" s="165"/>
      <c r="D1088" s="163"/>
      <c r="E1088" s="164"/>
      <c r="F1088" s="165"/>
      <c r="G1088" s="166">
        <f t="shared" si="5"/>
        <v>0</v>
      </c>
      <c r="H1088" s="167"/>
    </row>
    <row r="1089" spans="1:8" ht="22.5" customHeight="1">
      <c r="A1089" s="139"/>
      <c r="B1089" s="170"/>
      <c r="C1089" s="171"/>
      <c r="D1089" s="172"/>
      <c r="E1089" s="164"/>
      <c r="F1089" s="171"/>
      <c r="G1089" s="166">
        <f t="shared" si="5"/>
        <v>0</v>
      </c>
      <c r="H1089" s="167"/>
    </row>
    <row r="1090" spans="1:8" ht="22.5" customHeight="1">
      <c r="A1090" s="146"/>
      <c r="B1090" s="162"/>
      <c r="C1090" s="165"/>
      <c r="D1090" s="163"/>
      <c r="E1090" s="164"/>
      <c r="F1090" s="165"/>
      <c r="G1090" s="166">
        <f t="shared" si="5"/>
        <v>0</v>
      </c>
      <c r="H1090" s="167"/>
    </row>
    <row r="1091" spans="1:8" ht="22.5" customHeight="1">
      <c r="A1091" s="139"/>
      <c r="B1091" s="170"/>
      <c r="C1091" s="171"/>
      <c r="D1091" s="172"/>
      <c r="E1091" s="164"/>
      <c r="F1091" s="171"/>
      <c r="G1091" s="166">
        <f t="shared" si="5"/>
        <v>0</v>
      </c>
      <c r="H1091" s="167"/>
    </row>
    <row r="1092" spans="1:8" ht="22.5" customHeight="1">
      <c r="A1092" s="146"/>
      <c r="B1092" s="162"/>
      <c r="C1092" s="165"/>
      <c r="D1092" s="163"/>
      <c r="E1092" s="164"/>
      <c r="F1092" s="165"/>
      <c r="G1092" s="166">
        <f t="shared" si="5"/>
        <v>0</v>
      </c>
      <c r="H1092" s="167"/>
    </row>
    <row r="1093" spans="1:8" ht="22.5" customHeight="1">
      <c r="A1093" s="139"/>
      <c r="B1093" s="170"/>
      <c r="C1093" s="171"/>
      <c r="D1093" s="172"/>
      <c r="E1093" s="164"/>
      <c r="F1093" s="171"/>
      <c r="G1093" s="166">
        <f t="shared" si="5"/>
        <v>0</v>
      </c>
      <c r="H1093" s="167"/>
    </row>
    <row r="1094" spans="1:8" ht="22.5" customHeight="1">
      <c r="A1094" s="146"/>
      <c r="B1094" s="162"/>
      <c r="C1094" s="165"/>
      <c r="D1094" s="163"/>
      <c r="E1094" s="164"/>
      <c r="F1094" s="165"/>
      <c r="G1094" s="166">
        <f t="shared" si="5"/>
        <v>0</v>
      </c>
      <c r="H1094" s="167"/>
    </row>
    <row r="1095" spans="1:8" ht="22.5" customHeight="1">
      <c r="A1095" s="139"/>
      <c r="B1095" s="170"/>
      <c r="C1095" s="171"/>
      <c r="D1095" s="172"/>
      <c r="E1095" s="164"/>
      <c r="F1095" s="171"/>
      <c r="G1095" s="166">
        <f t="shared" si="5"/>
        <v>0</v>
      </c>
      <c r="H1095" s="167"/>
    </row>
    <row r="1096" spans="1:8" ht="22.5" customHeight="1">
      <c r="A1096" s="146"/>
      <c r="B1096" s="162"/>
      <c r="C1096" s="165"/>
      <c r="D1096" s="163"/>
      <c r="E1096" s="164"/>
      <c r="F1096" s="165"/>
      <c r="G1096" s="166">
        <f t="shared" si="5"/>
        <v>0</v>
      </c>
      <c r="H1096" s="167"/>
    </row>
    <row r="1097" spans="1:8" ht="22.5" customHeight="1">
      <c r="A1097" s="139"/>
      <c r="B1097" s="170"/>
      <c r="C1097" s="171"/>
      <c r="D1097" s="172"/>
      <c r="E1097" s="164"/>
      <c r="F1097" s="171"/>
      <c r="G1097" s="166">
        <f t="shared" si="5"/>
        <v>0</v>
      </c>
      <c r="H1097" s="167"/>
    </row>
    <row r="1098" spans="1:8" ht="22.5" customHeight="1">
      <c r="A1098" s="146"/>
      <c r="B1098" s="162"/>
      <c r="C1098" s="165"/>
      <c r="D1098" s="163"/>
      <c r="E1098" s="164"/>
      <c r="F1098" s="165"/>
      <c r="G1098" s="166">
        <f t="shared" si="5"/>
        <v>0</v>
      </c>
      <c r="H1098" s="167"/>
    </row>
    <row r="1099" spans="1:8" ht="22.5" customHeight="1">
      <c r="A1099" s="139"/>
      <c r="B1099" s="170"/>
      <c r="C1099" s="171"/>
      <c r="D1099" s="172"/>
      <c r="E1099" s="164"/>
      <c r="F1099" s="171"/>
      <c r="G1099" s="166">
        <f t="shared" si="5"/>
        <v>0</v>
      </c>
      <c r="H1099" s="167"/>
    </row>
    <row r="1100" spans="1:8" ht="22.5" customHeight="1">
      <c r="A1100" s="146"/>
      <c r="B1100" s="162"/>
      <c r="C1100" s="165"/>
      <c r="D1100" s="163"/>
      <c r="E1100" s="164"/>
      <c r="F1100" s="165"/>
      <c r="G1100" s="166">
        <f t="shared" si="5"/>
        <v>0</v>
      </c>
      <c r="H1100" s="167"/>
    </row>
    <row r="1101" spans="1:8" ht="22.5" customHeight="1">
      <c r="A1101" s="139"/>
      <c r="B1101" s="170"/>
      <c r="C1101" s="171"/>
      <c r="D1101" s="172"/>
      <c r="E1101" s="164"/>
      <c r="F1101" s="171"/>
      <c r="G1101" s="166">
        <f t="shared" si="5"/>
        <v>0</v>
      </c>
      <c r="H1101" s="167"/>
    </row>
    <row r="1102" spans="1:8" ht="22.5" customHeight="1">
      <c r="A1102" s="146"/>
      <c r="B1102" s="162"/>
      <c r="C1102" s="165"/>
      <c r="D1102" s="163"/>
      <c r="E1102" s="164"/>
      <c r="F1102" s="165"/>
      <c r="G1102" s="166">
        <f t="shared" ref="G1102:G1155" si="6">D1102-E1102</f>
        <v>0</v>
      </c>
      <c r="H1102" s="167"/>
    </row>
    <row r="1103" spans="1:8" ht="22.5" customHeight="1">
      <c r="A1103" s="139"/>
      <c r="B1103" s="170"/>
      <c r="C1103" s="171"/>
      <c r="D1103" s="172"/>
      <c r="E1103" s="164"/>
      <c r="F1103" s="171"/>
      <c r="G1103" s="166">
        <f t="shared" si="6"/>
        <v>0</v>
      </c>
      <c r="H1103" s="167"/>
    </row>
    <row r="1104" spans="1:8" ht="22.5" customHeight="1">
      <c r="A1104" s="146"/>
      <c r="B1104" s="162"/>
      <c r="C1104" s="165"/>
      <c r="D1104" s="163"/>
      <c r="E1104" s="164"/>
      <c r="F1104" s="165"/>
      <c r="G1104" s="166">
        <f t="shared" si="6"/>
        <v>0</v>
      </c>
      <c r="H1104" s="167"/>
    </row>
    <row r="1105" spans="1:8" ht="22.5" customHeight="1">
      <c r="A1105" s="139"/>
      <c r="B1105" s="170"/>
      <c r="C1105" s="171"/>
      <c r="D1105" s="172"/>
      <c r="E1105" s="164"/>
      <c r="F1105" s="171"/>
      <c r="G1105" s="166">
        <f t="shared" si="6"/>
        <v>0</v>
      </c>
      <c r="H1105" s="167"/>
    </row>
    <row r="1106" spans="1:8" ht="22.5" customHeight="1">
      <c r="A1106" s="146"/>
      <c r="B1106" s="162"/>
      <c r="C1106" s="165"/>
      <c r="D1106" s="163"/>
      <c r="E1106" s="164"/>
      <c r="F1106" s="165"/>
      <c r="G1106" s="166">
        <f t="shared" si="6"/>
        <v>0</v>
      </c>
      <c r="H1106" s="167"/>
    </row>
    <row r="1107" spans="1:8" ht="22.5" customHeight="1">
      <c r="A1107" s="139"/>
      <c r="B1107" s="170"/>
      <c r="C1107" s="171"/>
      <c r="D1107" s="172"/>
      <c r="E1107" s="164"/>
      <c r="F1107" s="171"/>
      <c r="G1107" s="166">
        <f t="shared" si="6"/>
        <v>0</v>
      </c>
      <c r="H1107" s="167"/>
    </row>
    <row r="1108" spans="1:8" ht="22.5" customHeight="1">
      <c r="A1108" s="146"/>
      <c r="B1108" s="162"/>
      <c r="C1108" s="165"/>
      <c r="D1108" s="163"/>
      <c r="E1108" s="164"/>
      <c r="F1108" s="165"/>
      <c r="G1108" s="166">
        <f t="shared" si="6"/>
        <v>0</v>
      </c>
      <c r="H1108" s="167"/>
    </row>
    <row r="1109" spans="1:8" ht="22.5" customHeight="1">
      <c r="A1109" s="139"/>
      <c r="B1109" s="170"/>
      <c r="C1109" s="171"/>
      <c r="D1109" s="172"/>
      <c r="E1109" s="164"/>
      <c r="F1109" s="171"/>
      <c r="G1109" s="166">
        <f t="shared" si="6"/>
        <v>0</v>
      </c>
      <c r="H1109" s="167"/>
    </row>
    <row r="1110" spans="1:8" ht="22.5" customHeight="1">
      <c r="A1110" s="146"/>
      <c r="B1110" s="162"/>
      <c r="C1110" s="165"/>
      <c r="D1110" s="163"/>
      <c r="E1110" s="164"/>
      <c r="F1110" s="165"/>
      <c r="G1110" s="166">
        <f t="shared" si="6"/>
        <v>0</v>
      </c>
      <c r="H1110" s="167"/>
    </row>
    <row r="1111" spans="1:8" ht="22.5" customHeight="1">
      <c r="A1111" s="139"/>
      <c r="B1111" s="170"/>
      <c r="C1111" s="171"/>
      <c r="D1111" s="172"/>
      <c r="E1111" s="164"/>
      <c r="F1111" s="171"/>
      <c r="G1111" s="166">
        <f t="shared" si="6"/>
        <v>0</v>
      </c>
      <c r="H1111" s="167"/>
    </row>
    <row r="1112" spans="1:8" ht="22.5" customHeight="1">
      <c r="A1112" s="146"/>
      <c r="B1112" s="162"/>
      <c r="C1112" s="165"/>
      <c r="D1112" s="163"/>
      <c r="E1112" s="164"/>
      <c r="F1112" s="165"/>
      <c r="G1112" s="166">
        <f t="shared" si="6"/>
        <v>0</v>
      </c>
      <c r="H1112" s="167"/>
    </row>
    <row r="1113" spans="1:8" ht="22.5" customHeight="1">
      <c r="A1113" s="139"/>
      <c r="B1113" s="170"/>
      <c r="C1113" s="171"/>
      <c r="D1113" s="172"/>
      <c r="E1113" s="164"/>
      <c r="F1113" s="171"/>
      <c r="G1113" s="166">
        <f t="shared" si="6"/>
        <v>0</v>
      </c>
      <c r="H1113" s="167"/>
    </row>
    <row r="1114" spans="1:8" ht="22.5" customHeight="1">
      <c r="A1114" s="146"/>
      <c r="B1114" s="162"/>
      <c r="C1114" s="165"/>
      <c r="D1114" s="163"/>
      <c r="E1114" s="164"/>
      <c r="F1114" s="165"/>
      <c r="G1114" s="166">
        <f t="shared" si="6"/>
        <v>0</v>
      </c>
      <c r="H1114" s="167"/>
    </row>
    <row r="1115" spans="1:8" ht="22.5" customHeight="1">
      <c r="A1115" s="139"/>
      <c r="B1115" s="170"/>
      <c r="C1115" s="171"/>
      <c r="D1115" s="172"/>
      <c r="E1115" s="164"/>
      <c r="F1115" s="171"/>
      <c r="G1115" s="166">
        <f t="shared" si="6"/>
        <v>0</v>
      </c>
      <c r="H1115" s="167"/>
    </row>
    <row r="1116" spans="1:8" ht="22.5" customHeight="1">
      <c r="A1116" s="146"/>
      <c r="B1116" s="162"/>
      <c r="C1116" s="165"/>
      <c r="D1116" s="163"/>
      <c r="E1116" s="164"/>
      <c r="F1116" s="165"/>
      <c r="G1116" s="166">
        <f t="shared" si="6"/>
        <v>0</v>
      </c>
      <c r="H1116" s="167"/>
    </row>
    <row r="1117" spans="1:8" ht="22.5" customHeight="1">
      <c r="A1117" s="139"/>
      <c r="B1117" s="170"/>
      <c r="C1117" s="171"/>
      <c r="D1117" s="172"/>
      <c r="E1117" s="164"/>
      <c r="F1117" s="171"/>
      <c r="G1117" s="166">
        <f t="shared" si="6"/>
        <v>0</v>
      </c>
      <c r="H1117" s="167"/>
    </row>
    <row r="1118" spans="1:8" ht="22.5" customHeight="1">
      <c r="A1118" s="146"/>
      <c r="B1118" s="162"/>
      <c r="C1118" s="165"/>
      <c r="D1118" s="163"/>
      <c r="E1118" s="164"/>
      <c r="F1118" s="165"/>
      <c r="G1118" s="166">
        <f t="shared" si="6"/>
        <v>0</v>
      </c>
      <c r="H1118" s="167"/>
    </row>
    <row r="1119" spans="1:8" ht="22.5" customHeight="1">
      <c r="A1119" s="139"/>
      <c r="B1119" s="170"/>
      <c r="C1119" s="171"/>
      <c r="D1119" s="172"/>
      <c r="E1119" s="164"/>
      <c r="F1119" s="171"/>
      <c r="G1119" s="166">
        <f t="shared" si="6"/>
        <v>0</v>
      </c>
      <c r="H1119" s="167"/>
    </row>
    <row r="1120" spans="1:8" ht="22.5" customHeight="1">
      <c r="A1120" s="146"/>
      <c r="B1120" s="162"/>
      <c r="C1120" s="165"/>
      <c r="D1120" s="163"/>
      <c r="E1120" s="164"/>
      <c r="F1120" s="165"/>
      <c r="G1120" s="166">
        <f t="shared" si="6"/>
        <v>0</v>
      </c>
      <c r="H1120" s="167"/>
    </row>
    <row r="1121" spans="1:8" ht="22.5" customHeight="1">
      <c r="A1121" s="139"/>
      <c r="B1121" s="170"/>
      <c r="C1121" s="171"/>
      <c r="D1121" s="172"/>
      <c r="E1121" s="164"/>
      <c r="F1121" s="171"/>
      <c r="G1121" s="166">
        <f t="shared" si="6"/>
        <v>0</v>
      </c>
      <c r="H1121" s="167"/>
    </row>
    <row r="1122" spans="1:8" ht="22.5" customHeight="1">
      <c r="A1122" s="146"/>
      <c r="B1122" s="162"/>
      <c r="C1122" s="165"/>
      <c r="D1122" s="163"/>
      <c r="E1122" s="164"/>
      <c r="F1122" s="165"/>
      <c r="G1122" s="166">
        <f t="shared" si="6"/>
        <v>0</v>
      </c>
      <c r="H1122" s="167"/>
    </row>
    <row r="1123" spans="1:8" ht="22.5" customHeight="1">
      <c r="A1123" s="139"/>
      <c r="B1123" s="170"/>
      <c r="C1123" s="171"/>
      <c r="D1123" s="172"/>
      <c r="E1123" s="164"/>
      <c r="F1123" s="171"/>
      <c r="G1123" s="166">
        <f t="shared" si="6"/>
        <v>0</v>
      </c>
      <c r="H1123" s="167"/>
    </row>
    <row r="1124" spans="1:8" ht="22.5" customHeight="1">
      <c r="A1124" s="146"/>
      <c r="B1124" s="162"/>
      <c r="C1124" s="165"/>
      <c r="D1124" s="163"/>
      <c r="E1124" s="164"/>
      <c r="F1124" s="165"/>
      <c r="G1124" s="166">
        <f t="shared" si="6"/>
        <v>0</v>
      </c>
      <c r="H1124" s="167"/>
    </row>
    <row r="1125" spans="1:8" ht="22.5" customHeight="1">
      <c r="A1125" s="139"/>
      <c r="B1125" s="170"/>
      <c r="C1125" s="171"/>
      <c r="D1125" s="172"/>
      <c r="E1125" s="164"/>
      <c r="F1125" s="171"/>
      <c r="G1125" s="166">
        <f t="shared" si="6"/>
        <v>0</v>
      </c>
      <c r="H1125" s="167"/>
    </row>
    <row r="1126" spans="1:8" ht="22.5" customHeight="1">
      <c r="A1126" s="146"/>
      <c r="B1126" s="162"/>
      <c r="C1126" s="165"/>
      <c r="D1126" s="163"/>
      <c r="E1126" s="164"/>
      <c r="F1126" s="165"/>
      <c r="G1126" s="166">
        <f t="shared" si="6"/>
        <v>0</v>
      </c>
      <c r="H1126" s="167"/>
    </row>
    <row r="1127" spans="1:8" ht="22.5" customHeight="1">
      <c r="A1127" s="139"/>
      <c r="B1127" s="170"/>
      <c r="C1127" s="171"/>
      <c r="D1127" s="172"/>
      <c r="E1127" s="164"/>
      <c r="F1127" s="171"/>
      <c r="G1127" s="166">
        <f t="shared" si="6"/>
        <v>0</v>
      </c>
      <c r="H1127" s="167"/>
    </row>
    <row r="1128" spans="1:8" ht="22.5" customHeight="1">
      <c r="A1128" s="146"/>
      <c r="B1128" s="162"/>
      <c r="C1128" s="165"/>
      <c r="D1128" s="163"/>
      <c r="E1128" s="164"/>
      <c r="F1128" s="165"/>
      <c r="G1128" s="166">
        <f t="shared" si="6"/>
        <v>0</v>
      </c>
      <c r="H1128" s="167"/>
    </row>
    <row r="1129" spans="1:8" ht="22.5" customHeight="1">
      <c r="A1129" s="139"/>
      <c r="B1129" s="170"/>
      <c r="C1129" s="171"/>
      <c r="D1129" s="172"/>
      <c r="E1129" s="164"/>
      <c r="F1129" s="171"/>
      <c r="G1129" s="166">
        <f t="shared" si="6"/>
        <v>0</v>
      </c>
      <c r="H1129" s="167"/>
    </row>
    <row r="1130" spans="1:8" ht="22.5" customHeight="1">
      <c r="A1130" s="146"/>
      <c r="B1130" s="162"/>
      <c r="C1130" s="165"/>
      <c r="D1130" s="163"/>
      <c r="E1130" s="164"/>
      <c r="F1130" s="165"/>
      <c r="G1130" s="166">
        <f t="shared" si="6"/>
        <v>0</v>
      </c>
      <c r="H1130" s="167"/>
    </row>
    <row r="1131" spans="1:8" ht="22.5" customHeight="1">
      <c r="A1131" s="139"/>
      <c r="B1131" s="170"/>
      <c r="C1131" s="171"/>
      <c r="D1131" s="172"/>
      <c r="E1131" s="164"/>
      <c r="F1131" s="171"/>
      <c r="G1131" s="166">
        <f t="shared" si="6"/>
        <v>0</v>
      </c>
      <c r="H1131" s="167"/>
    </row>
    <row r="1132" spans="1:8" ht="22.5" customHeight="1">
      <c r="A1132" s="146"/>
      <c r="B1132" s="162"/>
      <c r="C1132" s="165"/>
      <c r="D1132" s="163"/>
      <c r="E1132" s="164"/>
      <c r="F1132" s="165"/>
      <c r="G1132" s="166">
        <f t="shared" si="6"/>
        <v>0</v>
      </c>
      <c r="H1132" s="167"/>
    </row>
    <row r="1133" spans="1:8" ht="22.5" customHeight="1">
      <c r="A1133" s="139"/>
      <c r="B1133" s="170"/>
      <c r="C1133" s="171"/>
      <c r="D1133" s="172"/>
      <c r="E1133" s="164"/>
      <c r="F1133" s="171"/>
      <c r="G1133" s="166">
        <f t="shared" si="6"/>
        <v>0</v>
      </c>
      <c r="H1133" s="167"/>
    </row>
    <row r="1134" spans="1:8" ht="22.5" customHeight="1">
      <c r="A1134" s="146"/>
      <c r="B1134" s="162"/>
      <c r="C1134" s="165"/>
      <c r="D1134" s="163"/>
      <c r="E1134" s="164"/>
      <c r="F1134" s="165"/>
      <c r="G1134" s="166">
        <f t="shared" si="6"/>
        <v>0</v>
      </c>
      <c r="H1134" s="167"/>
    </row>
    <row r="1135" spans="1:8" ht="22.5" customHeight="1">
      <c r="A1135" s="139"/>
      <c r="B1135" s="170"/>
      <c r="C1135" s="171"/>
      <c r="D1135" s="172"/>
      <c r="E1135" s="164"/>
      <c r="F1135" s="171"/>
      <c r="G1135" s="166">
        <f t="shared" si="6"/>
        <v>0</v>
      </c>
      <c r="H1135" s="167"/>
    </row>
    <row r="1136" spans="1:8" ht="22.5" customHeight="1">
      <c r="A1136" s="146"/>
      <c r="B1136" s="162"/>
      <c r="C1136" s="165"/>
      <c r="D1136" s="163"/>
      <c r="E1136" s="164"/>
      <c r="F1136" s="165"/>
      <c r="G1136" s="166">
        <f t="shared" si="6"/>
        <v>0</v>
      </c>
      <c r="H1136" s="167"/>
    </row>
    <row r="1137" spans="1:8" ht="22.5" customHeight="1">
      <c r="A1137" s="139"/>
      <c r="B1137" s="170"/>
      <c r="C1137" s="171"/>
      <c r="D1137" s="172"/>
      <c r="E1137" s="164"/>
      <c r="F1137" s="171"/>
      <c r="G1137" s="166">
        <f t="shared" si="6"/>
        <v>0</v>
      </c>
      <c r="H1137" s="167"/>
    </row>
    <row r="1138" spans="1:8" ht="22.5" customHeight="1">
      <c r="A1138" s="146"/>
      <c r="B1138" s="162"/>
      <c r="C1138" s="165"/>
      <c r="D1138" s="163"/>
      <c r="E1138" s="164"/>
      <c r="F1138" s="165"/>
      <c r="G1138" s="166">
        <f t="shared" si="6"/>
        <v>0</v>
      </c>
      <c r="H1138" s="167"/>
    </row>
    <row r="1139" spans="1:8" ht="22.5" customHeight="1">
      <c r="A1139" s="139"/>
      <c r="B1139" s="179"/>
      <c r="C1139" s="171"/>
      <c r="D1139" s="172"/>
      <c r="E1139" s="164"/>
      <c r="F1139" s="171"/>
      <c r="G1139" s="166">
        <f t="shared" si="6"/>
        <v>0</v>
      </c>
      <c r="H1139" s="167"/>
    </row>
    <row r="1140" spans="1:8" ht="22.5" customHeight="1">
      <c r="A1140" s="146"/>
      <c r="B1140" s="162"/>
      <c r="C1140" s="165"/>
      <c r="D1140" s="163"/>
      <c r="E1140" s="164"/>
      <c r="F1140" s="165"/>
      <c r="G1140" s="166">
        <f t="shared" si="6"/>
        <v>0</v>
      </c>
      <c r="H1140" s="167"/>
    </row>
    <row r="1141" spans="1:8" ht="22.5" customHeight="1">
      <c r="A1141" s="139"/>
      <c r="B1141" s="170"/>
      <c r="C1141" s="171"/>
      <c r="D1141" s="172"/>
      <c r="E1141" s="164"/>
      <c r="F1141" s="171"/>
      <c r="G1141" s="166">
        <f t="shared" si="6"/>
        <v>0</v>
      </c>
      <c r="H1141" s="167"/>
    </row>
    <row r="1142" spans="1:8" ht="22.5" customHeight="1">
      <c r="A1142" s="146"/>
      <c r="B1142" s="162"/>
      <c r="C1142" s="187"/>
      <c r="D1142" s="163"/>
      <c r="E1142" s="164"/>
      <c r="F1142" s="165"/>
      <c r="G1142" s="166">
        <f t="shared" si="6"/>
        <v>0</v>
      </c>
      <c r="H1142" s="167"/>
    </row>
    <row r="1143" spans="1:8" ht="22.5" customHeight="1">
      <c r="A1143" s="139"/>
      <c r="B1143" s="170"/>
      <c r="C1143" s="188"/>
      <c r="D1143" s="172"/>
      <c r="E1143" s="164"/>
      <c r="F1143" s="171"/>
      <c r="G1143" s="166">
        <f t="shared" si="6"/>
        <v>0</v>
      </c>
      <c r="H1143" s="167"/>
    </row>
    <row r="1144" spans="1:8" ht="22.5" customHeight="1">
      <c r="A1144" s="146"/>
      <c r="B1144" s="162"/>
      <c r="C1144" s="187"/>
      <c r="D1144" s="163"/>
      <c r="E1144" s="164"/>
      <c r="F1144" s="165"/>
      <c r="G1144" s="166">
        <f t="shared" si="6"/>
        <v>0</v>
      </c>
      <c r="H1144" s="167"/>
    </row>
    <row r="1145" spans="1:8" ht="22.5" customHeight="1">
      <c r="A1145" s="139"/>
      <c r="B1145" s="170"/>
      <c r="C1145" s="188"/>
      <c r="D1145" s="172"/>
      <c r="E1145" s="164"/>
      <c r="F1145" s="171"/>
      <c r="G1145" s="166">
        <f t="shared" si="6"/>
        <v>0</v>
      </c>
      <c r="H1145" s="167"/>
    </row>
    <row r="1146" spans="1:8" ht="22.5" customHeight="1">
      <c r="A1146" s="146"/>
      <c r="B1146" s="162"/>
      <c r="C1146" s="187"/>
      <c r="D1146" s="163"/>
      <c r="E1146" s="164"/>
      <c r="F1146" s="165"/>
      <c r="G1146" s="166">
        <f t="shared" si="6"/>
        <v>0</v>
      </c>
      <c r="H1146" s="167"/>
    </row>
    <row r="1147" spans="1:8" ht="22.5" customHeight="1">
      <c r="A1147" s="139"/>
      <c r="B1147" s="170"/>
      <c r="C1147" s="188"/>
      <c r="D1147" s="172"/>
      <c r="E1147" s="164"/>
      <c r="F1147" s="171"/>
      <c r="G1147" s="166">
        <f t="shared" si="6"/>
        <v>0</v>
      </c>
      <c r="H1147" s="167"/>
    </row>
    <row r="1148" spans="1:8" ht="22.5" customHeight="1">
      <c r="A1148" s="146"/>
      <c r="B1148" s="162"/>
      <c r="C1148" s="187"/>
      <c r="D1148" s="163"/>
      <c r="E1148" s="164"/>
      <c r="F1148" s="165"/>
      <c r="G1148" s="166">
        <f t="shared" si="6"/>
        <v>0</v>
      </c>
      <c r="H1148" s="167"/>
    </row>
    <row r="1149" spans="1:8" ht="22.5" customHeight="1">
      <c r="A1149" s="139"/>
      <c r="B1149" s="170"/>
      <c r="C1149" s="188"/>
      <c r="D1149" s="172"/>
      <c r="E1149" s="164"/>
      <c r="F1149" s="171"/>
      <c r="G1149" s="166">
        <f t="shared" si="6"/>
        <v>0</v>
      </c>
      <c r="H1149" s="167"/>
    </row>
    <row r="1150" spans="1:8" ht="22.5" customHeight="1">
      <c r="A1150" s="146"/>
      <c r="B1150" s="162"/>
      <c r="C1150" s="187"/>
      <c r="D1150" s="163"/>
      <c r="E1150" s="164"/>
      <c r="F1150" s="165"/>
      <c r="G1150" s="166">
        <f t="shared" si="6"/>
        <v>0</v>
      </c>
      <c r="H1150" s="167"/>
    </row>
    <row r="1151" spans="1:8" ht="22.5" customHeight="1">
      <c r="A1151" s="139"/>
      <c r="B1151" s="170"/>
      <c r="C1151" s="188"/>
      <c r="D1151" s="172"/>
      <c r="E1151" s="164"/>
      <c r="F1151" s="171"/>
      <c r="G1151" s="166">
        <f t="shared" si="6"/>
        <v>0</v>
      </c>
      <c r="H1151" s="167"/>
    </row>
    <row r="1152" spans="1:8" ht="22.5" customHeight="1">
      <c r="A1152" s="146"/>
      <c r="B1152" s="162"/>
      <c r="C1152" s="187"/>
      <c r="D1152" s="163"/>
      <c r="E1152" s="164"/>
      <c r="F1152" s="165"/>
      <c r="G1152" s="166">
        <f t="shared" si="6"/>
        <v>0</v>
      </c>
      <c r="H1152" s="167"/>
    </row>
    <row r="1153" spans="1:8" ht="22.5" customHeight="1">
      <c r="A1153" s="139"/>
      <c r="B1153" s="170"/>
      <c r="C1153" s="188"/>
      <c r="D1153" s="172"/>
      <c r="E1153" s="164"/>
      <c r="F1153" s="171"/>
      <c r="G1153" s="166">
        <f t="shared" si="6"/>
        <v>0</v>
      </c>
      <c r="H1153" s="167"/>
    </row>
    <row r="1154" spans="1:8" ht="22.5" customHeight="1">
      <c r="A1154" s="146"/>
      <c r="B1154" s="162"/>
      <c r="C1154" s="187"/>
      <c r="D1154" s="163"/>
      <c r="E1154" s="164"/>
      <c r="F1154" s="165"/>
      <c r="G1154" s="166">
        <f t="shared" si="6"/>
        <v>0</v>
      </c>
      <c r="H1154" s="167"/>
    </row>
    <row r="1155" spans="1:8" ht="22.5" customHeight="1">
      <c r="A1155" s="139"/>
      <c r="B1155" s="170"/>
      <c r="C1155" s="188"/>
      <c r="D1155" s="172"/>
      <c r="E1155" s="164"/>
      <c r="F1155" s="171"/>
      <c r="G1155" s="166">
        <f t="shared" si="6"/>
        <v>0</v>
      </c>
      <c r="H1155" s="167"/>
    </row>
  </sheetData>
  <dataValidations count="3">
    <dataValidation type="list" allowBlank="1" sqref="H2:H355 F2:F1155" xr:uid="{00000000-0002-0000-0300-000000000000}">
      <formula1>"Datafono,Link de pago,Efectivo,Tranferencia a Bancolombia,Transferencia a Banco de Bogota"</formula1>
    </dataValidation>
    <dataValidation type="custom" allowBlank="1" showDropDown="1" sqref="A2:A1155" xr:uid="{00000000-0002-0000-0300-000001000000}">
      <formula1>OR(NOT(ISERROR(DATEVALUE(A2))), AND(ISNUMBER(A2), LEFT(CELL("format", A2))="D"))</formula1>
    </dataValidation>
    <dataValidation type="custom" allowBlank="1" showDropDown="1" sqref="E2:E1155 G2:G1155" xr:uid="{00000000-0002-0000-0300-000002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98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" customWidth="1"/>
    <col min="2" max="2" width="31.83203125" customWidth="1"/>
    <col min="3" max="3" width="14.1640625" customWidth="1"/>
    <col min="4" max="4" width="14" customWidth="1"/>
    <col min="5" max="5" width="18.6640625" hidden="1" customWidth="1"/>
    <col min="6" max="6" width="25.83203125" customWidth="1"/>
    <col min="7" max="7" width="23.6640625" customWidth="1"/>
  </cols>
  <sheetData>
    <row r="1" spans="1:7" ht="22.5" customHeight="1">
      <c r="A1" s="103" t="s">
        <v>871</v>
      </c>
      <c r="B1" s="189" t="s">
        <v>1</v>
      </c>
      <c r="C1" s="190" t="s">
        <v>2</v>
      </c>
      <c r="D1" s="191" t="s">
        <v>3</v>
      </c>
      <c r="E1" s="189" t="s">
        <v>4</v>
      </c>
      <c r="F1" s="190" t="s">
        <v>5</v>
      </c>
      <c r="G1" s="190" t="s">
        <v>226</v>
      </c>
    </row>
    <row r="2" spans="1:7" ht="22.5" customHeight="1">
      <c r="A2" s="104">
        <v>45931</v>
      </c>
      <c r="B2" s="5" t="s">
        <v>872</v>
      </c>
      <c r="C2" s="192" t="s">
        <v>873</v>
      </c>
      <c r="D2" s="106">
        <v>115500</v>
      </c>
      <c r="E2" s="107"/>
      <c r="F2" s="108" t="s">
        <v>10</v>
      </c>
      <c r="G2" s="109" t="s">
        <v>874</v>
      </c>
    </row>
    <row r="3" spans="1:7" ht="22.5" customHeight="1">
      <c r="A3" s="104">
        <v>45931</v>
      </c>
      <c r="B3" s="10" t="s">
        <v>124</v>
      </c>
      <c r="C3" s="14" t="s">
        <v>875</v>
      </c>
      <c r="D3" s="106">
        <v>156150</v>
      </c>
      <c r="E3" s="107"/>
      <c r="F3" s="108" t="s">
        <v>7</v>
      </c>
      <c r="G3" s="109" t="s">
        <v>371</v>
      </c>
    </row>
    <row r="4" spans="1:7" ht="22.5" customHeight="1">
      <c r="A4" s="104">
        <v>45931</v>
      </c>
      <c r="B4" s="10" t="s">
        <v>876</v>
      </c>
      <c r="C4" s="14" t="s">
        <v>877</v>
      </c>
      <c r="D4" s="106">
        <v>85000</v>
      </c>
      <c r="E4" s="107"/>
      <c r="F4" s="108" t="s">
        <v>7</v>
      </c>
      <c r="G4" s="109" t="s">
        <v>371</v>
      </c>
    </row>
    <row r="5" spans="1:7" ht="22.5" customHeight="1">
      <c r="A5" s="104">
        <v>45931</v>
      </c>
      <c r="B5" s="5" t="s">
        <v>878</v>
      </c>
      <c r="C5" s="14" t="s">
        <v>879</v>
      </c>
      <c r="D5" s="106">
        <v>189270</v>
      </c>
      <c r="E5" s="107"/>
      <c r="F5" s="108" t="s">
        <v>10</v>
      </c>
      <c r="G5" s="109" t="s">
        <v>371</v>
      </c>
    </row>
    <row r="6" spans="1:7" ht="22.5" customHeight="1">
      <c r="A6" s="104">
        <v>45931</v>
      </c>
      <c r="B6" s="10" t="s">
        <v>880</v>
      </c>
      <c r="C6" s="14" t="s">
        <v>881</v>
      </c>
      <c r="D6" s="106">
        <v>140900</v>
      </c>
      <c r="E6" s="107"/>
      <c r="F6" s="108" t="s">
        <v>10</v>
      </c>
      <c r="G6" s="109" t="s">
        <v>371</v>
      </c>
    </row>
    <row r="7" spans="1:7" ht="22.5" customHeight="1">
      <c r="A7" s="104">
        <v>45931</v>
      </c>
      <c r="B7" s="5" t="s">
        <v>96</v>
      </c>
      <c r="C7" s="14" t="s">
        <v>882</v>
      </c>
      <c r="D7" s="106">
        <v>105000</v>
      </c>
      <c r="E7" s="107"/>
      <c r="F7" s="108" t="s">
        <v>7</v>
      </c>
      <c r="G7" s="109" t="s">
        <v>371</v>
      </c>
    </row>
    <row r="8" spans="1:7" ht="22.5" customHeight="1">
      <c r="A8" s="104">
        <v>45931</v>
      </c>
      <c r="B8" s="10" t="s">
        <v>33</v>
      </c>
      <c r="C8" s="14" t="s">
        <v>883</v>
      </c>
      <c r="D8" s="106">
        <v>157500</v>
      </c>
      <c r="E8" s="107"/>
      <c r="F8" s="108" t="s">
        <v>7</v>
      </c>
      <c r="G8" s="109" t="s">
        <v>371</v>
      </c>
    </row>
    <row r="9" spans="1:7" ht="22.5" customHeight="1">
      <c r="A9" s="104">
        <v>45931</v>
      </c>
      <c r="B9" s="10" t="s">
        <v>884</v>
      </c>
      <c r="C9" s="14" t="s">
        <v>885</v>
      </c>
      <c r="D9" s="106">
        <v>113000</v>
      </c>
      <c r="E9" s="107"/>
      <c r="F9" s="108" t="s">
        <v>10</v>
      </c>
      <c r="G9" s="109" t="s">
        <v>371</v>
      </c>
    </row>
    <row r="10" spans="1:7" ht="21.75" customHeight="1">
      <c r="A10" s="104">
        <v>45931</v>
      </c>
      <c r="B10" s="5" t="s">
        <v>886</v>
      </c>
      <c r="C10" s="14" t="s">
        <v>887</v>
      </c>
      <c r="D10" s="106">
        <v>112000</v>
      </c>
      <c r="E10" s="107"/>
      <c r="F10" s="108" t="s">
        <v>10</v>
      </c>
      <c r="G10" s="109" t="s">
        <v>421</v>
      </c>
    </row>
    <row r="11" spans="1:7" ht="22.5" customHeight="1">
      <c r="A11" s="104">
        <v>45931</v>
      </c>
      <c r="B11" s="193" t="s">
        <v>888</v>
      </c>
      <c r="C11" s="14" t="s">
        <v>889</v>
      </c>
      <c r="D11" s="106">
        <v>54000</v>
      </c>
      <c r="E11" s="107"/>
      <c r="F11" s="108" t="s">
        <v>10</v>
      </c>
      <c r="G11" s="109" t="s">
        <v>421</v>
      </c>
    </row>
    <row r="12" spans="1:7" ht="24" customHeight="1">
      <c r="A12" s="104">
        <v>45931</v>
      </c>
      <c r="B12" s="5" t="s">
        <v>890</v>
      </c>
      <c r="C12" s="192" t="s">
        <v>891</v>
      </c>
      <c r="D12" s="106">
        <v>46600</v>
      </c>
      <c r="E12" s="107"/>
      <c r="F12" s="108" t="s">
        <v>10</v>
      </c>
      <c r="G12" s="109" t="s">
        <v>421</v>
      </c>
    </row>
    <row r="13" spans="1:7" ht="22.5" customHeight="1">
      <c r="A13" s="104">
        <v>45931</v>
      </c>
      <c r="B13" s="5" t="s">
        <v>892</v>
      </c>
      <c r="C13" s="14" t="s">
        <v>893</v>
      </c>
      <c r="D13" s="194">
        <v>113990</v>
      </c>
      <c r="E13" s="107"/>
      <c r="F13" s="108" t="s">
        <v>16</v>
      </c>
      <c r="G13" s="109" t="s">
        <v>421</v>
      </c>
    </row>
    <row r="14" spans="1:7" ht="20.25" customHeight="1">
      <c r="A14" s="104">
        <v>45932</v>
      </c>
      <c r="B14" s="5" t="s">
        <v>894</v>
      </c>
      <c r="C14" s="14" t="s">
        <v>895</v>
      </c>
      <c r="D14" s="106">
        <v>86090</v>
      </c>
      <c r="E14" s="107"/>
      <c r="F14" s="108" t="s">
        <v>10</v>
      </c>
      <c r="G14" s="109" t="s">
        <v>421</v>
      </c>
    </row>
    <row r="15" spans="1:7" ht="19.5" customHeight="1">
      <c r="A15" s="104">
        <v>45932</v>
      </c>
      <c r="B15" s="5" t="s">
        <v>896</v>
      </c>
      <c r="C15" s="14" t="s">
        <v>897</v>
      </c>
      <c r="D15" s="106">
        <v>198000</v>
      </c>
      <c r="E15" s="107"/>
      <c r="F15" s="108" t="s">
        <v>10</v>
      </c>
      <c r="G15" s="109" t="s">
        <v>421</v>
      </c>
    </row>
    <row r="16" spans="1:7" ht="22.5" customHeight="1">
      <c r="A16" s="104">
        <v>45932</v>
      </c>
      <c r="B16" s="10" t="s">
        <v>898</v>
      </c>
      <c r="C16" s="14" t="s">
        <v>899</v>
      </c>
      <c r="D16" s="106">
        <v>189000</v>
      </c>
      <c r="E16" s="107"/>
      <c r="F16" s="108" t="s">
        <v>10</v>
      </c>
      <c r="G16" s="109" t="s">
        <v>371</v>
      </c>
    </row>
    <row r="17" spans="1:7" ht="24" customHeight="1">
      <c r="A17" s="195">
        <v>45932</v>
      </c>
      <c r="B17" s="5" t="s">
        <v>900</v>
      </c>
      <c r="C17" s="14" t="s">
        <v>901</v>
      </c>
      <c r="D17" s="106">
        <v>111000</v>
      </c>
      <c r="E17" s="107"/>
      <c r="F17" s="108" t="s">
        <v>10</v>
      </c>
      <c r="G17" s="109" t="s">
        <v>421</v>
      </c>
    </row>
    <row r="18" spans="1:7" ht="22.5" customHeight="1">
      <c r="A18" s="104">
        <v>45932</v>
      </c>
      <c r="B18" s="18" t="s">
        <v>902</v>
      </c>
      <c r="C18" s="14" t="s">
        <v>903</v>
      </c>
      <c r="D18" s="106">
        <v>76100</v>
      </c>
      <c r="E18" s="107"/>
      <c r="F18" s="108" t="s">
        <v>10</v>
      </c>
      <c r="G18" s="109" t="s">
        <v>421</v>
      </c>
    </row>
    <row r="19" spans="1:7" ht="21.75" customHeight="1">
      <c r="A19" s="104">
        <v>45932</v>
      </c>
      <c r="B19" s="5" t="s">
        <v>904</v>
      </c>
      <c r="C19" s="14" t="s">
        <v>905</v>
      </c>
      <c r="D19" s="106">
        <v>110500</v>
      </c>
      <c r="E19" s="107"/>
      <c r="F19" s="108" t="s">
        <v>10</v>
      </c>
      <c r="G19" s="109" t="s">
        <v>421</v>
      </c>
    </row>
    <row r="20" spans="1:7" ht="21.75" customHeight="1">
      <c r="A20" s="104">
        <v>45932</v>
      </c>
      <c r="B20" s="5" t="s">
        <v>906</v>
      </c>
      <c r="C20" s="14" t="s">
        <v>907</v>
      </c>
      <c r="D20" s="106">
        <v>90050</v>
      </c>
      <c r="E20" s="107"/>
      <c r="F20" s="108" t="s">
        <v>10</v>
      </c>
      <c r="G20" s="109" t="s">
        <v>421</v>
      </c>
    </row>
    <row r="21" spans="1:7" ht="22.5" customHeight="1">
      <c r="A21" s="104">
        <v>45932</v>
      </c>
      <c r="B21" s="5" t="s">
        <v>908</v>
      </c>
      <c r="C21" s="14" t="s">
        <v>909</v>
      </c>
      <c r="D21" s="106">
        <v>100000</v>
      </c>
      <c r="E21" s="107"/>
      <c r="F21" s="108" t="s">
        <v>7</v>
      </c>
      <c r="G21" s="109" t="s">
        <v>421</v>
      </c>
    </row>
    <row r="22" spans="1:7" ht="20.25" customHeight="1">
      <c r="A22" s="104">
        <v>45932</v>
      </c>
      <c r="B22" s="5" t="s">
        <v>910</v>
      </c>
      <c r="C22" s="14" t="s">
        <v>911</v>
      </c>
      <c r="D22" s="106">
        <v>141600</v>
      </c>
      <c r="E22" s="107"/>
      <c r="F22" s="108" t="s">
        <v>10</v>
      </c>
      <c r="G22" s="109" t="s">
        <v>421</v>
      </c>
    </row>
    <row r="23" spans="1:7" ht="21.75" customHeight="1">
      <c r="A23" s="104">
        <v>45932</v>
      </c>
      <c r="B23" s="5" t="s">
        <v>912</v>
      </c>
      <c r="C23" s="14" t="s">
        <v>913</v>
      </c>
      <c r="D23" s="194">
        <v>88340</v>
      </c>
      <c r="E23" s="107"/>
      <c r="F23" s="108" t="s">
        <v>16</v>
      </c>
      <c r="G23" s="109" t="s">
        <v>421</v>
      </c>
    </row>
    <row r="24" spans="1:7" ht="22.5" customHeight="1">
      <c r="A24" s="104">
        <v>45932</v>
      </c>
      <c r="B24" s="10" t="s">
        <v>914</v>
      </c>
      <c r="C24" s="14" t="s">
        <v>915</v>
      </c>
      <c r="D24" s="106">
        <v>171000</v>
      </c>
      <c r="E24" s="107"/>
      <c r="F24" s="108" t="s">
        <v>10</v>
      </c>
      <c r="G24" s="109" t="s">
        <v>371</v>
      </c>
    </row>
    <row r="25" spans="1:7" ht="22.5" customHeight="1">
      <c r="A25" s="104">
        <v>45932</v>
      </c>
      <c r="B25" s="5" t="s">
        <v>13</v>
      </c>
      <c r="C25" s="14" t="s">
        <v>916</v>
      </c>
      <c r="D25" s="106">
        <v>160200</v>
      </c>
      <c r="E25" s="107"/>
      <c r="F25" s="108" t="s">
        <v>10</v>
      </c>
      <c r="G25" s="109" t="s">
        <v>371</v>
      </c>
    </row>
    <row r="26" spans="1:7" ht="22.5" customHeight="1">
      <c r="A26" s="104">
        <v>45932</v>
      </c>
      <c r="B26" s="10" t="s">
        <v>60</v>
      </c>
      <c r="C26" s="14" t="s">
        <v>917</v>
      </c>
      <c r="D26" s="106">
        <v>218000</v>
      </c>
      <c r="E26" s="107"/>
      <c r="F26" s="108" t="s">
        <v>7</v>
      </c>
      <c r="G26" s="109" t="s">
        <v>371</v>
      </c>
    </row>
    <row r="27" spans="1:7" ht="23.25" customHeight="1">
      <c r="A27" s="104">
        <v>45932</v>
      </c>
      <c r="B27" s="5" t="s">
        <v>918</v>
      </c>
      <c r="C27" s="14" t="s">
        <v>919</v>
      </c>
      <c r="D27" s="106">
        <v>98500</v>
      </c>
      <c r="E27" s="107"/>
      <c r="F27" s="108" t="s">
        <v>7</v>
      </c>
      <c r="G27" s="109" t="s">
        <v>371</v>
      </c>
    </row>
    <row r="28" spans="1:7" ht="22.5" customHeight="1">
      <c r="A28" s="104">
        <v>45932</v>
      </c>
      <c r="B28" s="10" t="s">
        <v>920</v>
      </c>
      <c r="C28" s="14" t="s">
        <v>921</v>
      </c>
      <c r="D28" s="106">
        <v>146000</v>
      </c>
      <c r="E28" s="107"/>
      <c r="F28" s="108" t="s">
        <v>7</v>
      </c>
      <c r="G28" s="109" t="s">
        <v>371</v>
      </c>
    </row>
    <row r="29" spans="1:7" ht="22.5" customHeight="1">
      <c r="A29" s="104">
        <v>45932</v>
      </c>
      <c r="B29" s="5" t="s">
        <v>144</v>
      </c>
      <c r="C29" s="14" t="s">
        <v>922</v>
      </c>
      <c r="D29" s="106">
        <v>119500</v>
      </c>
      <c r="E29" s="107"/>
      <c r="F29" s="108" t="s">
        <v>7</v>
      </c>
      <c r="G29" s="109" t="s">
        <v>371</v>
      </c>
    </row>
    <row r="30" spans="1:7" ht="22.5" customHeight="1">
      <c r="A30" s="104">
        <v>45932</v>
      </c>
      <c r="B30" s="10" t="s">
        <v>45</v>
      </c>
      <c r="C30" s="14" t="s">
        <v>923</v>
      </c>
      <c r="D30" s="106">
        <v>263600</v>
      </c>
      <c r="E30" s="107"/>
      <c r="F30" s="108" t="s">
        <v>10</v>
      </c>
      <c r="G30" s="109" t="s">
        <v>371</v>
      </c>
    </row>
    <row r="31" spans="1:7" ht="20.25" customHeight="1">
      <c r="A31" s="104">
        <v>45932</v>
      </c>
      <c r="B31" s="10" t="s">
        <v>27</v>
      </c>
      <c r="C31" s="14" t="s">
        <v>924</v>
      </c>
      <c r="D31" s="106">
        <v>214000</v>
      </c>
      <c r="E31" s="107"/>
      <c r="F31" s="108" t="s">
        <v>10</v>
      </c>
      <c r="G31" s="109" t="s">
        <v>371</v>
      </c>
    </row>
    <row r="32" spans="1:7" ht="20.25" customHeight="1">
      <c r="A32" s="104">
        <v>45932</v>
      </c>
      <c r="B32" s="5" t="s">
        <v>925</v>
      </c>
      <c r="C32" s="14" t="s">
        <v>926</v>
      </c>
      <c r="D32" s="194">
        <v>77000</v>
      </c>
      <c r="E32" s="107"/>
      <c r="F32" s="108" t="s">
        <v>16</v>
      </c>
      <c r="G32" s="109" t="s">
        <v>421</v>
      </c>
    </row>
    <row r="33" spans="1:7" ht="21.75" customHeight="1">
      <c r="A33" s="104">
        <v>45932</v>
      </c>
      <c r="B33" s="5" t="s">
        <v>927</v>
      </c>
      <c r="C33" s="14" t="s">
        <v>928</v>
      </c>
      <c r="D33" s="106">
        <v>156690</v>
      </c>
      <c r="E33" s="107"/>
      <c r="F33" s="108" t="s">
        <v>10</v>
      </c>
      <c r="G33" s="109" t="s">
        <v>421</v>
      </c>
    </row>
    <row r="34" spans="1:7" ht="21.75" customHeight="1">
      <c r="A34" s="104">
        <v>45933</v>
      </c>
      <c r="B34" s="5" t="s">
        <v>929</v>
      </c>
      <c r="C34" s="14" t="s">
        <v>930</v>
      </c>
      <c r="D34" s="106">
        <v>81950</v>
      </c>
      <c r="E34" s="107"/>
      <c r="F34" s="108" t="s">
        <v>10</v>
      </c>
      <c r="G34" s="109" t="s">
        <v>421</v>
      </c>
    </row>
    <row r="35" spans="1:7" ht="20.25" customHeight="1">
      <c r="A35" s="104">
        <v>45933</v>
      </c>
      <c r="B35" s="5" t="s">
        <v>931</v>
      </c>
      <c r="C35" s="14" t="s">
        <v>932</v>
      </c>
      <c r="D35" s="106">
        <v>124000</v>
      </c>
      <c r="E35" s="107"/>
      <c r="F35" s="108" t="s">
        <v>10</v>
      </c>
      <c r="G35" s="109" t="s">
        <v>421</v>
      </c>
    </row>
    <row r="36" spans="1:7" ht="22.5" customHeight="1">
      <c r="A36" s="104">
        <v>45933</v>
      </c>
      <c r="B36" s="5" t="s">
        <v>933</v>
      </c>
      <c r="C36" s="14" t="s">
        <v>934</v>
      </c>
      <c r="D36" s="106">
        <v>93500</v>
      </c>
      <c r="E36" s="107"/>
      <c r="F36" s="108" t="s">
        <v>10</v>
      </c>
      <c r="G36" s="109" t="s">
        <v>371</v>
      </c>
    </row>
    <row r="37" spans="1:7" ht="22.5" customHeight="1">
      <c r="A37" s="104">
        <v>45933</v>
      </c>
      <c r="B37" s="5" t="s">
        <v>293</v>
      </c>
      <c r="C37" s="14" t="s">
        <v>935</v>
      </c>
      <c r="D37" s="106">
        <v>115290</v>
      </c>
      <c r="E37" s="107"/>
      <c r="F37" s="108" t="s">
        <v>10</v>
      </c>
      <c r="G37" s="109" t="s">
        <v>421</v>
      </c>
    </row>
    <row r="38" spans="1:7" ht="22.5" customHeight="1">
      <c r="A38" s="104">
        <v>45933</v>
      </c>
      <c r="B38" s="5" t="s">
        <v>936</v>
      </c>
      <c r="C38" s="14" t="s">
        <v>937</v>
      </c>
      <c r="D38" s="106">
        <v>51500</v>
      </c>
      <c r="E38" s="107"/>
      <c r="F38" s="108" t="s">
        <v>10</v>
      </c>
      <c r="G38" s="109" t="s">
        <v>421</v>
      </c>
    </row>
    <row r="39" spans="1:7" ht="22.5" customHeight="1">
      <c r="A39" s="104">
        <v>45933</v>
      </c>
      <c r="B39" s="10" t="s">
        <v>84</v>
      </c>
      <c r="C39" s="14" t="s">
        <v>938</v>
      </c>
      <c r="D39" s="106">
        <v>106110</v>
      </c>
      <c r="E39" s="107"/>
      <c r="F39" s="108" t="s">
        <v>10</v>
      </c>
      <c r="G39" s="109" t="s">
        <v>371</v>
      </c>
    </row>
    <row r="40" spans="1:7" ht="22.5" customHeight="1">
      <c r="A40" s="104">
        <v>45933</v>
      </c>
      <c r="B40" s="10" t="s">
        <v>55</v>
      </c>
      <c r="C40" s="14" t="s">
        <v>939</v>
      </c>
      <c r="D40" s="106">
        <v>155500</v>
      </c>
      <c r="E40" s="107"/>
      <c r="F40" s="108" t="s">
        <v>7</v>
      </c>
      <c r="G40" s="109" t="s">
        <v>371</v>
      </c>
    </row>
    <row r="41" spans="1:7" ht="24" customHeight="1">
      <c r="A41" s="104">
        <v>45933</v>
      </c>
      <c r="B41" s="5" t="s">
        <v>940</v>
      </c>
      <c r="C41" s="14" t="s">
        <v>941</v>
      </c>
      <c r="D41" s="106">
        <v>119300</v>
      </c>
      <c r="E41" s="107"/>
      <c r="F41" s="108" t="s">
        <v>7</v>
      </c>
      <c r="G41" s="109" t="s">
        <v>942</v>
      </c>
    </row>
    <row r="42" spans="1:7" ht="20.25" customHeight="1">
      <c r="A42" s="104">
        <v>45933</v>
      </c>
      <c r="B42" s="5" t="s">
        <v>943</v>
      </c>
      <c r="C42" s="14" t="s">
        <v>944</v>
      </c>
      <c r="D42" s="106">
        <v>121950</v>
      </c>
      <c r="E42" s="107"/>
      <c r="F42" s="108" t="s">
        <v>10</v>
      </c>
      <c r="G42" s="109" t="s">
        <v>421</v>
      </c>
    </row>
    <row r="43" spans="1:7" ht="25.5" customHeight="1">
      <c r="A43" s="104">
        <v>45933</v>
      </c>
      <c r="B43" s="5" t="s">
        <v>150</v>
      </c>
      <c r="C43" s="14" t="s">
        <v>945</v>
      </c>
      <c r="D43" s="106">
        <v>224910</v>
      </c>
      <c r="E43" s="107"/>
      <c r="F43" s="108" t="s">
        <v>10</v>
      </c>
      <c r="G43" s="109" t="s">
        <v>371</v>
      </c>
    </row>
    <row r="44" spans="1:7" ht="26.25" customHeight="1">
      <c r="A44" s="104">
        <v>45933</v>
      </c>
      <c r="B44" s="5" t="s">
        <v>946</v>
      </c>
      <c r="C44" s="14" t="s">
        <v>947</v>
      </c>
      <c r="D44" s="106">
        <v>114800</v>
      </c>
      <c r="E44" s="107"/>
      <c r="F44" s="108" t="s">
        <v>10</v>
      </c>
      <c r="G44" s="109" t="s">
        <v>421</v>
      </c>
    </row>
    <row r="45" spans="1:7" ht="20.25" customHeight="1">
      <c r="A45" s="104">
        <v>45933</v>
      </c>
      <c r="B45" s="196" t="s">
        <v>741</v>
      </c>
      <c r="C45" s="14" t="s">
        <v>948</v>
      </c>
      <c r="D45" s="106">
        <v>72500</v>
      </c>
      <c r="E45" s="107"/>
      <c r="F45" s="108" t="s">
        <v>7</v>
      </c>
      <c r="G45" s="109" t="s">
        <v>371</v>
      </c>
    </row>
    <row r="46" spans="1:7" ht="22.5" customHeight="1">
      <c r="A46" s="104">
        <v>45933</v>
      </c>
      <c r="B46" s="5" t="s">
        <v>342</v>
      </c>
      <c r="C46" s="14" t="s">
        <v>949</v>
      </c>
      <c r="D46" s="194">
        <v>362600</v>
      </c>
      <c r="E46" s="107"/>
      <c r="F46" s="108" t="s">
        <v>16</v>
      </c>
      <c r="G46" s="109" t="s">
        <v>371</v>
      </c>
    </row>
    <row r="47" spans="1:7" ht="22.5" customHeight="1">
      <c r="A47" s="104">
        <v>45933</v>
      </c>
      <c r="B47" s="10" t="s">
        <v>547</v>
      </c>
      <c r="C47" s="14" t="s">
        <v>950</v>
      </c>
      <c r="D47" s="106">
        <v>86700</v>
      </c>
      <c r="E47" s="107"/>
      <c r="F47" s="108" t="s">
        <v>10</v>
      </c>
      <c r="G47" s="109" t="s">
        <v>371</v>
      </c>
    </row>
    <row r="48" spans="1:7" ht="22.5" customHeight="1">
      <c r="A48" s="104">
        <v>45933</v>
      </c>
      <c r="B48" s="5" t="s">
        <v>951</v>
      </c>
      <c r="C48" s="14" t="s">
        <v>952</v>
      </c>
      <c r="D48" s="106">
        <v>116150</v>
      </c>
      <c r="E48" s="107"/>
      <c r="F48" s="108" t="s">
        <v>7</v>
      </c>
      <c r="G48" s="109" t="s">
        <v>371</v>
      </c>
    </row>
    <row r="49" spans="1:7" ht="22.5" customHeight="1">
      <c r="A49" s="104">
        <v>45933</v>
      </c>
      <c r="B49" s="5" t="s">
        <v>953</v>
      </c>
      <c r="C49" s="14" t="s">
        <v>954</v>
      </c>
      <c r="D49" s="106">
        <v>289700</v>
      </c>
      <c r="E49" s="107"/>
      <c r="F49" s="108" t="s">
        <v>10</v>
      </c>
      <c r="G49" s="109" t="s">
        <v>421</v>
      </c>
    </row>
    <row r="50" spans="1:7" ht="22.5" customHeight="1">
      <c r="A50" s="104">
        <v>45933</v>
      </c>
      <c r="B50" s="5" t="s">
        <v>955</v>
      </c>
      <c r="C50" s="14" t="s">
        <v>956</v>
      </c>
      <c r="D50" s="106">
        <v>71500</v>
      </c>
      <c r="E50" s="107"/>
      <c r="F50" s="108" t="s">
        <v>10</v>
      </c>
      <c r="G50" s="109" t="s">
        <v>421</v>
      </c>
    </row>
    <row r="51" spans="1:7" ht="21.75" customHeight="1">
      <c r="A51" s="104">
        <v>45933</v>
      </c>
      <c r="B51" s="5" t="s">
        <v>957</v>
      </c>
      <c r="C51" s="14" t="s">
        <v>958</v>
      </c>
      <c r="D51" s="106">
        <v>62000</v>
      </c>
      <c r="E51" s="107"/>
      <c r="F51" s="108" t="s">
        <v>10</v>
      </c>
      <c r="G51" s="109" t="s">
        <v>421</v>
      </c>
    </row>
    <row r="52" spans="1:7" ht="22.5" customHeight="1">
      <c r="A52" s="104">
        <v>45933</v>
      </c>
      <c r="B52" s="10" t="s">
        <v>369</v>
      </c>
      <c r="C52" s="14" t="s">
        <v>959</v>
      </c>
      <c r="D52" s="106">
        <v>186000</v>
      </c>
      <c r="E52" s="107"/>
      <c r="F52" s="108" t="s">
        <v>7</v>
      </c>
      <c r="G52" s="109" t="s">
        <v>371</v>
      </c>
    </row>
    <row r="53" spans="1:7" ht="21" customHeight="1">
      <c r="A53" s="104">
        <v>45933</v>
      </c>
      <c r="B53" s="10" t="s">
        <v>27</v>
      </c>
      <c r="C53" s="14" t="s">
        <v>960</v>
      </c>
      <c r="D53" s="106">
        <v>105000</v>
      </c>
      <c r="E53" s="107"/>
      <c r="F53" s="108" t="s">
        <v>7</v>
      </c>
      <c r="G53" s="109" t="s">
        <v>371</v>
      </c>
    </row>
    <row r="54" spans="1:7" ht="22.5" customHeight="1">
      <c r="A54" s="104">
        <v>45933</v>
      </c>
      <c r="B54" s="10" t="s">
        <v>71</v>
      </c>
      <c r="C54" s="14" t="s">
        <v>961</v>
      </c>
      <c r="D54" s="106">
        <v>1200436</v>
      </c>
      <c r="E54" s="107"/>
      <c r="F54" s="111" t="s">
        <v>72</v>
      </c>
      <c r="G54" s="114" t="s">
        <v>371</v>
      </c>
    </row>
    <row r="55" spans="1:7" ht="22.5" customHeight="1">
      <c r="A55" s="104">
        <v>45934</v>
      </c>
      <c r="B55" s="5" t="s">
        <v>12</v>
      </c>
      <c r="C55" s="14" t="s">
        <v>962</v>
      </c>
      <c r="D55" s="106">
        <v>220400</v>
      </c>
      <c r="E55" s="107"/>
      <c r="F55" s="108" t="s">
        <v>10</v>
      </c>
      <c r="G55" s="109" t="s">
        <v>371</v>
      </c>
    </row>
    <row r="56" spans="1:7" ht="21.75" customHeight="1">
      <c r="A56" s="104">
        <v>45934</v>
      </c>
      <c r="B56" s="5" t="s">
        <v>963</v>
      </c>
      <c r="C56" s="14" t="s">
        <v>964</v>
      </c>
      <c r="D56" s="194">
        <v>188000</v>
      </c>
      <c r="E56" s="107"/>
      <c r="F56" s="108" t="s">
        <v>16</v>
      </c>
      <c r="G56" s="109" t="s">
        <v>421</v>
      </c>
    </row>
    <row r="57" spans="1:7" ht="22.5" customHeight="1">
      <c r="A57" s="104">
        <v>45934</v>
      </c>
      <c r="B57" s="5" t="s">
        <v>407</v>
      </c>
      <c r="C57" s="14" t="s">
        <v>965</v>
      </c>
      <c r="D57" s="106">
        <v>122200</v>
      </c>
      <c r="E57" s="107"/>
      <c r="F57" s="108" t="s">
        <v>10</v>
      </c>
      <c r="G57" s="109" t="s">
        <v>371</v>
      </c>
    </row>
    <row r="58" spans="1:7" ht="18.75" customHeight="1">
      <c r="A58" s="104">
        <v>45934</v>
      </c>
      <c r="B58" s="5" t="s">
        <v>966</v>
      </c>
      <c r="C58" s="14" t="s">
        <v>967</v>
      </c>
      <c r="D58" s="106">
        <v>110340</v>
      </c>
      <c r="E58" s="107"/>
      <c r="F58" s="108" t="s">
        <v>10</v>
      </c>
      <c r="G58" s="109" t="s">
        <v>421</v>
      </c>
    </row>
    <row r="59" spans="1:7" ht="23.25" customHeight="1">
      <c r="A59" s="104">
        <v>45934</v>
      </c>
      <c r="B59" s="193" t="s">
        <v>968</v>
      </c>
      <c r="C59" s="14" t="s">
        <v>969</v>
      </c>
      <c r="D59" s="106">
        <v>62500</v>
      </c>
      <c r="E59" s="107"/>
      <c r="F59" s="108" t="s">
        <v>10</v>
      </c>
      <c r="G59" s="109" t="s">
        <v>421</v>
      </c>
    </row>
    <row r="60" spans="1:7" ht="22.5" customHeight="1">
      <c r="A60" s="104">
        <v>45934</v>
      </c>
      <c r="B60" s="5" t="s">
        <v>970</v>
      </c>
      <c r="C60" s="14" t="s">
        <v>971</v>
      </c>
      <c r="D60" s="106">
        <v>82500</v>
      </c>
      <c r="E60" s="107"/>
      <c r="F60" s="108" t="s">
        <v>10</v>
      </c>
      <c r="G60" s="109" t="s">
        <v>421</v>
      </c>
    </row>
    <row r="61" spans="1:7" ht="20.25" customHeight="1">
      <c r="A61" s="104">
        <v>45934</v>
      </c>
      <c r="B61" s="5" t="s">
        <v>972</v>
      </c>
      <c r="C61" s="14" t="s">
        <v>973</v>
      </c>
      <c r="D61" s="106">
        <v>124000</v>
      </c>
      <c r="E61" s="107"/>
      <c r="F61" s="108" t="s">
        <v>10</v>
      </c>
      <c r="G61" s="109" t="s">
        <v>421</v>
      </c>
    </row>
    <row r="62" spans="1:7" ht="22.5" customHeight="1">
      <c r="A62" s="104">
        <v>45936</v>
      </c>
      <c r="B62" s="5" t="s">
        <v>974</v>
      </c>
      <c r="C62" s="14" t="s">
        <v>975</v>
      </c>
      <c r="D62" s="106">
        <v>125020</v>
      </c>
      <c r="E62" s="107"/>
      <c r="F62" s="108" t="s">
        <v>21</v>
      </c>
      <c r="G62" s="109" t="s">
        <v>371</v>
      </c>
    </row>
    <row r="63" spans="1:7" ht="26.25" customHeight="1">
      <c r="A63" s="104">
        <v>45936</v>
      </c>
      <c r="B63" s="10" t="s">
        <v>976</v>
      </c>
      <c r="C63" s="14" t="s">
        <v>977</v>
      </c>
      <c r="D63" s="106">
        <v>117000</v>
      </c>
      <c r="E63" s="107"/>
      <c r="F63" s="108" t="s">
        <v>7</v>
      </c>
      <c r="G63" s="109" t="s">
        <v>371</v>
      </c>
    </row>
    <row r="64" spans="1:7" ht="19.5" customHeight="1">
      <c r="A64" s="104">
        <v>45936</v>
      </c>
      <c r="B64" s="10" t="s">
        <v>85</v>
      </c>
      <c r="C64" s="14" t="s">
        <v>978</v>
      </c>
      <c r="D64" s="106">
        <v>174000</v>
      </c>
      <c r="E64" s="107"/>
      <c r="F64" s="108" t="s">
        <v>7</v>
      </c>
      <c r="G64" s="109" t="s">
        <v>371</v>
      </c>
    </row>
    <row r="65" spans="1:7" ht="20.25" customHeight="1">
      <c r="A65" s="104">
        <v>45936</v>
      </c>
      <c r="B65" s="10" t="s">
        <v>979</v>
      </c>
      <c r="C65" s="14" t="s">
        <v>980</v>
      </c>
      <c r="D65" s="106">
        <v>79000</v>
      </c>
      <c r="E65" s="107"/>
      <c r="F65" s="108" t="s">
        <v>10</v>
      </c>
      <c r="G65" s="109" t="s">
        <v>371</v>
      </c>
    </row>
    <row r="66" spans="1:7" ht="22.5" customHeight="1">
      <c r="A66" s="104">
        <v>45936</v>
      </c>
      <c r="B66" s="5" t="s">
        <v>981</v>
      </c>
      <c r="C66" s="14" t="s">
        <v>982</v>
      </c>
      <c r="D66" s="106">
        <v>115610</v>
      </c>
      <c r="E66" s="107"/>
      <c r="F66" s="108" t="s">
        <v>10</v>
      </c>
      <c r="G66" s="109" t="s">
        <v>983</v>
      </c>
    </row>
    <row r="67" spans="1:7" ht="27" customHeight="1">
      <c r="A67" s="104">
        <v>45936</v>
      </c>
      <c r="B67" s="10" t="s">
        <v>97</v>
      </c>
      <c r="C67" s="14" t="s">
        <v>984</v>
      </c>
      <c r="D67" s="106">
        <v>131300</v>
      </c>
      <c r="E67" s="107"/>
      <c r="F67" s="108" t="s">
        <v>7</v>
      </c>
      <c r="G67" s="109" t="s">
        <v>371</v>
      </c>
    </row>
    <row r="68" spans="1:7" ht="22.5" customHeight="1">
      <c r="A68" s="104">
        <v>45936</v>
      </c>
      <c r="B68" s="10" t="s">
        <v>985</v>
      </c>
      <c r="C68" s="14" t="s">
        <v>986</v>
      </c>
      <c r="D68" s="106">
        <v>105000</v>
      </c>
      <c r="E68" s="107"/>
      <c r="F68" s="108" t="s">
        <v>7</v>
      </c>
      <c r="G68" s="109" t="s">
        <v>371</v>
      </c>
    </row>
    <row r="69" spans="1:7" ht="24" customHeight="1">
      <c r="A69" s="104">
        <v>45936</v>
      </c>
      <c r="B69" s="5" t="s">
        <v>578</v>
      </c>
      <c r="C69" s="14" t="s">
        <v>987</v>
      </c>
      <c r="D69" s="106">
        <v>10500</v>
      </c>
      <c r="E69" s="107"/>
      <c r="F69" s="108" t="s">
        <v>10</v>
      </c>
      <c r="G69" s="109" t="s">
        <v>371</v>
      </c>
    </row>
    <row r="70" spans="1:7" ht="20.25" customHeight="1">
      <c r="A70" s="104">
        <v>45936</v>
      </c>
      <c r="B70" s="5" t="s">
        <v>988</v>
      </c>
      <c r="C70" s="14" t="s">
        <v>989</v>
      </c>
      <c r="D70" s="106">
        <v>111000</v>
      </c>
      <c r="E70" s="107"/>
      <c r="F70" s="108" t="s">
        <v>10</v>
      </c>
      <c r="G70" s="109" t="s">
        <v>942</v>
      </c>
    </row>
    <row r="71" spans="1:7" ht="23.25" customHeight="1">
      <c r="A71" s="104">
        <v>45936</v>
      </c>
      <c r="B71" s="5" t="s">
        <v>990</v>
      </c>
      <c r="C71" s="14" t="s">
        <v>991</v>
      </c>
      <c r="D71" s="106">
        <v>121000</v>
      </c>
      <c r="E71" s="107"/>
      <c r="F71" s="108" t="s">
        <v>10</v>
      </c>
      <c r="G71" s="109" t="s">
        <v>421</v>
      </c>
    </row>
    <row r="72" spans="1:7" ht="21" customHeight="1">
      <c r="A72" s="104">
        <v>45936</v>
      </c>
      <c r="B72" s="5" t="s">
        <v>992</v>
      </c>
      <c r="C72" s="14" t="s">
        <v>993</v>
      </c>
      <c r="D72" s="106">
        <v>71500</v>
      </c>
      <c r="E72" s="107"/>
      <c r="F72" s="108" t="s">
        <v>10</v>
      </c>
      <c r="G72" s="109" t="s">
        <v>421</v>
      </c>
    </row>
    <row r="73" spans="1:7" ht="23.25" customHeight="1">
      <c r="A73" s="104">
        <v>45936</v>
      </c>
      <c r="B73" s="5" t="s">
        <v>994</v>
      </c>
      <c r="C73" s="14" t="s">
        <v>995</v>
      </c>
      <c r="D73" s="106">
        <v>118440</v>
      </c>
      <c r="E73" s="107"/>
      <c r="F73" s="108" t="s">
        <v>10</v>
      </c>
      <c r="G73" s="109"/>
    </row>
    <row r="74" spans="1:7" ht="23.25" customHeight="1">
      <c r="A74" s="104">
        <v>45936</v>
      </c>
      <c r="B74" s="5" t="s">
        <v>996</v>
      </c>
      <c r="C74" s="14" t="s">
        <v>997</v>
      </c>
      <c r="D74" s="106">
        <v>117600</v>
      </c>
      <c r="E74" s="107"/>
      <c r="F74" s="108" t="s">
        <v>10</v>
      </c>
      <c r="G74" s="109"/>
    </row>
    <row r="75" spans="1:7" ht="22.5" customHeight="1">
      <c r="A75" s="104">
        <v>45936</v>
      </c>
      <c r="B75" s="5" t="s">
        <v>998</v>
      </c>
      <c r="C75" s="14" t="s">
        <v>999</v>
      </c>
      <c r="D75" s="106">
        <v>78500</v>
      </c>
      <c r="E75" s="107"/>
      <c r="F75" s="108" t="s">
        <v>10</v>
      </c>
      <c r="G75" s="109"/>
    </row>
    <row r="76" spans="1:7" ht="21.75" customHeight="1">
      <c r="A76" s="104">
        <v>45936</v>
      </c>
      <c r="B76" s="5" t="s">
        <v>243</v>
      </c>
      <c r="C76" s="14" t="s">
        <v>1000</v>
      </c>
      <c r="D76" s="106">
        <v>304800</v>
      </c>
      <c r="E76" s="107"/>
      <c r="F76" s="108" t="s">
        <v>7</v>
      </c>
      <c r="G76" s="109"/>
    </row>
    <row r="77" spans="1:7" ht="22.5" customHeight="1">
      <c r="A77" s="104">
        <v>45936</v>
      </c>
      <c r="B77" s="5" t="s">
        <v>1001</v>
      </c>
      <c r="C77" s="14" t="s">
        <v>1002</v>
      </c>
      <c r="D77" s="106">
        <v>176850</v>
      </c>
      <c r="E77" s="107"/>
      <c r="F77" s="108" t="s">
        <v>10</v>
      </c>
      <c r="G77" s="109" t="s">
        <v>371</v>
      </c>
    </row>
    <row r="78" spans="1:7" ht="20.25" customHeight="1">
      <c r="A78" s="104">
        <v>45936</v>
      </c>
      <c r="B78" s="5" t="s">
        <v>1003</v>
      </c>
      <c r="C78" s="14" t="s">
        <v>1004</v>
      </c>
      <c r="D78" s="106">
        <v>114750</v>
      </c>
      <c r="E78" s="107"/>
      <c r="F78" s="108" t="s">
        <v>10</v>
      </c>
      <c r="G78" s="109" t="s">
        <v>421</v>
      </c>
    </row>
    <row r="79" spans="1:7" ht="22.5" customHeight="1">
      <c r="A79" s="104">
        <v>45936</v>
      </c>
      <c r="B79" s="5" t="s">
        <v>1005</v>
      </c>
      <c r="C79" s="14" t="s">
        <v>1006</v>
      </c>
      <c r="D79" s="106">
        <v>118440</v>
      </c>
      <c r="E79" s="107"/>
      <c r="F79" s="108" t="s">
        <v>10</v>
      </c>
      <c r="G79" s="109" t="s">
        <v>421</v>
      </c>
    </row>
    <row r="80" spans="1:7" ht="25.5" customHeight="1">
      <c r="A80" s="104">
        <v>45936</v>
      </c>
      <c r="B80" s="5" t="s">
        <v>955</v>
      </c>
      <c r="C80" s="14" t="s">
        <v>1007</v>
      </c>
      <c r="D80" s="106">
        <v>140100</v>
      </c>
      <c r="E80" s="107"/>
      <c r="F80" s="108" t="s">
        <v>10</v>
      </c>
      <c r="G80" s="109"/>
    </row>
    <row r="81" spans="1:7" ht="21.75" customHeight="1">
      <c r="A81" s="104">
        <v>45936</v>
      </c>
      <c r="B81" s="5" t="s">
        <v>1008</v>
      </c>
      <c r="C81" s="14" t="s">
        <v>1009</v>
      </c>
      <c r="D81" s="194">
        <v>46000</v>
      </c>
      <c r="E81" s="107"/>
      <c r="F81" s="108" t="s">
        <v>16</v>
      </c>
      <c r="G81" s="109"/>
    </row>
    <row r="82" spans="1:7" ht="22.5" customHeight="1">
      <c r="A82" s="104">
        <v>45936</v>
      </c>
      <c r="B82" s="197" t="s">
        <v>1010</v>
      </c>
      <c r="C82" s="14" t="s">
        <v>1011</v>
      </c>
      <c r="D82" s="106">
        <v>93500</v>
      </c>
      <c r="E82" s="107"/>
      <c r="F82" s="108" t="s">
        <v>10</v>
      </c>
      <c r="G82" s="109"/>
    </row>
    <row r="83" spans="1:7" ht="25.5" customHeight="1">
      <c r="A83" s="104">
        <v>45936</v>
      </c>
      <c r="B83" s="5" t="s">
        <v>1012</v>
      </c>
      <c r="C83" s="14" t="s">
        <v>1013</v>
      </c>
      <c r="D83" s="106">
        <v>158000</v>
      </c>
      <c r="E83" s="107"/>
      <c r="F83" s="108" t="s">
        <v>10</v>
      </c>
      <c r="G83" s="109"/>
    </row>
    <row r="84" spans="1:7" ht="22.5" customHeight="1">
      <c r="A84" s="104">
        <v>45937</v>
      </c>
      <c r="B84" s="5" t="s">
        <v>1014</v>
      </c>
      <c r="C84" s="14" t="s">
        <v>1015</v>
      </c>
      <c r="D84" s="106">
        <v>96500</v>
      </c>
      <c r="E84" s="107"/>
      <c r="F84" s="108" t="s">
        <v>10</v>
      </c>
      <c r="G84" s="109"/>
    </row>
    <row r="85" spans="1:7" ht="24" customHeight="1">
      <c r="A85" s="104">
        <v>45937</v>
      </c>
      <c r="B85" s="5" t="s">
        <v>1016</v>
      </c>
      <c r="C85" s="14" t="s">
        <v>1017</v>
      </c>
      <c r="D85" s="106">
        <v>126500</v>
      </c>
      <c r="E85" s="107"/>
      <c r="F85" s="108" t="s">
        <v>10</v>
      </c>
      <c r="G85" s="109"/>
    </row>
    <row r="86" spans="1:7" ht="22.5" customHeight="1">
      <c r="A86" s="104">
        <v>45937</v>
      </c>
      <c r="B86" s="5" t="s">
        <v>1018</v>
      </c>
      <c r="C86" s="14" t="s">
        <v>1019</v>
      </c>
      <c r="D86" s="106">
        <v>465000</v>
      </c>
      <c r="E86" s="107"/>
      <c r="F86" s="108" t="s">
        <v>10</v>
      </c>
      <c r="G86" s="109"/>
    </row>
    <row r="87" spans="1:7" ht="23.25" customHeight="1">
      <c r="A87" s="104">
        <v>45937</v>
      </c>
      <c r="B87" s="5" t="s">
        <v>1020</v>
      </c>
      <c r="C87" s="14" t="s">
        <v>1021</v>
      </c>
      <c r="D87" s="106">
        <v>48100</v>
      </c>
      <c r="E87" s="107"/>
      <c r="F87" s="108" t="s">
        <v>10</v>
      </c>
      <c r="G87" s="109"/>
    </row>
    <row r="88" spans="1:7" ht="22.5" customHeight="1">
      <c r="A88" s="104">
        <v>45937</v>
      </c>
      <c r="B88" s="5" t="s">
        <v>1022</v>
      </c>
      <c r="C88" s="14" t="s">
        <v>1023</v>
      </c>
      <c r="D88" s="106">
        <v>110500</v>
      </c>
      <c r="E88" s="107"/>
      <c r="F88" s="108" t="s">
        <v>10</v>
      </c>
      <c r="G88" s="109"/>
    </row>
    <row r="89" spans="1:7" ht="21.75" customHeight="1">
      <c r="A89" s="104">
        <v>45937</v>
      </c>
      <c r="B89" s="5" t="s">
        <v>1024</v>
      </c>
      <c r="C89" s="14" t="s">
        <v>1025</v>
      </c>
      <c r="D89" s="106">
        <v>135000</v>
      </c>
      <c r="E89" s="107"/>
      <c r="F89" s="108" t="s">
        <v>10</v>
      </c>
      <c r="G89" s="109"/>
    </row>
    <row r="90" spans="1:7" ht="26.25" customHeight="1">
      <c r="A90" s="104">
        <v>45937</v>
      </c>
      <c r="B90" s="5" t="s">
        <v>1026</v>
      </c>
      <c r="C90" s="14" t="s">
        <v>1027</v>
      </c>
      <c r="D90" s="106">
        <v>74100</v>
      </c>
      <c r="E90" s="107"/>
      <c r="F90" s="108" t="s">
        <v>10</v>
      </c>
      <c r="G90" s="109"/>
    </row>
    <row r="91" spans="1:7" ht="22.5" customHeight="1">
      <c r="A91" s="104">
        <v>45937</v>
      </c>
      <c r="B91" s="5" t="s">
        <v>100</v>
      </c>
      <c r="C91" s="14" t="s">
        <v>1028</v>
      </c>
      <c r="D91" s="106">
        <v>114390</v>
      </c>
      <c r="E91" s="107"/>
      <c r="F91" s="108" t="s">
        <v>10</v>
      </c>
      <c r="G91" s="109"/>
    </row>
    <row r="92" spans="1:7" ht="19.5" customHeight="1">
      <c r="A92" s="104">
        <v>45937</v>
      </c>
      <c r="B92" s="5" t="s">
        <v>14</v>
      </c>
      <c r="C92" s="14" t="s">
        <v>1029</v>
      </c>
      <c r="D92" s="106">
        <v>110075</v>
      </c>
      <c r="E92" s="107"/>
      <c r="F92" s="108" t="s">
        <v>10</v>
      </c>
      <c r="G92" s="109"/>
    </row>
    <row r="93" spans="1:7" ht="24.75" customHeight="1">
      <c r="A93" s="104">
        <v>45937</v>
      </c>
      <c r="B93" s="5" t="s">
        <v>1030</v>
      </c>
      <c r="C93" s="14" t="s">
        <v>1031</v>
      </c>
      <c r="D93" s="106">
        <v>115000</v>
      </c>
      <c r="E93" s="107"/>
      <c r="F93" s="108" t="s">
        <v>10</v>
      </c>
      <c r="G93" s="109"/>
    </row>
    <row r="94" spans="1:7" ht="27" customHeight="1">
      <c r="A94" s="104">
        <v>45937</v>
      </c>
      <c r="B94" s="5" t="s">
        <v>1032</v>
      </c>
      <c r="C94" s="14" t="s">
        <v>1033</v>
      </c>
      <c r="D94" s="106">
        <v>116600</v>
      </c>
      <c r="E94" s="107"/>
      <c r="F94" s="108" t="s">
        <v>10</v>
      </c>
      <c r="G94" s="109"/>
    </row>
    <row r="95" spans="1:7" ht="21.75" customHeight="1">
      <c r="A95" s="104">
        <v>45937</v>
      </c>
      <c r="B95" s="5" t="s">
        <v>1034</v>
      </c>
      <c r="C95" s="14" t="s">
        <v>1035</v>
      </c>
      <c r="D95" s="106">
        <v>90500</v>
      </c>
      <c r="E95" s="107"/>
      <c r="F95" s="108" t="s">
        <v>10</v>
      </c>
      <c r="G95" s="109"/>
    </row>
    <row r="96" spans="1:7" ht="25.5" customHeight="1">
      <c r="A96" s="104">
        <v>45937</v>
      </c>
      <c r="B96" s="5" t="s">
        <v>1036</v>
      </c>
      <c r="C96" s="14" t="s">
        <v>1037</v>
      </c>
      <c r="D96" s="106">
        <v>85600</v>
      </c>
      <c r="E96" s="107"/>
      <c r="F96" s="108" t="s">
        <v>10</v>
      </c>
      <c r="G96" s="109"/>
    </row>
    <row r="97" spans="1:7" ht="22.5" customHeight="1">
      <c r="A97" s="104">
        <v>45937</v>
      </c>
      <c r="B97" s="5" t="s">
        <v>1038</v>
      </c>
      <c r="C97" s="14" t="s">
        <v>1039</v>
      </c>
      <c r="D97" s="106">
        <v>116700</v>
      </c>
      <c r="E97" s="107"/>
      <c r="F97" s="108" t="s">
        <v>10</v>
      </c>
      <c r="G97" s="109"/>
    </row>
    <row r="98" spans="1:7" ht="24" customHeight="1">
      <c r="A98" s="104">
        <v>45937</v>
      </c>
      <c r="B98" s="5" t="s">
        <v>1040</v>
      </c>
      <c r="C98" s="14" t="s">
        <v>1041</v>
      </c>
      <c r="D98" s="194">
        <v>96400</v>
      </c>
      <c r="E98" s="107"/>
      <c r="F98" s="108" t="s">
        <v>16</v>
      </c>
      <c r="G98" s="109"/>
    </row>
    <row r="99" spans="1:7" ht="23.25" customHeight="1">
      <c r="A99" s="104">
        <v>45937</v>
      </c>
      <c r="B99" s="5" t="s">
        <v>1042</v>
      </c>
      <c r="C99" s="14" t="s">
        <v>1043</v>
      </c>
      <c r="D99" s="194">
        <v>125500</v>
      </c>
      <c r="E99" s="107"/>
      <c r="F99" s="108" t="s">
        <v>16</v>
      </c>
      <c r="G99" s="109"/>
    </row>
    <row r="100" spans="1:7" ht="24" customHeight="1">
      <c r="A100" s="104">
        <v>45937</v>
      </c>
      <c r="B100" s="5" t="s">
        <v>1044</v>
      </c>
      <c r="C100" s="14" t="s">
        <v>1045</v>
      </c>
      <c r="D100" s="106">
        <v>121050</v>
      </c>
      <c r="E100" s="107"/>
      <c r="F100" s="108" t="s">
        <v>10</v>
      </c>
      <c r="G100" s="109"/>
    </row>
    <row r="101" spans="1:7" ht="26.25" customHeight="1">
      <c r="A101" s="104">
        <v>45937</v>
      </c>
      <c r="B101" s="5" t="s">
        <v>1046</v>
      </c>
      <c r="C101" s="14" t="s">
        <v>1047</v>
      </c>
      <c r="D101" s="106">
        <v>93500</v>
      </c>
      <c r="E101" s="107"/>
      <c r="F101" s="108" t="s">
        <v>10</v>
      </c>
      <c r="G101" s="109"/>
    </row>
    <row r="102" spans="1:7" ht="22.5" customHeight="1">
      <c r="A102" s="104">
        <v>45937</v>
      </c>
      <c r="B102" s="10" t="s">
        <v>76</v>
      </c>
      <c r="C102" s="14" t="s">
        <v>1048</v>
      </c>
      <c r="D102" s="106">
        <v>232000</v>
      </c>
      <c r="E102" s="107"/>
      <c r="F102" s="108" t="s">
        <v>7</v>
      </c>
      <c r="G102" s="109"/>
    </row>
    <row r="103" spans="1:7" ht="22.5" customHeight="1">
      <c r="A103" s="104">
        <v>45937</v>
      </c>
      <c r="B103" s="10" t="s">
        <v>311</v>
      </c>
      <c r="C103" s="14" t="s">
        <v>1049</v>
      </c>
      <c r="D103" s="106">
        <v>55700</v>
      </c>
      <c r="E103" s="107"/>
      <c r="F103" s="108"/>
      <c r="G103" s="109"/>
    </row>
    <row r="104" spans="1:7" ht="22.5" customHeight="1">
      <c r="A104" s="104">
        <v>45937</v>
      </c>
      <c r="B104" s="5" t="s">
        <v>63</v>
      </c>
      <c r="C104" s="14" t="s">
        <v>1050</v>
      </c>
      <c r="D104" s="106">
        <v>268500</v>
      </c>
      <c r="E104" s="107"/>
      <c r="F104" s="108" t="s">
        <v>7</v>
      </c>
      <c r="G104" s="109"/>
    </row>
    <row r="105" spans="1:7" ht="22.5" customHeight="1">
      <c r="A105" s="104">
        <v>45937</v>
      </c>
      <c r="B105" s="5" t="s">
        <v>17</v>
      </c>
      <c r="C105" s="14" t="s">
        <v>1051</v>
      </c>
      <c r="D105" s="106">
        <v>105000</v>
      </c>
      <c r="E105" s="107"/>
      <c r="F105" s="108" t="s">
        <v>7</v>
      </c>
      <c r="G105" s="109"/>
    </row>
    <row r="106" spans="1:7" ht="21.75" customHeight="1">
      <c r="A106" s="104">
        <v>45937</v>
      </c>
      <c r="B106" s="5" t="s">
        <v>1052</v>
      </c>
      <c r="C106" s="14" t="s">
        <v>1053</v>
      </c>
      <c r="D106" s="106">
        <v>123000</v>
      </c>
      <c r="E106" s="107"/>
      <c r="F106" s="108" t="s">
        <v>7</v>
      </c>
      <c r="G106" s="109"/>
    </row>
    <row r="107" spans="1:7" ht="24.75" customHeight="1">
      <c r="A107" s="104">
        <v>45937</v>
      </c>
      <c r="B107" s="5" t="s">
        <v>239</v>
      </c>
      <c r="C107" s="14" t="s">
        <v>1054</v>
      </c>
      <c r="D107" s="106">
        <v>167800</v>
      </c>
      <c r="E107" s="107"/>
      <c r="F107" s="108" t="s">
        <v>7</v>
      </c>
      <c r="G107" s="109"/>
    </row>
    <row r="108" spans="1:7" ht="19.5" customHeight="1">
      <c r="A108" s="104">
        <v>45937</v>
      </c>
      <c r="B108" s="10" t="s">
        <v>249</v>
      </c>
      <c r="C108" s="14" t="s">
        <v>1055</v>
      </c>
      <c r="D108" s="106">
        <v>105000</v>
      </c>
      <c r="E108" s="107"/>
      <c r="F108" s="108" t="s">
        <v>10</v>
      </c>
      <c r="G108" s="109"/>
    </row>
    <row r="109" spans="1:7" ht="21.75" customHeight="1">
      <c r="A109" s="104">
        <v>45937</v>
      </c>
      <c r="B109" s="5" t="s">
        <v>1056</v>
      </c>
      <c r="C109" s="14" t="s">
        <v>1057</v>
      </c>
      <c r="D109" s="106">
        <v>92100</v>
      </c>
      <c r="E109" s="107"/>
      <c r="F109" s="108" t="s">
        <v>7</v>
      </c>
      <c r="G109" s="109"/>
    </row>
    <row r="110" spans="1:7" ht="22.5" customHeight="1">
      <c r="A110" s="104">
        <v>45938</v>
      </c>
      <c r="B110" s="10" t="s">
        <v>1058</v>
      </c>
      <c r="C110" s="14" t="s">
        <v>1059</v>
      </c>
      <c r="D110" s="106">
        <v>163200</v>
      </c>
      <c r="E110" s="107"/>
      <c r="F110" s="108" t="s">
        <v>7</v>
      </c>
      <c r="G110" s="109"/>
    </row>
    <row r="111" spans="1:7" ht="22.5" customHeight="1">
      <c r="A111" s="104">
        <v>45938</v>
      </c>
      <c r="B111" s="10" t="s">
        <v>327</v>
      </c>
      <c r="C111" s="14" t="s">
        <v>1060</v>
      </c>
      <c r="D111" s="106">
        <v>105000</v>
      </c>
      <c r="E111" s="107"/>
      <c r="F111" s="108" t="s">
        <v>7</v>
      </c>
      <c r="G111" s="109"/>
    </row>
    <row r="112" spans="1:7" ht="19.5" customHeight="1">
      <c r="A112" s="104">
        <v>45938</v>
      </c>
      <c r="B112" s="5" t="s">
        <v>1061</v>
      </c>
      <c r="C112" s="14" t="s">
        <v>1062</v>
      </c>
      <c r="D112" s="106">
        <v>62000</v>
      </c>
      <c r="E112" s="107"/>
      <c r="F112" s="108" t="s">
        <v>10</v>
      </c>
      <c r="G112" s="109"/>
    </row>
    <row r="113" spans="1:7" ht="23.25" customHeight="1">
      <c r="A113" s="104">
        <v>45938</v>
      </c>
      <c r="B113" s="5" t="s">
        <v>1063</v>
      </c>
      <c r="C113" s="14" t="s">
        <v>1064</v>
      </c>
      <c r="D113" s="106">
        <v>79000</v>
      </c>
      <c r="E113" s="107"/>
      <c r="F113" s="108" t="s">
        <v>10</v>
      </c>
      <c r="G113" s="109"/>
    </row>
    <row r="114" spans="1:7" ht="20.25" customHeight="1">
      <c r="A114" s="104">
        <v>45938</v>
      </c>
      <c r="B114" s="5" t="s">
        <v>1065</v>
      </c>
      <c r="C114" s="14" t="s">
        <v>1066</v>
      </c>
      <c r="D114" s="106">
        <v>67000</v>
      </c>
      <c r="E114" s="107"/>
      <c r="F114" s="108" t="s">
        <v>10</v>
      </c>
      <c r="G114" s="109"/>
    </row>
    <row r="115" spans="1:7" ht="22.5" customHeight="1">
      <c r="A115" s="104">
        <v>45938</v>
      </c>
      <c r="B115" s="198" t="s">
        <v>1067</v>
      </c>
      <c r="C115" s="14" t="s">
        <v>1068</v>
      </c>
      <c r="D115" s="106">
        <v>63600</v>
      </c>
      <c r="E115" s="107"/>
      <c r="F115" s="108" t="s">
        <v>10</v>
      </c>
      <c r="G115" s="109"/>
    </row>
    <row r="116" spans="1:7" ht="22.5" customHeight="1">
      <c r="A116" s="104">
        <v>45938</v>
      </c>
      <c r="B116" s="198" t="s">
        <v>1069</v>
      </c>
      <c r="C116" s="14" t="s">
        <v>1070</v>
      </c>
      <c r="D116" s="106">
        <v>50600</v>
      </c>
      <c r="E116" s="107"/>
      <c r="F116" s="108" t="s">
        <v>10</v>
      </c>
      <c r="G116" s="109"/>
    </row>
    <row r="117" spans="1:7" ht="26.25" customHeight="1">
      <c r="A117" s="104">
        <v>45938</v>
      </c>
      <c r="B117" s="112" t="s">
        <v>1071</v>
      </c>
      <c r="C117" s="14" t="s">
        <v>1072</v>
      </c>
      <c r="D117" s="106">
        <v>140100</v>
      </c>
      <c r="E117" s="107"/>
      <c r="F117" s="108" t="s">
        <v>10</v>
      </c>
      <c r="G117" s="109"/>
    </row>
    <row r="118" spans="1:7" ht="22.5" customHeight="1">
      <c r="A118" s="104">
        <v>45938</v>
      </c>
      <c r="B118" s="198" t="s">
        <v>1073</v>
      </c>
      <c r="C118" s="14" t="s">
        <v>1074</v>
      </c>
      <c r="D118" s="106">
        <v>51500</v>
      </c>
      <c r="E118" s="107"/>
      <c r="F118" s="108" t="s">
        <v>10</v>
      </c>
      <c r="G118" s="109"/>
    </row>
    <row r="119" spans="1:7" ht="23.25" customHeight="1">
      <c r="A119" s="104">
        <v>45938</v>
      </c>
      <c r="B119" s="198" t="s">
        <v>1075</v>
      </c>
      <c r="C119" s="14" t="s">
        <v>1076</v>
      </c>
      <c r="D119" s="106">
        <v>56000</v>
      </c>
      <c r="E119" s="107"/>
      <c r="F119" s="108" t="s">
        <v>10</v>
      </c>
      <c r="G119" s="109"/>
    </row>
    <row r="120" spans="1:7" ht="21" customHeight="1">
      <c r="A120" s="104">
        <v>45938</v>
      </c>
      <c r="B120" s="5" t="s">
        <v>385</v>
      </c>
      <c r="C120" s="14" t="s">
        <v>1077</v>
      </c>
      <c r="D120" s="106">
        <v>133400</v>
      </c>
      <c r="E120" s="107"/>
      <c r="F120" s="108" t="s">
        <v>10</v>
      </c>
      <c r="G120" s="109"/>
    </row>
    <row r="121" spans="1:7" ht="21" customHeight="1">
      <c r="A121" s="104">
        <v>45938</v>
      </c>
      <c r="B121" s="5" t="s">
        <v>520</v>
      </c>
      <c r="C121" s="14" t="s">
        <v>1078</v>
      </c>
      <c r="D121" s="106">
        <v>180000</v>
      </c>
      <c r="E121" s="107"/>
      <c r="F121" s="108" t="s">
        <v>21</v>
      </c>
      <c r="G121" s="109"/>
    </row>
    <row r="122" spans="1:7" ht="22.5" customHeight="1">
      <c r="A122" s="104">
        <v>45938</v>
      </c>
      <c r="B122" s="198" t="s">
        <v>1079</v>
      </c>
      <c r="C122" s="14" t="s">
        <v>1080</v>
      </c>
      <c r="D122" s="106">
        <v>116100</v>
      </c>
      <c r="E122" s="107"/>
      <c r="F122" s="108" t="s">
        <v>10</v>
      </c>
      <c r="G122" s="109"/>
    </row>
    <row r="123" spans="1:7" ht="22.5" customHeight="1">
      <c r="A123" s="104">
        <v>45938</v>
      </c>
      <c r="B123" s="196" t="s">
        <v>1081</v>
      </c>
      <c r="C123" s="14" t="s">
        <v>1082</v>
      </c>
      <c r="D123" s="194">
        <v>47000</v>
      </c>
      <c r="E123" s="107"/>
      <c r="F123" s="108" t="s">
        <v>16</v>
      </c>
      <c r="G123" s="109"/>
    </row>
    <row r="124" spans="1:7" ht="22.5" customHeight="1">
      <c r="A124" s="104">
        <v>45938</v>
      </c>
      <c r="B124" s="5" t="s">
        <v>1083</v>
      </c>
      <c r="C124" s="14" t="s">
        <v>1084</v>
      </c>
      <c r="D124" s="106">
        <v>118273</v>
      </c>
      <c r="E124" s="107"/>
      <c r="F124" s="108" t="s">
        <v>7</v>
      </c>
      <c r="G124" s="109"/>
    </row>
    <row r="125" spans="1:7" ht="22.5" customHeight="1">
      <c r="A125" s="104">
        <v>45938</v>
      </c>
      <c r="B125" s="112" t="s">
        <v>1085</v>
      </c>
      <c r="C125" s="14" t="s">
        <v>1086</v>
      </c>
      <c r="D125" s="106">
        <v>82500</v>
      </c>
      <c r="E125" s="107"/>
      <c r="F125" s="108" t="s">
        <v>10</v>
      </c>
      <c r="G125" s="109"/>
    </row>
    <row r="126" spans="1:7" ht="22.5" customHeight="1">
      <c r="A126" s="104">
        <v>45938</v>
      </c>
      <c r="B126" s="5" t="s">
        <v>1087</v>
      </c>
      <c r="C126" s="14" t="s">
        <v>1088</v>
      </c>
      <c r="D126" s="106">
        <v>56000</v>
      </c>
      <c r="E126" s="107"/>
      <c r="F126" s="108" t="s">
        <v>7</v>
      </c>
      <c r="G126" s="109"/>
    </row>
    <row r="127" spans="1:7" ht="24" customHeight="1">
      <c r="A127" s="104">
        <v>45938</v>
      </c>
      <c r="B127" s="10" t="s">
        <v>241</v>
      </c>
      <c r="C127" s="14" t="s">
        <v>1089</v>
      </c>
      <c r="D127" s="106">
        <v>168000</v>
      </c>
      <c r="E127" s="107"/>
      <c r="F127" s="108" t="s">
        <v>7</v>
      </c>
      <c r="G127" s="109"/>
    </row>
    <row r="128" spans="1:7" ht="22.5" customHeight="1">
      <c r="A128" s="104">
        <v>45938</v>
      </c>
      <c r="B128" s="5" t="s">
        <v>1090</v>
      </c>
      <c r="C128" s="14" t="s">
        <v>1091</v>
      </c>
      <c r="D128" s="106">
        <v>159500</v>
      </c>
      <c r="E128" s="107"/>
      <c r="F128" s="108" t="s">
        <v>10</v>
      </c>
      <c r="G128" s="109"/>
    </row>
    <row r="129" spans="1:7" ht="21.75" customHeight="1">
      <c r="A129" s="104">
        <v>45939</v>
      </c>
      <c r="B129" s="112" t="s">
        <v>1092</v>
      </c>
      <c r="C129" s="14" t="s">
        <v>1093</v>
      </c>
      <c r="D129" s="106">
        <v>111100</v>
      </c>
      <c r="E129" s="107"/>
      <c r="F129" s="108" t="s">
        <v>10</v>
      </c>
      <c r="G129" s="109"/>
    </row>
    <row r="130" spans="1:7" ht="18.75" customHeight="1">
      <c r="A130" s="104">
        <v>45939</v>
      </c>
      <c r="B130" s="5" t="s">
        <v>1094</v>
      </c>
      <c r="C130" s="14" t="s">
        <v>1095</v>
      </c>
      <c r="D130" s="106">
        <v>121500</v>
      </c>
      <c r="E130" s="107"/>
      <c r="F130" s="108" t="s">
        <v>10</v>
      </c>
      <c r="G130" s="109"/>
    </row>
    <row r="131" spans="1:7" ht="21" customHeight="1">
      <c r="A131" s="104">
        <v>45939</v>
      </c>
      <c r="B131" s="10" t="s">
        <v>277</v>
      </c>
      <c r="C131" s="14" t="s">
        <v>1096</v>
      </c>
      <c r="D131" s="106">
        <v>105000</v>
      </c>
      <c r="E131" s="107"/>
      <c r="F131" s="108" t="s">
        <v>7</v>
      </c>
      <c r="G131" s="109"/>
    </row>
    <row r="132" spans="1:7" ht="19.5" customHeight="1">
      <c r="A132" s="104">
        <v>45939</v>
      </c>
      <c r="B132" s="112" t="s">
        <v>1097</v>
      </c>
      <c r="C132" s="14" t="s">
        <v>1098</v>
      </c>
      <c r="D132" s="106">
        <v>127350</v>
      </c>
      <c r="E132" s="107"/>
      <c r="F132" s="108" t="s">
        <v>10</v>
      </c>
      <c r="G132" s="109"/>
    </row>
    <row r="133" spans="1:7" ht="18" customHeight="1">
      <c r="A133" s="104">
        <v>45939</v>
      </c>
      <c r="B133" s="112" t="s">
        <v>1099</v>
      </c>
      <c r="C133" s="14" t="s">
        <v>1100</v>
      </c>
      <c r="D133" s="106">
        <v>101600</v>
      </c>
      <c r="E133" s="107"/>
      <c r="F133" s="108" t="s">
        <v>10</v>
      </c>
      <c r="G133" s="109"/>
    </row>
    <row r="134" spans="1:7" ht="22.5" customHeight="1">
      <c r="A134" s="104">
        <v>45939</v>
      </c>
      <c r="B134" s="112" t="s">
        <v>1101</v>
      </c>
      <c r="C134" s="14" t="s">
        <v>1102</v>
      </c>
      <c r="D134" s="106">
        <v>57100</v>
      </c>
      <c r="E134" s="107"/>
      <c r="F134" s="108" t="s">
        <v>10</v>
      </c>
      <c r="G134" s="109"/>
    </row>
    <row r="135" spans="1:7" ht="21" customHeight="1">
      <c r="A135" s="104">
        <v>45939</v>
      </c>
      <c r="B135" s="198" t="s">
        <v>1103</v>
      </c>
      <c r="C135" s="14" t="s">
        <v>1104</v>
      </c>
      <c r="D135" s="106">
        <v>174100</v>
      </c>
      <c r="E135" s="107"/>
      <c r="F135" s="108" t="s">
        <v>10</v>
      </c>
      <c r="G135" s="109"/>
    </row>
    <row r="136" spans="1:7" ht="22.5" customHeight="1">
      <c r="A136" s="104">
        <v>45939</v>
      </c>
      <c r="B136" s="5" t="s">
        <v>1105</v>
      </c>
      <c r="C136" s="14" t="s">
        <v>1106</v>
      </c>
      <c r="D136" s="194">
        <v>139590</v>
      </c>
      <c r="E136" s="107"/>
      <c r="F136" s="108" t="s">
        <v>16</v>
      </c>
      <c r="G136" s="109"/>
    </row>
    <row r="137" spans="1:7" ht="19.5" customHeight="1">
      <c r="A137" s="104">
        <v>45939</v>
      </c>
      <c r="B137" s="198" t="s">
        <v>1107</v>
      </c>
      <c r="C137" s="14" t="s">
        <v>1108</v>
      </c>
      <c r="D137" s="106">
        <v>40500</v>
      </c>
      <c r="E137" s="107"/>
      <c r="F137" s="108" t="s">
        <v>10</v>
      </c>
      <c r="G137" s="109"/>
    </row>
    <row r="138" spans="1:7" ht="21" customHeight="1">
      <c r="A138" s="104">
        <v>45939</v>
      </c>
      <c r="B138" s="199" t="s">
        <v>1109</v>
      </c>
      <c r="C138" s="14" t="s">
        <v>1110</v>
      </c>
      <c r="D138" s="106">
        <v>107600</v>
      </c>
      <c r="E138" s="107"/>
      <c r="F138" s="108" t="s">
        <v>10</v>
      </c>
      <c r="G138" s="109"/>
    </row>
    <row r="139" spans="1:7" ht="22.5" customHeight="1">
      <c r="A139" s="104">
        <v>45939</v>
      </c>
      <c r="B139" s="198" t="s">
        <v>1111</v>
      </c>
      <c r="C139" s="14" t="s">
        <v>1112</v>
      </c>
      <c r="D139" s="194">
        <v>79000</v>
      </c>
      <c r="E139" s="107"/>
      <c r="F139" s="108" t="s">
        <v>16</v>
      </c>
      <c r="G139" s="109"/>
    </row>
    <row r="140" spans="1:7" ht="22.5" customHeight="1">
      <c r="A140" s="104">
        <v>45939</v>
      </c>
      <c r="B140" s="133" t="s">
        <v>1113</v>
      </c>
      <c r="C140" s="14" t="s">
        <v>1114</v>
      </c>
      <c r="D140" s="194">
        <v>118900</v>
      </c>
      <c r="E140" s="107"/>
      <c r="F140" s="108" t="s">
        <v>16</v>
      </c>
      <c r="G140" s="109"/>
    </row>
    <row r="141" spans="1:7" ht="22.5" customHeight="1">
      <c r="A141" s="104">
        <v>45939</v>
      </c>
      <c r="B141" s="5" t="s">
        <v>1115</v>
      </c>
      <c r="C141" s="14" t="s">
        <v>1116</v>
      </c>
      <c r="D141" s="106">
        <v>103500</v>
      </c>
      <c r="E141" s="107"/>
      <c r="F141" s="108" t="s">
        <v>7</v>
      </c>
      <c r="G141" s="109"/>
    </row>
    <row r="142" spans="1:7" ht="22.5" customHeight="1">
      <c r="A142" s="104">
        <v>45940</v>
      </c>
      <c r="B142" s="5" t="s">
        <v>1117</v>
      </c>
      <c r="C142" s="14" t="s">
        <v>1118</v>
      </c>
      <c r="D142" s="106">
        <v>67600</v>
      </c>
      <c r="E142" s="107"/>
      <c r="F142" s="108" t="s">
        <v>7</v>
      </c>
      <c r="G142" s="109"/>
    </row>
    <row r="143" spans="1:7" ht="18.75" customHeight="1">
      <c r="A143" s="104">
        <v>45940</v>
      </c>
      <c r="B143" s="5" t="s">
        <v>1119</v>
      </c>
      <c r="C143" s="14" t="s">
        <v>1120</v>
      </c>
      <c r="D143" s="106">
        <v>113940</v>
      </c>
      <c r="E143" s="107"/>
      <c r="F143" s="108" t="s">
        <v>10</v>
      </c>
      <c r="G143" s="109"/>
    </row>
    <row r="144" spans="1:7" ht="18" customHeight="1">
      <c r="A144" s="104">
        <v>45940</v>
      </c>
      <c r="B144" s="5" t="s">
        <v>1121</v>
      </c>
      <c r="C144" s="14" t="s">
        <v>1122</v>
      </c>
      <c r="D144" s="106">
        <v>115500</v>
      </c>
      <c r="E144" s="107"/>
      <c r="F144" s="108" t="s">
        <v>10</v>
      </c>
      <c r="G144" s="109"/>
    </row>
    <row r="145" spans="1:7" ht="22.5" customHeight="1">
      <c r="A145" s="104">
        <v>45940</v>
      </c>
      <c r="B145" s="10" t="s">
        <v>1123</v>
      </c>
      <c r="C145" s="14" t="s">
        <v>1124</v>
      </c>
      <c r="D145" s="106">
        <v>51500</v>
      </c>
      <c r="E145" s="107"/>
      <c r="F145" s="108" t="s">
        <v>7</v>
      </c>
      <c r="G145" s="109"/>
    </row>
    <row r="146" spans="1:7" ht="20.25" customHeight="1">
      <c r="A146" s="104">
        <v>45940</v>
      </c>
      <c r="B146" s="5" t="s">
        <v>886</v>
      </c>
      <c r="C146" s="14" t="s">
        <v>1125</v>
      </c>
      <c r="D146" s="106">
        <v>123700</v>
      </c>
      <c r="E146" s="107"/>
      <c r="F146" s="108" t="s">
        <v>10</v>
      </c>
      <c r="G146" s="109"/>
    </row>
    <row r="147" spans="1:7" ht="22.5" customHeight="1">
      <c r="A147" s="104">
        <v>45940</v>
      </c>
      <c r="B147" s="5" t="s">
        <v>25</v>
      </c>
      <c r="C147" s="14" t="s">
        <v>1126</v>
      </c>
      <c r="D147" s="106">
        <v>589800</v>
      </c>
      <c r="E147" s="107"/>
      <c r="F147" s="108" t="s">
        <v>10</v>
      </c>
      <c r="G147" s="109"/>
    </row>
    <row r="148" spans="1:7" ht="20.25" customHeight="1">
      <c r="A148" s="104">
        <v>45940</v>
      </c>
      <c r="B148" s="5" t="s">
        <v>1024</v>
      </c>
      <c r="C148" s="14" t="s">
        <v>1127</v>
      </c>
      <c r="D148" s="106">
        <v>329400</v>
      </c>
      <c r="E148" s="107"/>
      <c r="F148" s="108" t="s">
        <v>10</v>
      </c>
      <c r="G148" s="109"/>
    </row>
    <row r="149" spans="1:7" ht="22.5" customHeight="1">
      <c r="A149" s="104">
        <v>45940</v>
      </c>
      <c r="B149" s="5" t="s">
        <v>1128</v>
      </c>
      <c r="C149" s="14" t="s">
        <v>1129</v>
      </c>
      <c r="D149" s="106">
        <v>169000</v>
      </c>
      <c r="E149" s="107"/>
      <c r="F149" s="108" t="s">
        <v>10</v>
      </c>
      <c r="G149" s="109"/>
    </row>
    <row r="150" spans="1:7" ht="21.75" customHeight="1">
      <c r="A150" s="104">
        <v>45940</v>
      </c>
      <c r="B150" s="5" t="s">
        <v>107</v>
      </c>
      <c r="C150" s="14" t="s">
        <v>1130</v>
      </c>
      <c r="D150" s="106">
        <v>108500</v>
      </c>
      <c r="E150" s="107"/>
      <c r="F150" s="108" t="s">
        <v>10</v>
      </c>
      <c r="G150" s="109"/>
    </row>
    <row r="151" spans="1:7" ht="22.5" customHeight="1">
      <c r="A151" s="104">
        <v>45940</v>
      </c>
      <c r="B151" s="10" t="s">
        <v>120</v>
      </c>
      <c r="C151" s="14" t="s">
        <v>1131</v>
      </c>
      <c r="D151" s="106">
        <v>118500</v>
      </c>
      <c r="E151" s="107"/>
      <c r="F151" s="108" t="s">
        <v>7</v>
      </c>
      <c r="G151" s="109"/>
    </row>
    <row r="152" spans="1:7" ht="22.5" customHeight="1">
      <c r="A152" s="104">
        <v>45940</v>
      </c>
      <c r="B152" s="5" t="s">
        <v>1132</v>
      </c>
      <c r="C152" s="14" t="s">
        <v>1133</v>
      </c>
      <c r="D152" s="106">
        <v>135000</v>
      </c>
      <c r="E152" s="107"/>
      <c r="F152" s="108" t="s">
        <v>10</v>
      </c>
      <c r="G152" s="109"/>
    </row>
    <row r="153" spans="1:7" ht="22.5" customHeight="1">
      <c r="A153" s="104">
        <v>45940</v>
      </c>
      <c r="B153" s="5" t="s">
        <v>953</v>
      </c>
      <c r="C153" s="14" t="s">
        <v>1134</v>
      </c>
      <c r="D153" s="106">
        <v>298440</v>
      </c>
      <c r="E153" s="107"/>
      <c r="F153" s="108" t="s">
        <v>10</v>
      </c>
      <c r="G153" s="109"/>
    </row>
    <row r="154" spans="1:7" ht="21.75" customHeight="1">
      <c r="A154" s="104">
        <v>45940</v>
      </c>
      <c r="B154" s="5" t="s">
        <v>693</v>
      </c>
      <c r="C154" s="14" t="s">
        <v>1135</v>
      </c>
      <c r="D154" s="106">
        <v>118000</v>
      </c>
      <c r="E154" s="107"/>
      <c r="F154" s="108" t="s">
        <v>10</v>
      </c>
      <c r="G154" s="109"/>
    </row>
    <row r="155" spans="1:7" ht="22.5" customHeight="1">
      <c r="A155" s="104">
        <v>45940</v>
      </c>
      <c r="B155" s="5" t="s">
        <v>582</v>
      </c>
      <c r="C155" s="14" t="s">
        <v>1136</v>
      </c>
      <c r="D155" s="106">
        <v>88500</v>
      </c>
      <c r="E155" s="107"/>
      <c r="F155" s="108" t="s">
        <v>10</v>
      </c>
      <c r="G155" s="109"/>
    </row>
    <row r="156" spans="1:7" ht="20.25" customHeight="1">
      <c r="A156" s="104">
        <v>45940</v>
      </c>
      <c r="B156" s="5" t="s">
        <v>1137</v>
      </c>
      <c r="C156" s="14" t="s">
        <v>1138</v>
      </c>
      <c r="D156" s="106">
        <v>130700</v>
      </c>
      <c r="E156" s="107"/>
      <c r="F156" s="108" t="s">
        <v>10</v>
      </c>
      <c r="G156" s="109"/>
    </row>
    <row r="157" spans="1:7" ht="20.25" customHeight="1">
      <c r="A157" s="104">
        <v>45940</v>
      </c>
      <c r="B157" s="5" t="s">
        <v>46</v>
      </c>
      <c r="C157" s="14" t="s">
        <v>1139</v>
      </c>
      <c r="D157" s="106">
        <v>130000</v>
      </c>
      <c r="E157" s="107"/>
      <c r="F157" s="108" t="s">
        <v>7</v>
      </c>
      <c r="G157" s="109"/>
    </row>
    <row r="158" spans="1:7" ht="19.5" customHeight="1">
      <c r="A158" s="104">
        <v>45940</v>
      </c>
      <c r="B158" s="5" t="s">
        <v>1140</v>
      </c>
      <c r="C158" s="14" t="s">
        <v>1141</v>
      </c>
      <c r="D158" s="106">
        <v>139700</v>
      </c>
      <c r="E158" s="107"/>
      <c r="F158" s="108" t="s">
        <v>7</v>
      </c>
      <c r="G158" s="109"/>
    </row>
    <row r="159" spans="1:7" ht="22.5" customHeight="1">
      <c r="A159" s="104">
        <v>45940</v>
      </c>
      <c r="B159" s="5" t="s">
        <v>468</v>
      </c>
      <c r="C159" s="14" t="s">
        <v>1142</v>
      </c>
      <c r="D159" s="106">
        <v>147100</v>
      </c>
      <c r="E159" s="107"/>
      <c r="F159" s="108" t="s">
        <v>7</v>
      </c>
      <c r="G159" s="109"/>
    </row>
    <row r="160" spans="1:7" ht="22.5" customHeight="1">
      <c r="A160" s="104">
        <v>45941</v>
      </c>
      <c r="B160" s="10" t="s">
        <v>71</v>
      </c>
      <c r="C160" s="14" t="s">
        <v>1143</v>
      </c>
      <c r="D160" s="106">
        <v>223711</v>
      </c>
      <c r="E160" s="107"/>
      <c r="F160" s="108" t="s">
        <v>72</v>
      </c>
      <c r="G160" s="109" t="s">
        <v>371</v>
      </c>
    </row>
    <row r="161" spans="1:7" ht="24" customHeight="1">
      <c r="A161" s="104">
        <v>45941</v>
      </c>
      <c r="B161" s="5" t="s">
        <v>23</v>
      </c>
      <c r="C161" s="14" t="s">
        <v>1144</v>
      </c>
      <c r="D161" s="106">
        <v>126000</v>
      </c>
      <c r="E161" s="107"/>
      <c r="F161" s="108" t="s">
        <v>7</v>
      </c>
      <c r="G161" s="109"/>
    </row>
    <row r="162" spans="1:7" ht="22.5" customHeight="1">
      <c r="A162" s="104">
        <v>45941</v>
      </c>
      <c r="B162" s="10" t="s">
        <v>1145</v>
      </c>
      <c r="C162" s="14" t="s">
        <v>1146</v>
      </c>
      <c r="D162" s="194">
        <v>105000</v>
      </c>
      <c r="E162" s="107"/>
      <c r="F162" s="108" t="s">
        <v>16</v>
      </c>
      <c r="G162" s="109"/>
    </row>
    <row r="163" spans="1:7" ht="21" customHeight="1">
      <c r="A163" s="104">
        <v>45941</v>
      </c>
      <c r="B163" s="5" t="s">
        <v>1147</v>
      </c>
      <c r="C163" s="14" t="s">
        <v>1148</v>
      </c>
      <c r="D163" s="106">
        <v>117000</v>
      </c>
      <c r="E163" s="107"/>
      <c r="F163" s="108" t="s">
        <v>7</v>
      </c>
      <c r="G163" s="109" t="s">
        <v>421</v>
      </c>
    </row>
    <row r="164" spans="1:7" ht="21" customHeight="1">
      <c r="A164" s="104">
        <v>45941</v>
      </c>
      <c r="B164" s="5" t="s">
        <v>1149</v>
      </c>
      <c r="C164" s="14" t="s">
        <v>1150</v>
      </c>
      <c r="D164" s="106">
        <v>261400</v>
      </c>
      <c r="E164" s="107"/>
      <c r="F164" s="108" t="s">
        <v>10</v>
      </c>
      <c r="G164" s="109"/>
    </row>
    <row r="165" spans="1:7" ht="21" customHeight="1">
      <c r="A165" s="104">
        <v>45941</v>
      </c>
      <c r="B165" s="5" t="s">
        <v>1151</v>
      </c>
      <c r="C165" s="14" t="s">
        <v>1152</v>
      </c>
      <c r="D165" s="106">
        <v>107600</v>
      </c>
      <c r="E165" s="107"/>
      <c r="F165" s="108" t="s">
        <v>10</v>
      </c>
      <c r="G165" s="109"/>
    </row>
    <row r="166" spans="1:7" ht="20.25" customHeight="1">
      <c r="A166" s="104">
        <v>45941</v>
      </c>
      <c r="B166" s="5" t="s">
        <v>1153</v>
      </c>
      <c r="C166" s="14" t="s">
        <v>1154</v>
      </c>
      <c r="D166" s="106">
        <v>119790</v>
      </c>
      <c r="E166" s="107"/>
      <c r="F166" s="108" t="s">
        <v>10</v>
      </c>
      <c r="G166" s="109"/>
    </row>
    <row r="167" spans="1:7" ht="22.5" customHeight="1">
      <c r="A167" s="104">
        <v>45941</v>
      </c>
      <c r="B167" s="5" t="s">
        <v>1155</v>
      </c>
      <c r="C167" s="14" t="s">
        <v>1156</v>
      </c>
      <c r="D167" s="106">
        <v>117050</v>
      </c>
      <c r="E167" s="107"/>
      <c r="F167" s="108" t="s">
        <v>10</v>
      </c>
      <c r="G167" s="109"/>
    </row>
    <row r="168" spans="1:7" ht="24.75" customHeight="1">
      <c r="A168" s="104">
        <v>45941</v>
      </c>
      <c r="B168" s="5" t="s">
        <v>1157</v>
      </c>
      <c r="C168" s="14" t="s">
        <v>1158</v>
      </c>
      <c r="D168" s="106">
        <v>181925</v>
      </c>
      <c r="E168" s="107"/>
      <c r="F168" s="108" t="s">
        <v>10</v>
      </c>
      <c r="G168" s="109"/>
    </row>
    <row r="169" spans="1:7" ht="22.5" customHeight="1">
      <c r="A169" s="104">
        <v>45941</v>
      </c>
      <c r="B169" s="5" t="s">
        <v>1159</v>
      </c>
      <c r="C169" s="14" t="s">
        <v>1160</v>
      </c>
      <c r="D169" s="106">
        <v>87000</v>
      </c>
      <c r="E169" s="107"/>
      <c r="F169" s="108" t="s">
        <v>10</v>
      </c>
      <c r="G169" s="109"/>
    </row>
    <row r="170" spans="1:7" ht="24.75" customHeight="1">
      <c r="A170" s="104">
        <v>45941</v>
      </c>
      <c r="B170" s="5" t="s">
        <v>1036</v>
      </c>
      <c r="C170" s="14" t="s">
        <v>1161</v>
      </c>
      <c r="D170" s="106">
        <v>142500</v>
      </c>
      <c r="E170" s="107"/>
      <c r="F170" s="108" t="s">
        <v>10</v>
      </c>
      <c r="G170" s="109"/>
    </row>
    <row r="171" spans="1:7" ht="21" customHeight="1">
      <c r="A171" s="104">
        <v>45941</v>
      </c>
      <c r="B171" s="5" t="s">
        <v>1162</v>
      </c>
      <c r="C171" s="14" t="s">
        <v>1163</v>
      </c>
      <c r="D171" s="106">
        <v>130000</v>
      </c>
      <c r="E171" s="107"/>
      <c r="F171" s="108" t="s">
        <v>10</v>
      </c>
      <c r="G171" s="109"/>
    </row>
    <row r="172" spans="1:7" ht="22.5" customHeight="1">
      <c r="A172" s="104">
        <v>45944</v>
      </c>
      <c r="B172" s="193" t="s">
        <v>1164</v>
      </c>
      <c r="C172" s="14" t="s">
        <v>1165</v>
      </c>
      <c r="D172" s="106">
        <v>134190</v>
      </c>
      <c r="E172" s="107"/>
      <c r="F172" s="108" t="s">
        <v>10</v>
      </c>
      <c r="G172" s="109"/>
    </row>
    <row r="173" spans="1:7" ht="21" customHeight="1">
      <c r="A173" s="104">
        <v>45944</v>
      </c>
      <c r="B173" s="193" t="s">
        <v>812</v>
      </c>
      <c r="C173" s="14" t="s">
        <v>1166</v>
      </c>
      <c r="D173" s="106">
        <v>271500</v>
      </c>
      <c r="E173" s="107"/>
      <c r="F173" s="108" t="s">
        <v>10</v>
      </c>
      <c r="G173" s="109"/>
    </row>
    <row r="174" spans="1:7" ht="20.25" customHeight="1">
      <c r="A174" s="104">
        <v>45944</v>
      </c>
      <c r="B174" s="5" t="s">
        <v>1167</v>
      </c>
      <c r="C174" s="14" t="s">
        <v>1168</v>
      </c>
      <c r="D174" s="106">
        <v>123900</v>
      </c>
      <c r="E174" s="107"/>
      <c r="F174" s="108" t="s">
        <v>10</v>
      </c>
      <c r="G174" s="109"/>
    </row>
    <row r="175" spans="1:7" ht="22.5" customHeight="1">
      <c r="A175" s="104">
        <v>45944</v>
      </c>
      <c r="B175" s="5" t="s">
        <v>1169</v>
      </c>
      <c r="C175" s="14" t="s">
        <v>1170</v>
      </c>
      <c r="D175" s="106">
        <v>126090</v>
      </c>
      <c r="E175" s="107"/>
      <c r="F175" s="108" t="s">
        <v>10</v>
      </c>
      <c r="G175" s="109"/>
    </row>
    <row r="176" spans="1:7" ht="22.5" customHeight="1">
      <c r="A176" s="104">
        <v>45944</v>
      </c>
      <c r="B176" s="5" t="s">
        <v>1171</v>
      </c>
      <c r="C176" s="14" t="s">
        <v>1172</v>
      </c>
      <c r="D176" s="106">
        <v>119250</v>
      </c>
      <c r="E176" s="107"/>
      <c r="F176" s="108" t="s">
        <v>10</v>
      </c>
      <c r="G176" s="109"/>
    </row>
    <row r="177" spans="1:7" ht="22.5" customHeight="1">
      <c r="A177" s="104">
        <v>45944</v>
      </c>
      <c r="B177" s="5" t="s">
        <v>1173</v>
      </c>
      <c r="C177" s="14" t="s">
        <v>1174</v>
      </c>
      <c r="D177" s="106">
        <v>116100</v>
      </c>
      <c r="E177" s="107"/>
      <c r="F177" s="108" t="s">
        <v>10</v>
      </c>
      <c r="G177" s="109" t="s">
        <v>421</v>
      </c>
    </row>
    <row r="178" spans="1:7" ht="21.75" customHeight="1">
      <c r="A178" s="104">
        <v>45944</v>
      </c>
      <c r="B178" s="5" t="s">
        <v>1175</v>
      </c>
      <c r="C178" s="14" t="s">
        <v>1176</v>
      </c>
      <c r="D178" s="194">
        <v>126500</v>
      </c>
      <c r="E178" s="107"/>
      <c r="F178" s="108" t="s">
        <v>16</v>
      </c>
      <c r="G178" s="109" t="s">
        <v>421</v>
      </c>
    </row>
    <row r="179" spans="1:7" ht="24" customHeight="1">
      <c r="A179" s="104">
        <v>45944</v>
      </c>
      <c r="B179" s="198" t="s">
        <v>1177</v>
      </c>
      <c r="C179" s="14" t="s">
        <v>1178</v>
      </c>
      <c r="D179" s="106">
        <v>95000</v>
      </c>
      <c r="E179" s="107"/>
      <c r="F179" s="108" t="s">
        <v>10</v>
      </c>
      <c r="G179" s="109" t="s">
        <v>421</v>
      </c>
    </row>
    <row r="180" spans="1:7" ht="24.75" customHeight="1">
      <c r="A180" s="104">
        <v>45944</v>
      </c>
      <c r="B180" s="5" t="s">
        <v>1179</v>
      </c>
      <c r="C180" s="14" t="s">
        <v>1180</v>
      </c>
      <c r="D180" s="106">
        <v>130000</v>
      </c>
      <c r="E180" s="107"/>
      <c r="F180" s="108" t="s">
        <v>10</v>
      </c>
      <c r="G180" s="109" t="s">
        <v>421</v>
      </c>
    </row>
    <row r="181" spans="1:7" ht="22.5" customHeight="1">
      <c r="A181" s="104">
        <v>45944</v>
      </c>
      <c r="B181" s="5" t="s">
        <v>645</v>
      </c>
      <c r="C181" s="14" t="s">
        <v>1181</v>
      </c>
      <c r="D181" s="106">
        <v>121500</v>
      </c>
      <c r="E181" s="107"/>
      <c r="F181" s="108" t="s">
        <v>10</v>
      </c>
      <c r="G181" s="109" t="s">
        <v>371</v>
      </c>
    </row>
    <row r="182" spans="1:7" ht="21.75" customHeight="1">
      <c r="A182" s="104">
        <v>45944</v>
      </c>
      <c r="B182" s="5" t="s">
        <v>1182</v>
      </c>
      <c r="C182" s="14" t="s">
        <v>1183</v>
      </c>
      <c r="D182" s="106">
        <v>130000</v>
      </c>
      <c r="E182" s="107"/>
      <c r="F182" s="108" t="s">
        <v>10</v>
      </c>
      <c r="G182" s="109" t="s">
        <v>421</v>
      </c>
    </row>
    <row r="183" spans="1:7" ht="24" customHeight="1">
      <c r="A183" s="104">
        <v>45944</v>
      </c>
      <c r="B183" s="5" t="s">
        <v>1184</v>
      </c>
      <c r="C183" s="14" t="s">
        <v>1185</v>
      </c>
      <c r="D183" s="106">
        <v>81600</v>
      </c>
      <c r="E183" s="107"/>
      <c r="F183" s="108" t="s">
        <v>10</v>
      </c>
      <c r="G183" s="109" t="s">
        <v>421</v>
      </c>
    </row>
    <row r="184" spans="1:7" ht="22.5" customHeight="1">
      <c r="A184" s="104">
        <v>45944</v>
      </c>
      <c r="B184" s="5" t="s">
        <v>1186</v>
      </c>
      <c r="C184" s="14" t="s">
        <v>1187</v>
      </c>
      <c r="D184" s="194">
        <v>109885</v>
      </c>
      <c r="E184" s="107"/>
      <c r="F184" s="108" t="s">
        <v>16</v>
      </c>
      <c r="G184" s="109" t="s">
        <v>421</v>
      </c>
    </row>
    <row r="185" spans="1:7" ht="21" customHeight="1">
      <c r="A185" s="104">
        <v>45944</v>
      </c>
      <c r="B185" s="5" t="s">
        <v>1188</v>
      </c>
      <c r="C185" s="14" t="s">
        <v>1189</v>
      </c>
      <c r="D185" s="106">
        <v>216835</v>
      </c>
      <c r="E185" s="107"/>
      <c r="F185" s="108" t="s">
        <v>10</v>
      </c>
      <c r="G185" s="109" t="s">
        <v>371</v>
      </c>
    </row>
    <row r="186" spans="1:7" ht="24.75" customHeight="1">
      <c r="A186" s="104">
        <v>45944</v>
      </c>
      <c r="B186" s="5" t="s">
        <v>647</v>
      </c>
      <c r="C186" s="14" t="s">
        <v>1190</v>
      </c>
      <c r="D186" s="106">
        <v>109000</v>
      </c>
      <c r="E186" s="107"/>
      <c r="F186" s="108" t="s">
        <v>10</v>
      </c>
      <c r="G186" s="109" t="s">
        <v>421</v>
      </c>
    </row>
    <row r="187" spans="1:7" ht="22.5" customHeight="1">
      <c r="A187" s="104">
        <v>45944</v>
      </c>
      <c r="B187" s="10" t="s">
        <v>1191</v>
      </c>
      <c r="C187" s="14" t="s">
        <v>1192</v>
      </c>
      <c r="D187" s="106">
        <v>253620</v>
      </c>
      <c r="E187" s="107"/>
      <c r="F187" s="108" t="s">
        <v>10</v>
      </c>
      <c r="G187" s="109" t="s">
        <v>371</v>
      </c>
    </row>
    <row r="188" spans="1:7" ht="21.75" customHeight="1">
      <c r="A188" s="104">
        <v>45944</v>
      </c>
      <c r="B188" s="5" t="s">
        <v>754</v>
      </c>
      <c r="C188" s="14" t="s">
        <v>1193</v>
      </c>
      <c r="D188" s="106">
        <v>218000</v>
      </c>
      <c r="E188" s="107"/>
      <c r="F188" s="108" t="s">
        <v>10</v>
      </c>
      <c r="G188" s="109" t="s">
        <v>421</v>
      </c>
    </row>
    <row r="189" spans="1:7" ht="23.25" customHeight="1">
      <c r="A189" s="104">
        <v>45944</v>
      </c>
      <c r="B189" s="5" t="s">
        <v>1194</v>
      </c>
      <c r="C189" s="14" t="s">
        <v>1195</v>
      </c>
      <c r="D189" s="106">
        <v>51500</v>
      </c>
      <c r="E189" s="107"/>
      <c r="F189" s="108" t="s">
        <v>10</v>
      </c>
      <c r="G189" s="109" t="s">
        <v>421</v>
      </c>
    </row>
    <row r="190" spans="1:7" ht="21" customHeight="1">
      <c r="A190" s="104">
        <v>45944</v>
      </c>
      <c r="B190" s="5" t="s">
        <v>1196</v>
      </c>
      <c r="C190" s="14" t="s">
        <v>1197</v>
      </c>
      <c r="D190" s="106">
        <v>116190</v>
      </c>
      <c r="E190" s="107"/>
      <c r="F190" s="108" t="s">
        <v>10</v>
      </c>
      <c r="G190" s="109" t="s">
        <v>421</v>
      </c>
    </row>
    <row r="191" spans="1:7" ht="22.5" customHeight="1">
      <c r="A191" s="104">
        <v>45944</v>
      </c>
      <c r="B191" s="5" t="s">
        <v>1198</v>
      </c>
      <c r="C191" s="14" t="s">
        <v>1199</v>
      </c>
      <c r="D191" s="106">
        <v>60500</v>
      </c>
      <c r="E191" s="107"/>
      <c r="F191" s="108" t="s">
        <v>10</v>
      </c>
      <c r="G191" s="109" t="s">
        <v>421</v>
      </c>
    </row>
    <row r="192" spans="1:7" ht="22.5" customHeight="1">
      <c r="A192" s="104">
        <v>45944</v>
      </c>
      <c r="B192" s="10" t="s">
        <v>237</v>
      </c>
      <c r="C192" s="14" t="s">
        <v>1200</v>
      </c>
      <c r="D192" s="106">
        <v>126000</v>
      </c>
      <c r="E192" s="107"/>
      <c r="F192" s="108" t="s">
        <v>7</v>
      </c>
      <c r="G192" s="109" t="s">
        <v>371</v>
      </c>
    </row>
    <row r="193" spans="1:7" ht="20.25" customHeight="1">
      <c r="A193" s="104">
        <v>45944</v>
      </c>
      <c r="B193" s="10" t="s">
        <v>309</v>
      </c>
      <c r="C193" s="14" t="s">
        <v>1201</v>
      </c>
      <c r="D193" s="106">
        <v>115000</v>
      </c>
      <c r="E193" s="107"/>
      <c r="F193" s="108" t="s">
        <v>10</v>
      </c>
      <c r="G193" s="109" t="s">
        <v>371</v>
      </c>
    </row>
    <row r="194" spans="1:7" ht="22.5" customHeight="1">
      <c r="A194" s="104">
        <v>45945</v>
      </c>
      <c r="B194" s="5" t="s">
        <v>1202</v>
      </c>
      <c r="C194" s="14" t="s">
        <v>1203</v>
      </c>
      <c r="D194" s="106">
        <v>165330</v>
      </c>
      <c r="E194" s="107"/>
      <c r="F194" s="108" t="s">
        <v>10</v>
      </c>
      <c r="G194" s="109" t="s">
        <v>421</v>
      </c>
    </row>
    <row r="195" spans="1:7" ht="22.5" customHeight="1">
      <c r="A195" s="104">
        <v>45945</v>
      </c>
      <c r="B195" s="10" t="s">
        <v>28</v>
      </c>
      <c r="C195" s="14" t="s">
        <v>1204</v>
      </c>
      <c r="D195" s="106">
        <v>167845</v>
      </c>
      <c r="E195" s="200"/>
      <c r="F195" s="108" t="s">
        <v>7</v>
      </c>
      <c r="G195" s="109" t="s">
        <v>371</v>
      </c>
    </row>
    <row r="196" spans="1:7" ht="22.5" customHeight="1">
      <c r="A196" s="104">
        <v>45945</v>
      </c>
      <c r="B196" s="5" t="s">
        <v>543</v>
      </c>
      <c r="C196" s="14" t="s">
        <v>1205</v>
      </c>
      <c r="D196" s="106">
        <v>244100</v>
      </c>
      <c r="E196" s="107"/>
      <c r="F196" s="108" t="s">
        <v>10</v>
      </c>
      <c r="G196" s="109" t="s">
        <v>421</v>
      </c>
    </row>
    <row r="197" spans="1:7" ht="18.75" customHeight="1">
      <c r="A197" s="104">
        <v>45945</v>
      </c>
      <c r="B197" s="112" t="s">
        <v>1206</v>
      </c>
      <c r="C197" s="14" t="s">
        <v>1207</v>
      </c>
      <c r="D197" s="106">
        <v>90500</v>
      </c>
      <c r="E197" s="107"/>
      <c r="F197" s="108" t="s">
        <v>10</v>
      </c>
      <c r="G197" s="109" t="s">
        <v>421</v>
      </c>
    </row>
    <row r="198" spans="1:7" ht="21.75" customHeight="1">
      <c r="A198" s="104">
        <v>45945</v>
      </c>
      <c r="B198" s="112" t="s">
        <v>1208</v>
      </c>
      <c r="C198" s="14" t="s">
        <v>1209</v>
      </c>
      <c r="D198" s="194">
        <v>71500</v>
      </c>
      <c r="E198" s="107"/>
      <c r="F198" s="108" t="s">
        <v>16</v>
      </c>
      <c r="G198" s="109" t="s">
        <v>1210</v>
      </c>
    </row>
    <row r="199" spans="1:7" ht="19.5" customHeight="1">
      <c r="A199" s="104">
        <v>45945</v>
      </c>
      <c r="B199" s="198" t="s">
        <v>1211</v>
      </c>
      <c r="C199" s="14" t="s">
        <v>1212</v>
      </c>
      <c r="D199" s="106">
        <v>145900</v>
      </c>
      <c r="E199" s="107"/>
      <c r="F199" s="108" t="s">
        <v>10</v>
      </c>
      <c r="G199" s="109" t="s">
        <v>371</v>
      </c>
    </row>
    <row r="200" spans="1:7" ht="22.5" customHeight="1">
      <c r="A200" s="104">
        <v>45945</v>
      </c>
      <c r="B200" s="201" t="s">
        <v>1213</v>
      </c>
      <c r="C200" s="14" t="s">
        <v>1214</v>
      </c>
      <c r="D200" s="106">
        <v>158500</v>
      </c>
      <c r="E200" s="107"/>
      <c r="F200" s="108" t="s">
        <v>7</v>
      </c>
      <c r="G200" s="109" t="s">
        <v>371</v>
      </c>
    </row>
    <row r="201" spans="1:7" ht="22.5" customHeight="1">
      <c r="A201" s="104">
        <v>45945</v>
      </c>
      <c r="B201" s="10" t="s">
        <v>1215</v>
      </c>
      <c r="C201" s="14" t="s">
        <v>1216</v>
      </c>
      <c r="D201" s="106">
        <v>84600</v>
      </c>
      <c r="E201" s="107"/>
      <c r="F201" s="108" t="s">
        <v>7</v>
      </c>
      <c r="G201" s="109" t="s">
        <v>371</v>
      </c>
    </row>
    <row r="202" spans="1:7" ht="22.5" customHeight="1">
      <c r="A202" s="104">
        <v>45945</v>
      </c>
      <c r="B202" s="10" t="s">
        <v>1217</v>
      </c>
      <c r="C202" s="14" t="s">
        <v>1218</v>
      </c>
      <c r="D202" s="106">
        <v>167000</v>
      </c>
      <c r="E202" s="107"/>
      <c r="F202" s="108" t="s">
        <v>7</v>
      </c>
      <c r="G202" s="109" t="s">
        <v>371</v>
      </c>
    </row>
    <row r="203" spans="1:7" ht="24" customHeight="1">
      <c r="A203" s="104">
        <v>45945</v>
      </c>
      <c r="B203" s="9" t="s">
        <v>1219</v>
      </c>
      <c r="C203" s="14" t="s">
        <v>1220</v>
      </c>
      <c r="D203" s="106">
        <v>192500</v>
      </c>
      <c r="E203" s="107"/>
      <c r="F203" s="108" t="s">
        <v>10</v>
      </c>
      <c r="G203" s="109" t="s">
        <v>942</v>
      </c>
    </row>
    <row r="204" spans="1:7" ht="24" customHeight="1">
      <c r="A204" s="104">
        <v>45945</v>
      </c>
      <c r="B204" s="198" t="s">
        <v>1221</v>
      </c>
      <c r="C204" s="14" t="s">
        <v>1222</v>
      </c>
      <c r="D204" s="194">
        <v>61500</v>
      </c>
      <c r="E204" s="107"/>
      <c r="F204" s="108" t="s">
        <v>16</v>
      </c>
      <c r="G204" s="109" t="s">
        <v>874</v>
      </c>
    </row>
    <row r="205" spans="1:7" ht="22.5" customHeight="1">
      <c r="A205" s="104">
        <v>45945</v>
      </c>
      <c r="B205" s="198" t="s">
        <v>1223</v>
      </c>
      <c r="C205" s="14" t="s">
        <v>1224</v>
      </c>
      <c r="D205" s="106">
        <v>112460</v>
      </c>
      <c r="E205" s="107"/>
      <c r="F205" s="108" t="s">
        <v>10</v>
      </c>
      <c r="G205" s="109" t="s">
        <v>421</v>
      </c>
    </row>
    <row r="206" spans="1:7" ht="27" customHeight="1">
      <c r="A206" s="104">
        <v>45945</v>
      </c>
      <c r="B206" s="10" t="s">
        <v>1225</v>
      </c>
      <c r="C206" s="14" t="s">
        <v>1226</v>
      </c>
      <c r="D206" s="106">
        <v>93500</v>
      </c>
      <c r="E206" s="107"/>
      <c r="F206" s="108" t="s">
        <v>10</v>
      </c>
      <c r="G206" s="109" t="s">
        <v>371</v>
      </c>
    </row>
    <row r="207" spans="1:7" ht="22.5" customHeight="1">
      <c r="A207" s="104">
        <v>45945</v>
      </c>
      <c r="B207" s="198" t="s">
        <v>1227</v>
      </c>
      <c r="C207" s="14" t="s">
        <v>1228</v>
      </c>
      <c r="D207" s="106">
        <v>186000</v>
      </c>
      <c r="E207" s="107"/>
      <c r="F207" s="108" t="s">
        <v>10</v>
      </c>
      <c r="G207" s="109" t="s">
        <v>421</v>
      </c>
    </row>
    <row r="208" spans="1:7" ht="20.25" customHeight="1">
      <c r="A208" s="104">
        <v>45945</v>
      </c>
      <c r="B208" s="198" t="s">
        <v>1229</v>
      </c>
      <c r="C208" s="14" t="s">
        <v>1230</v>
      </c>
      <c r="D208" s="106">
        <v>145100</v>
      </c>
      <c r="E208" s="107"/>
      <c r="F208" s="108" t="s">
        <v>10</v>
      </c>
      <c r="G208" s="109" t="s">
        <v>421</v>
      </c>
    </row>
    <row r="209" spans="1:7" ht="21.75" customHeight="1">
      <c r="A209" s="104">
        <v>45946</v>
      </c>
      <c r="B209" s="10" t="s">
        <v>71</v>
      </c>
      <c r="C209" s="202" t="s">
        <v>1231</v>
      </c>
      <c r="D209" s="106">
        <v>111855</v>
      </c>
      <c r="E209" s="107"/>
      <c r="F209" s="108" t="s">
        <v>72</v>
      </c>
      <c r="G209" s="109" t="s">
        <v>371</v>
      </c>
    </row>
    <row r="210" spans="1:7" ht="22.5" customHeight="1">
      <c r="A210" s="104">
        <v>45946</v>
      </c>
      <c r="B210" s="5" t="s">
        <v>1232</v>
      </c>
      <c r="C210" s="14" t="s">
        <v>1233</v>
      </c>
      <c r="D210" s="194">
        <v>117900</v>
      </c>
      <c r="E210" s="107"/>
      <c r="F210" s="108" t="s">
        <v>16</v>
      </c>
      <c r="G210" s="109" t="s">
        <v>371</v>
      </c>
    </row>
    <row r="211" spans="1:7" ht="22.5" customHeight="1">
      <c r="A211" s="104">
        <v>45946</v>
      </c>
      <c r="B211" s="5" t="s">
        <v>603</v>
      </c>
      <c r="C211" s="14" t="s">
        <v>1234</v>
      </c>
      <c r="D211" s="106">
        <v>232500</v>
      </c>
      <c r="E211" s="107"/>
      <c r="F211" s="108" t="s">
        <v>10</v>
      </c>
      <c r="G211" s="109" t="s">
        <v>371</v>
      </c>
    </row>
    <row r="212" spans="1:7" ht="22.5" customHeight="1">
      <c r="A212" s="104">
        <v>45946</v>
      </c>
      <c r="B212" s="197" t="s">
        <v>1235</v>
      </c>
      <c r="C212" s="14" t="s">
        <v>1236</v>
      </c>
      <c r="D212" s="106">
        <v>59600</v>
      </c>
      <c r="E212" s="107"/>
      <c r="F212" s="108" t="s">
        <v>10</v>
      </c>
      <c r="G212" s="109" t="s">
        <v>421</v>
      </c>
    </row>
    <row r="213" spans="1:7" ht="22.5" customHeight="1">
      <c r="A213" s="104">
        <v>45946</v>
      </c>
      <c r="B213" s="5" t="s">
        <v>1063</v>
      </c>
      <c r="C213" s="14" t="s">
        <v>1237</v>
      </c>
      <c r="D213" s="106">
        <v>172000</v>
      </c>
      <c r="E213" s="107"/>
      <c r="F213" s="108" t="s">
        <v>10</v>
      </c>
      <c r="G213" s="109" t="s">
        <v>421</v>
      </c>
    </row>
    <row r="214" spans="1:7" ht="22.5" customHeight="1">
      <c r="A214" s="104">
        <v>45946</v>
      </c>
      <c r="B214" s="5" t="s">
        <v>1238</v>
      </c>
      <c r="C214" s="14" t="s">
        <v>1239</v>
      </c>
      <c r="D214" s="106">
        <v>112000</v>
      </c>
      <c r="E214" s="107"/>
      <c r="F214" s="108" t="s">
        <v>10</v>
      </c>
      <c r="G214" s="109" t="s">
        <v>421</v>
      </c>
    </row>
    <row r="215" spans="1:7" ht="24.75" customHeight="1">
      <c r="A215" s="104">
        <v>45946</v>
      </c>
      <c r="B215" s="5" t="s">
        <v>173</v>
      </c>
      <c r="C215" s="14" t="s">
        <v>1240</v>
      </c>
      <c r="D215" s="106">
        <v>232650</v>
      </c>
      <c r="E215" s="107"/>
      <c r="F215" s="108" t="s">
        <v>10</v>
      </c>
      <c r="G215" s="109" t="s">
        <v>371</v>
      </c>
    </row>
    <row r="216" spans="1:7" ht="22.5" customHeight="1">
      <c r="A216" s="104">
        <v>45946</v>
      </c>
      <c r="B216" s="10" t="s">
        <v>33</v>
      </c>
      <c r="C216" s="14" t="s">
        <v>1241</v>
      </c>
      <c r="D216" s="106">
        <v>281500</v>
      </c>
      <c r="E216" s="107"/>
      <c r="F216" s="108" t="s">
        <v>7</v>
      </c>
      <c r="G216" s="109" t="s">
        <v>371</v>
      </c>
    </row>
    <row r="217" spans="1:7" ht="22.5" customHeight="1">
      <c r="A217" s="104">
        <v>45946</v>
      </c>
      <c r="B217" s="197" t="s">
        <v>1242</v>
      </c>
      <c r="C217" s="14" t="s">
        <v>1243</v>
      </c>
      <c r="D217" s="106">
        <v>122940</v>
      </c>
      <c r="E217" s="107"/>
      <c r="F217" s="108" t="s">
        <v>10</v>
      </c>
      <c r="G217" s="109" t="s">
        <v>421</v>
      </c>
    </row>
    <row r="218" spans="1:7" ht="24" customHeight="1">
      <c r="A218" s="104">
        <v>45946</v>
      </c>
      <c r="B218" s="5" t="s">
        <v>1244</v>
      </c>
      <c r="C218" s="14" t="s">
        <v>1245</v>
      </c>
      <c r="D218" s="194">
        <v>91600</v>
      </c>
      <c r="E218" s="107"/>
      <c r="F218" s="108" t="s">
        <v>16</v>
      </c>
      <c r="G218" s="109" t="s">
        <v>371</v>
      </c>
    </row>
    <row r="219" spans="1:7" ht="22.5" customHeight="1">
      <c r="A219" s="104">
        <v>45946</v>
      </c>
      <c r="B219" s="10" t="s">
        <v>170</v>
      </c>
      <c r="C219" s="14" t="s">
        <v>1246</v>
      </c>
      <c r="D219" s="106">
        <v>78800</v>
      </c>
      <c r="E219" s="107"/>
      <c r="F219" s="108" t="s">
        <v>10</v>
      </c>
      <c r="G219" s="109" t="s">
        <v>371</v>
      </c>
    </row>
    <row r="220" spans="1:7" ht="21.75" customHeight="1">
      <c r="A220" s="203">
        <v>45946</v>
      </c>
      <c r="B220" s="204" t="s">
        <v>397</v>
      </c>
      <c r="C220" s="205" t="s">
        <v>1247</v>
      </c>
      <c r="D220" s="194">
        <v>246500</v>
      </c>
      <c r="E220" s="206"/>
      <c r="F220" s="207" t="s">
        <v>1248</v>
      </c>
      <c r="G220" s="109" t="s">
        <v>371</v>
      </c>
    </row>
    <row r="221" spans="1:7" ht="23.25" customHeight="1">
      <c r="A221" s="104">
        <v>45946</v>
      </c>
      <c r="B221" s="5" t="s">
        <v>12</v>
      </c>
      <c r="C221" s="14" t="s">
        <v>1249</v>
      </c>
      <c r="D221" s="106">
        <v>308289</v>
      </c>
      <c r="E221" s="107"/>
      <c r="F221" s="108" t="s">
        <v>10</v>
      </c>
      <c r="G221" s="109" t="s">
        <v>371</v>
      </c>
    </row>
    <row r="222" spans="1:7" ht="24" customHeight="1">
      <c r="A222" s="104">
        <v>45946</v>
      </c>
      <c r="B222" s="10" t="s">
        <v>1250</v>
      </c>
      <c r="C222" s="14" t="s">
        <v>1251</v>
      </c>
      <c r="D222" s="106">
        <v>90100</v>
      </c>
      <c r="E222" s="107"/>
      <c r="F222" s="108" t="s">
        <v>7</v>
      </c>
      <c r="G222" s="109" t="s">
        <v>371</v>
      </c>
    </row>
    <row r="223" spans="1:7" ht="24" customHeight="1">
      <c r="A223" s="104">
        <v>45946</v>
      </c>
      <c r="B223" s="10" t="s">
        <v>86</v>
      </c>
      <c r="C223" s="14" t="s">
        <v>1252</v>
      </c>
      <c r="D223" s="106">
        <v>117000</v>
      </c>
      <c r="E223" s="107"/>
      <c r="F223" s="108" t="s">
        <v>7</v>
      </c>
      <c r="G223" s="109" t="s">
        <v>371</v>
      </c>
    </row>
    <row r="224" spans="1:7" ht="22.5" customHeight="1">
      <c r="A224" s="104">
        <v>45946</v>
      </c>
      <c r="B224" s="10" t="s">
        <v>1253</v>
      </c>
      <c r="C224" s="14" t="s">
        <v>1254</v>
      </c>
      <c r="D224" s="194">
        <v>234000</v>
      </c>
      <c r="E224" s="107"/>
      <c r="F224" s="108" t="s">
        <v>16</v>
      </c>
      <c r="G224" s="109" t="s">
        <v>371</v>
      </c>
    </row>
    <row r="225" spans="1:7" ht="22.5" customHeight="1">
      <c r="A225" s="104">
        <v>45946</v>
      </c>
      <c r="B225" s="5" t="s">
        <v>342</v>
      </c>
      <c r="C225" s="14" t="s">
        <v>1255</v>
      </c>
      <c r="D225" s="194">
        <v>245000</v>
      </c>
      <c r="E225" s="107"/>
      <c r="F225" s="108" t="s">
        <v>16</v>
      </c>
      <c r="G225" s="109" t="s">
        <v>371</v>
      </c>
    </row>
    <row r="226" spans="1:7" ht="24" customHeight="1">
      <c r="A226" s="104">
        <v>45946</v>
      </c>
      <c r="B226" s="10" t="s">
        <v>1256</v>
      </c>
      <c r="C226" s="14" t="s">
        <v>1257</v>
      </c>
      <c r="D226" s="106">
        <v>112500</v>
      </c>
      <c r="E226" s="107"/>
      <c r="F226" s="108" t="s">
        <v>10</v>
      </c>
      <c r="G226" s="109" t="s">
        <v>371</v>
      </c>
    </row>
    <row r="227" spans="1:7" ht="22.5" customHeight="1">
      <c r="A227" s="104">
        <v>45946</v>
      </c>
      <c r="B227" s="5" t="s">
        <v>46</v>
      </c>
      <c r="C227" s="14" t="s">
        <v>1258</v>
      </c>
      <c r="D227" s="106">
        <v>135000</v>
      </c>
      <c r="E227" s="107"/>
      <c r="F227" s="108" t="s">
        <v>7</v>
      </c>
      <c r="G227" s="109" t="s">
        <v>371</v>
      </c>
    </row>
    <row r="228" spans="1:7" ht="19.5" customHeight="1">
      <c r="A228" s="104">
        <v>45946</v>
      </c>
      <c r="B228" s="5" t="s">
        <v>1259</v>
      </c>
      <c r="C228" s="14" t="s">
        <v>1260</v>
      </c>
      <c r="D228" s="194">
        <v>87000</v>
      </c>
      <c r="E228" s="107"/>
      <c r="F228" s="108" t="s">
        <v>16</v>
      </c>
      <c r="G228" s="109" t="s">
        <v>421</v>
      </c>
    </row>
    <row r="229" spans="1:7" ht="22.5" customHeight="1">
      <c r="A229" s="104">
        <v>45946</v>
      </c>
      <c r="B229" s="5" t="s">
        <v>1261</v>
      </c>
      <c r="C229" s="14" t="s">
        <v>1262</v>
      </c>
      <c r="D229" s="106">
        <v>71500</v>
      </c>
      <c r="E229" s="107"/>
      <c r="F229" s="108" t="s">
        <v>10</v>
      </c>
      <c r="G229" s="109" t="s">
        <v>421</v>
      </c>
    </row>
    <row r="230" spans="1:7" ht="22.5" customHeight="1">
      <c r="A230" s="104">
        <v>45946</v>
      </c>
      <c r="B230" s="10" t="s">
        <v>71</v>
      </c>
      <c r="C230" s="202" t="s">
        <v>1263</v>
      </c>
      <c r="D230" s="106">
        <v>111855</v>
      </c>
      <c r="E230" s="107"/>
      <c r="F230" s="108" t="s">
        <v>72</v>
      </c>
      <c r="G230" s="109" t="s">
        <v>371</v>
      </c>
    </row>
    <row r="231" spans="1:7" ht="21" customHeight="1">
      <c r="A231" s="104">
        <v>45947</v>
      </c>
      <c r="B231" s="5" t="s">
        <v>1264</v>
      </c>
      <c r="C231" s="14" t="s">
        <v>1265</v>
      </c>
      <c r="D231" s="106">
        <v>151000</v>
      </c>
      <c r="E231" s="107"/>
      <c r="F231" s="108" t="s">
        <v>10</v>
      </c>
      <c r="G231" s="109" t="s">
        <v>421</v>
      </c>
    </row>
    <row r="232" spans="1:7" ht="21" customHeight="1">
      <c r="A232" s="104">
        <v>45947</v>
      </c>
      <c r="B232" s="5" t="s">
        <v>426</v>
      </c>
      <c r="C232" s="14" t="s">
        <v>1266</v>
      </c>
      <c r="D232" s="106">
        <v>132500</v>
      </c>
      <c r="E232" s="107"/>
      <c r="F232" s="108" t="s">
        <v>10</v>
      </c>
      <c r="G232" s="109" t="s">
        <v>371</v>
      </c>
    </row>
    <row r="233" spans="1:7" ht="21" customHeight="1">
      <c r="A233" s="104">
        <v>45947</v>
      </c>
      <c r="B233" s="5" t="s">
        <v>426</v>
      </c>
      <c r="C233" s="14" t="s">
        <v>1267</v>
      </c>
      <c r="D233" s="106">
        <v>153500</v>
      </c>
      <c r="E233" s="107"/>
      <c r="F233" s="108" t="s">
        <v>10</v>
      </c>
      <c r="G233" s="109" t="s">
        <v>371</v>
      </c>
    </row>
    <row r="234" spans="1:7" ht="24" customHeight="1">
      <c r="A234" s="104">
        <v>45947</v>
      </c>
      <c r="B234" s="5" t="s">
        <v>99</v>
      </c>
      <c r="C234" s="14" t="s">
        <v>1268</v>
      </c>
      <c r="D234" s="106">
        <v>135000</v>
      </c>
      <c r="E234" s="107"/>
      <c r="F234" s="108" t="s">
        <v>10</v>
      </c>
      <c r="G234" s="109" t="s">
        <v>371</v>
      </c>
    </row>
    <row r="235" spans="1:7" ht="21.75" customHeight="1">
      <c r="A235" s="104">
        <v>45947</v>
      </c>
      <c r="B235" s="5" t="s">
        <v>1269</v>
      </c>
      <c r="C235" s="14" t="s">
        <v>1270</v>
      </c>
      <c r="D235" s="106">
        <v>123700</v>
      </c>
      <c r="E235" s="107"/>
      <c r="F235" s="108" t="s">
        <v>10</v>
      </c>
      <c r="G235" s="109" t="s">
        <v>371</v>
      </c>
    </row>
    <row r="236" spans="1:7" ht="19.5" customHeight="1">
      <c r="A236" s="104">
        <v>45947</v>
      </c>
      <c r="B236" s="5" t="s">
        <v>1271</v>
      </c>
      <c r="C236" s="14" t="s">
        <v>1272</v>
      </c>
      <c r="D236" s="116">
        <v>127500</v>
      </c>
      <c r="E236" s="117"/>
      <c r="F236" s="131" t="s">
        <v>10</v>
      </c>
      <c r="G236" s="132" t="s">
        <v>942</v>
      </c>
    </row>
    <row r="237" spans="1:7" ht="21.75" customHeight="1">
      <c r="A237" s="104">
        <v>45947</v>
      </c>
      <c r="B237" s="5" t="s">
        <v>444</v>
      </c>
      <c r="C237" s="14" t="s">
        <v>1273</v>
      </c>
      <c r="D237" s="106">
        <v>135450</v>
      </c>
      <c r="E237" s="107"/>
      <c r="F237" s="108" t="s">
        <v>10</v>
      </c>
      <c r="G237" s="109" t="s">
        <v>421</v>
      </c>
    </row>
    <row r="238" spans="1:7" ht="22.5" customHeight="1">
      <c r="A238" s="104">
        <v>45947</v>
      </c>
      <c r="B238" s="10" t="s">
        <v>1274</v>
      </c>
      <c r="C238" s="14" t="s">
        <v>1275</v>
      </c>
      <c r="D238" s="106">
        <v>188900</v>
      </c>
      <c r="E238" s="107"/>
      <c r="F238" s="108" t="s">
        <v>10</v>
      </c>
      <c r="G238" s="109" t="s">
        <v>371</v>
      </c>
    </row>
    <row r="239" spans="1:7" ht="22.5" customHeight="1">
      <c r="A239" s="104">
        <v>45947</v>
      </c>
      <c r="B239" s="10" t="s">
        <v>68</v>
      </c>
      <c r="C239" s="14" t="s">
        <v>1276</v>
      </c>
      <c r="D239" s="106">
        <v>89700</v>
      </c>
      <c r="E239" s="107"/>
      <c r="F239" s="108" t="s">
        <v>7</v>
      </c>
      <c r="G239" s="109" t="s">
        <v>371</v>
      </c>
    </row>
    <row r="240" spans="1:7" ht="22.5" customHeight="1">
      <c r="A240" s="104">
        <v>45947</v>
      </c>
      <c r="B240" s="10" t="s">
        <v>127</v>
      </c>
      <c r="C240" s="14" t="s">
        <v>1277</v>
      </c>
      <c r="D240" s="106">
        <v>102400</v>
      </c>
      <c r="E240" s="107"/>
      <c r="F240" s="108" t="s">
        <v>7</v>
      </c>
      <c r="G240" s="109" t="s">
        <v>371</v>
      </c>
    </row>
    <row r="241" spans="1:7" ht="22.5" customHeight="1">
      <c r="A241" s="104">
        <v>45947</v>
      </c>
      <c r="B241" s="198" t="s">
        <v>1278</v>
      </c>
      <c r="C241" s="14" t="s">
        <v>1279</v>
      </c>
      <c r="D241" s="106">
        <v>121590</v>
      </c>
      <c r="E241" s="107"/>
      <c r="F241" s="108" t="s">
        <v>10</v>
      </c>
      <c r="G241" s="109" t="s">
        <v>421</v>
      </c>
    </row>
    <row r="242" spans="1:7" ht="21.75" customHeight="1">
      <c r="A242" s="104">
        <v>45947</v>
      </c>
      <c r="B242" s="128" t="s">
        <v>1280</v>
      </c>
      <c r="C242" s="14" t="s">
        <v>1281</v>
      </c>
      <c r="D242" s="106">
        <v>105500</v>
      </c>
      <c r="E242" s="107"/>
      <c r="F242" s="108" t="s">
        <v>10</v>
      </c>
      <c r="G242" s="109" t="s">
        <v>421</v>
      </c>
    </row>
    <row r="243" spans="1:7" ht="24" customHeight="1">
      <c r="A243" s="104">
        <v>45947</v>
      </c>
      <c r="B243" s="112" t="s">
        <v>1282</v>
      </c>
      <c r="C243" s="14" t="s">
        <v>1283</v>
      </c>
      <c r="D243" s="106">
        <v>106000</v>
      </c>
      <c r="E243" s="107"/>
      <c r="F243" s="108" t="s">
        <v>10</v>
      </c>
      <c r="G243" s="109" t="s">
        <v>421</v>
      </c>
    </row>
    <row r="244" spans="1:7" ht="22.5" customHeight="1">
      <c r="A244" s="104">
        <v>45947</v>
      </c>
      <c r="B244" s="208" t="s">
        <v>1284</v>
      </c>
      <c r="C244" s="14" t="s">
        <v>1285</v>
      </c>
      <c r="D244" s="194">
        <v>40500</v>
      </c>
      <c r="E244" s="107"/>
      <c r="F244" s="108" t="s">
        <v>16</v>
      </c>
      <c r="G244" s="109" t="s">
        <v>421</v>
      </c>
    </row>
    <row r="245" spans="1:7" ht="20.25" customHeight="1">
      <c r="A245" s="104">
        <v>45947</v>
      </c>
      <c r="B245" s="208" t="s">
        <v>1286</v>
      </c>
      <c r="C245" s="14" t="s">
        <v>1287</v>
      </c>
      <c r="D245" s="194">
        <v>56000</v>
      </c>
      <c r="E245" s="107"/>
      <c r="F245" s="108" t="s">
        <v>16</v>
      </c>
      <c r="G245" s="109" t="s">
        <v>421</v>
      </c>
    </row>
    <row r="246" spans="1:7" ht="22.5" customHeight="1">
      <c r="A246" s="104">
        <v>45947</v>
      </c>
      <c r="B246" s="10" t="s">
        <v>1288</v>
      </c>
      <c r="C246" s="14" t="s">
        <v>1289</v>
      </c>
      <c r="D246" s="194">
        <v>118500</v>
      </c>
      <c r="E246" s="107"/>
      <c r="F246" s="108" t="s">
        <v>16</v>
      </c>
      <c r="G246" s="109" t="s">
        <v>371</v>
      </c>
    </row>
    <row r="247" spans="1:7" ht="22.5" customHeight="1">
      <c r="A247" s="104">
        <v>45947</v>
      </c>
      <c r="B247" s="10" t="s">
        <v>71</v>
      </c>
      <c r="C247" s="14" t="s">
        <v>1290</v>
      </c>
      <c r="D247" s="106">
        <v>916250</v>
      </c>
      <c r="E247" s="107"/>
      <c r="F247" s="108" t="s">
        <v>72</v>
      </c>
      <c r="G247" s="109" t="s">
        <v>371</v>
      </c>
    </row>
    <row r="248" spans="1:7" ht="22.5" customHeight="1">
      <c r="A248" s="125">
        <v>45948</v>
      </c>
      <c r="B248" s="10" t="s">
        <v>117</v>
      </c>
      <c r="C248" s="202" t="s">
        <v>1291</v>
      </c>
      <c r="D248" s="106">
        <v>147000</v>
      </c>
      <c r="E248" s="107"/>
      <c r="F248" s="108" t="s">
        <v>7</v>
      </c>
      <c r="G248" s="109" t="s">
        <v>371</v>
      </c>
    </row>
    <row r="249" spans="1:7" ht="22.5" customHeight="1">
      <c r="A249" s="125">
        <v>45948</v>
      </c>
      <c r="B249" s="10" t="s">
        <v>1292</v>
      </c>
      <c r="C249" s="14" t="s">
        <v>1293</v>
      </c>
      <c r="D249" s="106">
        <v>114500</v>
      </c>
      <c r="E249" s="107"/>
      <c r="F249" s="108" t="s">
        <v>7</v>
      </c>
      <c r="G249" s="109" t="s">
        <v>371</v>
      </c>
    </row>
    <row r="250" spans="1:7" ht="19.5" customHeight="1">
      <c r="A250" s="125">
        <v>45948</v>
      </c>
      <c r="B250" s="5" t="s">
        <v>1175</v>
      </c>
      <c r="C250" s="14" t="s">
        <v>1294</v>
      </c>
      <c r="D250" s="106">
        <v>121500</v>
      </c>
      <c r="E250" s="107"/>
      <c r="F250" s="108"/>
      <c r="G250" s="109" t="s">
        <v>421</v>
      </c>
    </row>
    <row r="251" spans="1:7" ht="22.5" customHeight="1">
      <c r="A251" s="125">
        <v>45948</v>
      </c>
      <c r="B251" s="5" t="s">
        <v>1295</v>
      </c>
      <c r="C251" s="14" t="s">
        <v>1296</v>
      </c>
      <c r="D251" s="194">
        <v>80000</v>
      </c>
      <c r="E251" s="107"/>
      <c r="F251" s="108" t="s">
        <v>16</v>
      </c>
      <c r="G251" s="109" t="s">
        <v>942</v>
      </c>
    </row>
    <row r="252" spans="1:7" ht="22.5" customHeight="1">
      <c r="A252" s="125">
        <v>45948</v>
      </c>
      <c r="B252" s="10" t="s">
        <v>369</v>
      </c>
      <c r="C252" s="14" t="s">
        <v>1297</v>
      </c>
      <c r="D252" s="106">
        <v>63800</v>
      </c>
      <c r="E252" s="107"/>
      <c r="F252" s="108" t="s">
        <v>7</v>
      </c>
      <c r="G252" s="109" t="s">
        <v>371</v>
      </c>
    </row>
    <row r="253" spans="1:7" ht="18.75" customHeight="1">
      <c r="A253" s="125">
        <v>45948</v>
      </c>
      <c r="B253" s="5" t="s">
        <v>1298</v>
      </c>
      <c r="C253" s="14" t="s">
        <v>1299</v>
      </c>
      <c r="D253" s="106">
        <v>117400</v>
      </c>
      <c r="E253" s="107"/>
      <c r="F253" s="108" t="s">
        <v>10</v>
      </c>
      <c r="G253" s="109" t="s">
        <v>421</v>
      </c>
    </row>
    <row r="254" spans="1:7" ht="19.5" customHeight="1">
      <c r="A254" s="125">
        <v>45948</v>
      </c>
      <c r="B254" s="5" t="s">
        <v>1300</v>
      </c>
      <c r="C254" s="14" t="s">
        <v>1301</v>
      </c>
      <c r="D254" s="116">
        <v>56000</v>
      </c>
      <c r="E254" s="117"/>
      <c r="F254" s="131" t="s">
        <v>10</v>
      </c>
      <c r="G254" s="132" t="s">
        <v>421</v>
      </c>
    </row>
    <row r="255" spans="1:7" ht="22.5" customHeight="1">
      <c r="A255" s="125">
        <v>45948</v>
      </c>
      <c r="B255" s="5" t="s">
        <v>1302</v>
      </c>
      <c r="C255" s="14" t="s">
        <v>1303</v>
      </c>
      <c r="D255" s="116">
        <v>121590</v>
      </c>
      <c r="E255" s="117"/>
      <c r="F255" s="131" t="s">
        <v>10</v>
      </c>
      <c r="G255" s="132" t="s">
        <v>421</v>
      </c>
    </row>
    <row r="256" spans="1:7" ht="23.25" customHeight="1">
      <c r="A256" s="125">
        <v>45948</v>
      </c>
      <c r="B256" s="5" t="s">
        <v>1304</v>
      </c>
      <c r="C256" s="14" t="s">
        <v>1305</v>
      </c>
      <c r="D256" s="116">
        <v>588000</v>
      </c>
      <c r="E256" s="117"/>
      <c r="F256" s="131" t="s">
        <v>10</v>
      </c>
      <c r="G256" s="132" t="s">
        <v>371</v>
      </c>
    </row>
    <row r="257" spans="1:7" ht="22.5" customHeight="1">
      <c r="A257" s="125">
        <v>45948</v>
      </c>
      <c r="B257" s="11" t="s">
        <v>306</v>
      </c>
      <c r="C257" s="14" t="s">
        <v>1306</v>
      </c>
      <c r="D257" s="209">
        <v>76100</v>
      </c>
      <c r="E257" s="117"/>
      <c r="F257" s="131" t="s">
        <v>16</v>
      </c>
      <c r="G257" s="132" t="s">
        <v>371</v>
      </c>
    </row>
    <row r="258" spans="1:7" ht="21" customHeight="1">
      <c r="A258" s="4">
        <v>45950</v>
      </c>
      <c r="B258" s="193" t="s">
        <v>1307</v>
      </c>
      <c r="C258" s="14" t="s">
        <v>1308</v>
      </c>
      <c r="D258" s="116">
        <v>83500</v>
      </c>
      <c r="E258" s="117"/>
      <c r="F258" s="131" t="s">
        <v>10</v>
      </c>
      <c r="G258" s="132" t="s">
        <v>421</v>
      </c>
    </row>
    <row r="259" spans="1:7" ht="21" customHeight="1">
      <c r="A259" s="4">
        <v>45950</v>
      </c>
      <c r="B259" s="131" t="s">
        <v>1309</v>
      </c>
      <c r="C259" s="14" t="s">
        <v>1310</v>
      </c>
      <c r="D259" s="116">
        <v>117000</v>
      </c>
      <c r="E259" s="117"/>
      <c r="F259" s="131" t="s">
        <v>10</v>
      </c>
      <c r="G259" s="132" t="s">
        <v>421</v>
      </c>
    </row>
    <row r="260" spans="1:7" ht="21" customHeight="1">
      <c r="A260" s="4">
        <v>45950</v>
      </c>
      <c r="B260" s="5" t="s">
        <v>1311</v>
      </c>
      <c r="C260" s="14" t="s">
        <v>1312</v>
      </c>
      <c r="D260" s="116">
        <v>219500</v>
      </c>
      <c r="E260" s="117"/>
      <c r="F260" s="131" t="s">
        <v>7</v>
      </c>
      <c r="G260" s="132" t="s">
        <v>942</v>
      </c>
    </row>
    <row r="261" spans="1:7" ht="22.5" customHeight="1">
      <c r="A261" s="4">
        <v>45950</v>
      </c>
      <c r="B261" s="10" t="s">
        <v>1313</v>
      </c>
      <c r="C261" s="14" t="s">
        <v>1314</v>
      </c>
      <c r="D261" s="116">
        <v>191100</v>
      </c>
      <c r="E261" s="117"/>
      <c r="F261" s="131" t="s">
        <v>7</v>
      </c>
      <c r="G261" s="132" t="s">
        <v>371</v>
      </c>
    </row>
    <row r="262" spans="1:7" ht="22.5" customHeight="1">
      <c r="A262" s="4">
        <v>45950</v>
      </c>
      <c r="B262" s="5" t="s">
        <v>1315</v>
      </c>
      <c r="C262" s="14" t="s">
        <v>1316</v>
      </c>
      <c r="D262" s="116">
        <v>55700</v>
      </c>
      <c r="E262" s="117"/>
      <c r="F262" s="131" t="s">
        <v>7</v>
      </c>
      <c r="G262" s="132" t="s">
        <v>371</v>
      </c>
    </row>
    <row r="263" spans="1:7" ht="21" customHeight="1">
      <c r="A263" s="4">
        <v>45950</v>
      </c>
      <c r="B263" s="5" t="s">
        <v>1198</v>
      </c>
      <c r="C263" s="14" t="s">
        <v>1317</v>
      </c>
      <c r="D263" s="116">
        <v>145000</v>
      </c>
      <c r="E263" s="117"/>
      <c r="F263" s="131" t="s">
        <v>10</v>
      </c>
      <c r="G263" s="132" t="s">
        <v>421</v>
      </c>
    </row>
    <row r="264" spans="1:7" ht="22.5" customHeight="1">
      <c r="A264" s="4">
        <v>45950</v>
      </c>
      <c r="B264" s="133" t="s">
        <v>1318</v>
      </c>
      <c r="C264" s="14" t="s">
        <v>1319</v>
      </c>
      <c r="D264" s="116">
        <v>61500</v>
      </c>
      <c r="E264" s="117"/>
      <c r="F264" s="131" t="s">
        <v>10</v>
      </c>
      <c r="G264" s="132" t="s">
        <v>421</v>
      </c>
    </row>
    <row r="265" spans="1:7" ht="19.5" customHeight="1">
      <c r="A265" s="4">
        <v>45950</v>
      </c>
      <c r="B265" s="131" t="s">
        <v>1320</v>
      </c>
      <c r="C265" s="14" t="s">
        <v>1321</v>
      </c>
      <c r="D265" s="116">
        <v>102650</v>
      </c>
      <c r="E265" s="117"/>
      <c r="F265" s="131" t="s">
        <v>10</v>
      </c>
      <c r="G265" s="132" t="s">
        <v>421</v>
      </c>
    </row>
    <row r="266" spans="1:7" ht="21.75" customHeight="1">
      <c r="A266" s="4">
        <v>45950</v>
      </c>
      <c r="B266" s="131" t="s">
        <v>1322</v>
      </c>
      <c r="C266" s="14" t="s">
        <v>1323</v>
      </c>
      <c r="D266" s="116">
        <v>89600</v>
      </c>
      <c r="E266" s="117"/>
      <c r="F266" s="131" t="s">
        <v>10</v>
      </c>
      <c r="G266" s="132" t="s">
        <v>421</v>
      </c>
    </row>
    <row r="267" spans="1:7" ht="22.5" customHeight="1">
      <c r="A267" s="4">
        <v>45950</v>
      </c>
      <c r="B267" s="9" t="s">
        <v>1324</v>
      </c>
      <c r="C267" s="14" t="s">
        <v>1325</v>
      </c>
      <c r="D267" s="116">
        <v>68500</v>
      </c>
      <c r="E267" s="117"/>
      <c r="F267" s="131" t="s">
        <v>10</v>
      </c>
      <c r="G267" s="132" t="s">
        <v>421</v>
      </c>
    </row>
    <row r="268" spans="1:7" ht="22.5" customHeight="1">
      <c r="A268" s="4">
        <v>45950</v>
      </c>
      <c r="B268" s="10" t="s">
        <v>1326</v>
      </c>
      <c r="C268" s="14" t="s">
        <v>1327</v>
      </c>
      <c r="D268" s="116">
        <v>80457</v>
      </c>
      <c r="E268" s="117"/>
      <c r="F268" s="131" t="s">
        <v>10</v>
      </c>
      <c r="G268" s="132" t="s">
        <v>371</v>
      </c>
    </row>
    <row r="269" spans="1:7" ht="19.5" customHeight="1">
      <c r="A269" s="4">
        <v>45950</v>
      </c>
      <c r="B269" s="131" t="s">
        <v>1328</v>
      </c>
      <c r="C269" s="14" t="s">
        <v>1329</v>
      </c>
      <c r="D269" s="116">
        <v>84100</v>
      </c>
      <c r="E269" s="117"/>
      <c r="F269" s="131" t="s">
        <v>10</v>
      </c>
      <c r="G269" s="132" t="s">
        <v>421</v>
      </c>
    </row>
    <row r="270" spans="1:7" ht="22.5" customHeight="1">
      <c r="A270" s="4">
        <v>45950</v>
      </c>
      <c r="B270" s="197" t="s">
        <v>1330</v>
      </c>
      <c r="C270" s="14" t="s">
        <v>1331</v>
      </c>
      <c r="D270" s="7">
        <v>130000</v>
      </c>
      <c r="E270" s="8"/>
      <c r="F270" s="9" t="s">
        <v>10</v>
      </c>
      <c r="G270" s="18" t="s">
        <v>421</v>
      </c>
    </row>
    <row r="271" spans="1:7" ht="20.25" customHeight="1">
      <c r="A271" s="4">
        <v>45950</v>
      </c>
      <c r="B271" s="9" t="s">
        <v>1332</v>
      </c>
      <c r="C271" s="14" t="s">
        <v>1333</v>
      </c>
      <c r="D271" s="7">
        <v>56500</v>
      </c>
      <c r="E271" s="8"/>
      <c r="F271" s="9" t="s">
        <v>10</v>
      </c>
      <c r="G271" s="18" t="s">
        <v>421</v>
      </c>
    </row>
    <row r="272" spans="1:7" ht="23.25" customHeight="1">
      <c r="A272" s="4">
        <v>45950</v>
      </c>
      <c r="B272" s="9" t="s">
        <v>1334</v>
      </c>
      <c r="C272" s="14" t="s">
        <v>1335</v>
      </c>
      <c r="D272" s="7">
        <v>112000</v>
      </c>
      <c r="E272" s="8"/>
      <c r="F272" s="9" t="s">
        <v>10</v>
      </c>
      <c r="G272" s="18" t="s">
        <v>421</v>
      </c>
    </row>
    <row r="273" spans="1:8" ht="21.75" customHeight="1">
      <c r="A273" s="4">
        <v>45950</v>
      </c>
      <c r="B273" s="196" t="s">
        <v>910</v>
      </c>
      <c r="C273" s="14" t="s">
        <v>1336</v>
      </c>
      <c r="D273" s="7">
        <v>186700</v>
      </c>
      <c r="E273" s="8"/>
      <c r="F273" s="9" t="s">
        <v>10</v>
      </c>
      <c r="G273" s="18" t="s">
        <v>421</v>
      </c>
    </row>
    <row r="274" spans="1:8" ht="22.5" customHeight="1">
      <c r="A274" s="4">
        <v>45950</v>
      </c>
      <c r="B274" s="210" t="s">
        <v>1337</v>
      </c>
      <c r="C274" s="14" t="s">
        <v>1338</v>
      </c>
      <c r="D274" s="7">
        <v>95540</v>
      </c>
      <c r="E274" s="8"/>
      <c r="F274" s="9" t="s">
        <v>10</v>
      </c>
      <c r="G274" s="18" t="s">
        <v>421</v>
      </c>
    </row>
    <row r="275" spans="1:8" ht="23.25" customHeight="1">
      <c r="A275" s="4">
        <v>45950</v>
      </c>
      <c r="B275" s="9" t="s">
        <v>1339</v>
      </c>
      <c r="C275" s="14" t="s">
        <v>1340</v>
      </c>
      <c r="D275" s="7">
        <v>86540</v>
      </c>
      <c r="E275" s="8"/>
      <c r="F275" s="9" t="s">
        <v>10</v>
      </c>
      <c r="G275" s="18" t="s">
        <v>421</v>
      </c>
    </row>
    <row r="276" spans="1:8" ht="22.5" customHeight="1">
      <c r="A276" s="4">
        <v>45951</v>
      </c>
      <c r="B276" s="5" t="s">
        <v>1341</v>
      </c>
      <c r="C276" s="14" t="s">
        <v>1342</v>
      </c>
      <c r="D276" s="211">
        <v>62000</v>
      </c>
      <c r="E276" s="8"/>
      <c r="F276" s="9" t="s">
        <v>16</v>
      </c>
      <c r="G276" s="18" t="s">
        <v>421</v>
      </c>
    </row>
    <row r="277" spans="1:8" ht="22.5" customHeight="1">
      <c r="A277" s="4">
        <v>45951</v>
      </c>
      <c r="B277" s="5" t="s">
        <v>1343</v>
      </c>
      <c r="C277" s="14" t="s">
        <v>1344</v>
      </c>
      <c r="D277" s="7">
        <v>90050</v>
      </c>
      <c r="E277" s="8"/>
      <c r="F277" s="9" t="s">
        <v>10</v>
      </c>
      <c r="G277" s="18" t="s">
        <v>421</v>
      </c>
    </row>
    <row r="278" spans="1:8" ht="22.5" customHeight="1">
      <c r="A278" s="4">
        <v>45951</v>
      </c>
      <c r="B278" s="10" t="s">
        <v>1345</v>
      </c>
      <c r="C278" s="14" t="s">
        <v>1346</v>
      </c>
      <c r="D278" s="7">
        <v>177000</v>
      </c>
      <c r="E278" s="8"/>
      <c r="F278" s="9" t="s">
        <v>10</v>
      </c>
      <c r="G278" s="18" t="s">
        <v>371</v>
      </c>
    </row>
    <row r="279" spans="1:8" ht="22.5" customHeight="1">
      <c r="A279" s="4">
        <v>45951</v>
      </c>
      <c r="B279" s="5" t="s">
        <v>1347</v>
      </c>
      <c r="C279" s="14" t="s">
        <v>1348</v>
      </c>
      <c r="D279" s="7">
        <v>58000</v>
      </c>
      <c r="E279" s="8"/>
      <c r="F279" s="9" t="s">
        <v>7</v>
      </c>
      <c r="G279" s="18" t="s">
        <v>942</v>
      </c>
    </row>
    <row r="280" spans="1:8" ht="22.5" customHeight="1">
      <c r="A280" s="4">
        <v>45951</v>
      </c>
      <c r="B280" s="5" t="s">
        <v>144</v>
      </c>
      <c r="C280" s="14" t="s">
        <v>1349</v>
      </c>
      <c r="D280" s="7">
        <v>125000</v>
      </c>
      <c r="E280" s="8"/>
      <c r="F280" s="9" t="s">
        <v>7</v>
      </c>
      <c r="G280" s="18" t="s">
        <v>371</v>
      </c>
    </row>
    <row r="281" spans="1:8" ht="22.5" customHeight="1">
      <c r="A281" s="4">
        <v>45951</v>
      </c>
      <c r="B281" s="5" t="s">
        <v>1350</v>
      </c>
      <c r="C281" s="14" t="s">
        <v>1351</v>
      </c>
      <c r="D281" s="7">
        <v>252600</v>
      </c>
      <c r="E281" s="8"/>
      <c r="F281" s="9" t="s">
        <v>7</v>
      </c>
      <c r="G281" s="18" t="s">
        <v>874</v>
      </c>
    </row>
    <row r="282" spans="1:8" ht="22.5" customHeight="1">
      <c r="A282" s="4">
        <v>45951</v>
      </c>
      <c r="B282" s="5" t="s">
        <v>460</v>
      </c>
      <c r="C282" s="14" t="s">
        <v>1352</v>
      </c>
      <c r="D282" s="7">
        <v>261300</v>
      </c>
      <c r="E282" s="8"/>
      <c r="F282" s="9" t="s">
        <v>10</v>
      </c>
      <c r="G282" s="18" t="s">
        <v>371</v>
      </c>
    </row>
    <row r="283" spans="1:8" ht="22.5" customHeight="1">
      <c r="A283" s="4">
        <v>45951</v>
      </c>
      <c r="B283" s="5" t="s">
        <v>153</v>
      </c>
      <c r="C283" s="14" t="s">
        <v>1353</v>
      </c>
      <c r="D283" s="7">
        <v>108500</v>
      </c>
      <c r="E283" s="8"/>
      <c r="F283" s="9" t="s">
        <v>10</v>
      </c>
      <c r="G283" s="18" t="s">
        <v>371</v>
      </c>
    </row>
    <row r="284" spans="1:8" ht="22.5" customHeight="1">
      <c r="A284" s="4">
        <v>45951</v>
      </c>
      <c r="B284" s="5" t="s">
        <v>918</v>
      </c>
      <c r="C284" s="14" t="s">
        <v>1354</v>
      </c>
      <c r="D284" s="7">
        <v>195000</v>
      </c>
      <c r="E284" s="8"/>
      <c r="F284" s="9" t="s">
        <v>7</v>
      </c>
      <c r="G284" s="18" t="s">
        <v>371</v>
      </c>
    </row>
    <row r="285" spans="1:8" ht="22.5" customHeight="1">
      <c r="A285" s="4">
        <v>45951</v>
      </c>
      <c r="B285" s="5" t="s">
        <v>65</v>
      </c>
      <c r="C285" s="14" t="s">
        <v>1355</v>
      </c>
      <c r="D285" s="211">
        <v>105000</v>
      </c>
      <c r="E285" s="8"/>
      <c r="F285" s="9" t="s">
        <v>16</v>
      </c>
      <c r="G285" s="18" t="s">
        <v>371</v>
      </c>
      <c r="H285" s="212"/>
    </row>
    <row r="286" spans="1:8" ht="22.5" customHeight="1">
      <c r="A286" s="4">
        <v>45951</v>
      </c>
      <c r="B286" s="10" t="s">
        <v>1356</v>
      </c>
      <c r="C286" s="14" t="s">
        <v>1357</v>
      </c>
      <c r="D286" s="7">
        <v>62000</v>
      </c>
      <c r="E286" s="8"/>
      <c r="F286" s="9" t="s">
        <v>10</v>
      </c>
      <c r="G286" s="18" t="s">
        <v>371</v>
      </c>
    </row>
    <row r="287" spans="1:8" ht="22.5" customHeight="1">
      <c r="A287" s="4">
        <v>45951</v>
      </c>
      <c r="B287" s="10" t="s">
        <v>80</v>
      </c>
      <c r="C287" s="14" t="s">
        <v>1358</v>
      </c>
      <c r="D287" s="7">
        <v>133200</v>
      </c>
      <c r="E287" s="8"/>
      <c r="F287" s="9" t="s">
        <v>10</v>
      </c>
      <c r="G287" s="18" t="s">
        <v>371</v>
      </c>
    </row>
    <row r="288" spans="1:8" ht="22.5" customHeight="1">
      <c r="A288" s="4">
        <v>45951</v>
      </c>
      <c r="B288" s="5" t="s">
        <v>482</v>
      </c>
      <c r="C288" s="14" t="s">
        <v>1359</v>
      </c>
      <c r="D288" s="7">
        <v>111000</v>
      </c>
      <c r="E288" s="8"/>
      <c r="F288" s="9" t="s">
        <v>10</v>
      </c>
      <c r="G288" s="18" t="s">
        <v>421</v>
      </c>
    </row>
    <row r="289" spans="1:7" ht="21" customHeight="1">
      <c r="A289" s="4">
        <v>45951</v>
      </c>
      <c r="B289" s="5" t="s">
        <v>1334</v>
      </c>
      <c r="C289" s="14" t="s">
        <v>1360</v>
      </c>
      <c r="D289" s="7">
        <v>127000</v>
      </c>
      <c r="E289" s="8"/>
      <c r="F289" s="9" t="s">
        <v>10</v>
      </c>
      <c r="G289" s="18" t="s">
        <v>421</v>
      </c>
    </row>
    <row r="290" spans="1:7" ht="21.75" customHeight="1">
      <c r="A290" s="4">
        <v>45951</v>
      </c>
      <c r="B290" s="5" t="s">
        <v>929</v>
      </c>
      <c r="C290" s="14" t="s">
        <v>1361</v>
      </c>
      <c r="D290" s="7">
        <v>92500</v>
      </c>
      <c r="E290" s="8"/>
      <c r="F290" s="9" t="s">
        <v>10</v>
      </c>
      <c r="G290" s="18" t="s">
        <v>421</v>
      </c>
    </row>
    <row r="291" spans="1:7" ht="21" customHeight="1">
      <c r="A291" s="4">
        <v>45951</v>
      </c>
      <c r="B291" s="5" t="s">
        <v>1362</v>
      </c>
      <c r="C291" s="14" t="s">
        <v>1363</v>
      </c>
      <c r="D291" s="7">
        <v>115000</v>
      </c>
      <c r="E291" s="8"/>
      <c r="F291" s="9" t="s">
        <v>7</v>
      </c>
      <c r="G291" s="18" t="s">
        <v>983</v>
      </c>
    </row>
    <row r="292" spans="1:7" ht="22.5" customHeight="1">
      <c r="A292" s="4">
        <v>45952</v>
      </c>
      <c r="B292" s="10" t="s">
        <v>1253</v>
      </c>
      <c r="C292" s="14" t="s">
        <v>1364</v>
      </c>
      <c r="D292" s="211">
        <v>135000</v>
      </c>
      <c r="E292" s="8"/>
      <c r="F292" s="9" t="s">
        <v>16</v>
      </c>
      <c r="G292" s="18" t="s">
        <v>371</v>
      </c>
    </row>
    <row r="293" spans="1:7" ht="22.5" customHeight="1">
      <c r="A293" s="4">
        <v>45952</v>
      </c>
      <c r="B293" s="10" t="s">
        <v>105</v>
      </c>
      <c r="C293" s="14" t="s">
        <v>1365</v>
      </c>
      <c r="D293" s="7">
        <v>352500</v>
      </c>
      <c r="E293" s="8"/>
      <c r="F293" s="9" t="s">
        <v>10</v>
      </c>
      <c r="G293" s="18" t="s">
        <v>371</v>
      </c>
    </row>
    <row r="294" spans="1:7" ht="22.5" customHeight="1">
      <c r="A294" s="4">
        <v>45952</v>
      </c>
      <c r="B294" s="5" t="s">
        <v>586</v>
      </c>
      <c r="C294" s="14" t="s">
        <v>1366</v>
      </c>
      <c r="D294" s="7">
        <v>156000</v>
      </c>
      <c r="E294" s="8"/>
      <c r="F294" s="9" t="s">
        <v>7</v>
      </c>
      <c r="G294" s="18" t="s">
        <v>371</v>
      </c>
    </row>
    <row r="295" spans="1:7" ht="22.5" customHeight="1">
      <c r="A295" s="4">
        <v>45952</v>
      </c>
      <c r="B295" s="10" t="s">
        <v>1367</v>
      </c>
      <c r="C295" s="14" t="s">
        <v>1368</v>
      </c>
      <c r="D295" s="211">
        <v>105000</v>
      </c>
      <c r="E295" s="8"/>
      <c r="F295" s="9" t="s">
        <v>16</v>
      </c>
      <c r="G295" s="18" t="s">
        <v>371</v>
      </c>
    </row>
    <row r="296" spans="1:7" ht="22.5" customHeight="1">
      <c r="A296" s="4">
        <v>45952</v>
      </c>
      <c r="B296" s="5" t="s">
        <v>148</v>
      </c>
      <c r="C296" s="14" t="s">
        <v>1369</v>
      </c>
      <c r="D296" s="7">
        <v>94500</v>
      </c>
      <c r="E296" s="8"/>
      <c r="F296" s="9" t="s">
        <v>7</v>
      </c>
      <c r="G296" s="18" t="s">
        <v>371</v>
      </c>
    </row>
    <row r="297" spans="1:7" ht="23.25" customHeight="1">
      <c r="A297" s="4">
        <v>45952</v>
      </c>
      <c r="B297" s="5" t="s">
        <v>1259</v>
      </c>
      <c r="C297" s="14" t="s">
        <v>1370</v>
      </c>
      <c r="D297" s="7">
        <v>195300</v>
      </c>
      <c r="E297" s="8"/>
      <c r="F297" s="9" t="s">
        <v>10</v>
      </c>
      <c r="G297" s="18" t="s">
        <v>421</v>
      </c>
    </row>
    <row r="298" spans="1:7" ht="20.25" customHeight="1">
      <c r="A298" s="4">
        <v>45952</v>
      </c>
      <c r="B298" s="5" t="s">
        <v>520</v>
      </c>
      <c r="C298" s="14" t="s">
        <v>1371</v>
      </c>
      <c r="D298" s="7">
        <v>167000</v>
      </c>
      <c r="E298" s="8"/>
      <c r="F298" s="9" t="s">
        <v>21</v>
      </c>
      <c r="G298" s="18" t="s">
        <v>421</v>
      </c>
    </row>
    <row r="299" spans="1:7" ht="21" customHeight="1">
      <c r="A299" s="4">
        <v>45952</v>
      </c>
      <c r="B299" s="9" t="s">
        <v>1372</v>
      </c>
      <c r="C299" s="14" t="s">
        <v>1373</v>
      </c>
      <c r="D299" s="7">
        <v>173700</v>
      </c>
      <c r="E299" s="8"/>
      <c r="F299" s="9" t="s">
        <v>10</v>
      </c>
      <c r="G299" s="18" t="s">
        <v>421</v>
      </c>
    </row>
    <row r="300" spans="1:7" ht="23.25" customHeight="1">
      <c r="A300" s="4">
        <v>45952</v>
      </c>
      <c r="B300" s="5" t="s">
        <v>957</v>
      </c>
      <c r="C300" s="14" t="s">
        <v>1374</v>
      </c>
      <c r="D300" s="7">
        <v>83500</v>
      </c>
      <c r="E300" s="8"/>
      <c r="F300" s="9" t="s">
        <v>10</v>
      </c>
      <c r="G300" s="18" t="s">
        <v>421</v>
      </c>
    </row>
    <row r="301" spans="1:7" ht="22.5" customHeight="1">
      <c r="A301" s="4">
        <v>45952</v>
      </c>
      <c r="B301" s="10" t="s">
        <v>1375</v>
      </c>
      <c r="C301" s="14" t="s">
        <v>1376</v>
      </c>
      <c r="D301" s="7">
        <v>181400</v>
      </c>
      <c r="E301" s="8"/>
      <c r="F301" s="9" t="s">
        <v>10</v>
      </c>
      <c r="G301" s="18" t="s">
        <v>371</v>
      </c>
    </row>
    <row r="302" spans="1:7" ht="22.5" customHeight="1">
      <c r="A302" s="4">
        <v>45952</v>
      </c>
      <c r="B302" s="5" t="s">
        <v>571</v>
      </c>
      <c r="C302" s="14" t="s">
        <v>1377</v>
      </c>
      <c r="D302" s="7">
        <v>101900</v>
      </c>
      <c r="E302" s="8"/>
      <c r="F302" s="9" t="s">
        <v>10</v>
      </c>
      <c r="G302" s="18" t="s">
        <v>421</v>
      </c>
    </row>
    <row r="303" spans="1:7" ht="23.25" customHeight="1">
      <c r="A303" s="4">
        <v>45952</v>
      </c>
      <c r="B303" s="5" t="s">
        <v>256</v>
      </c>
      <c r="C303" s="14" t="s">
        <v>1378</v>
      </c>
      <c r="D303" s="7">
        <v>140850</v>
      </c>
      <c r="E303" s="8"/>
      <c r="F303" s="9" t="s">
        <v>10</v>
      </c>
      <c r="G303" s="18" t="s">
        <v>421</v>
      </c>
    </row>
    <row r="304" spans="1:7" ht="24" customHeight="1">
      <c r="A304" s="4">
        <v>45952</v>
      </c>
      <c r="B304" s="9" t="s">
        <v>1379</v>
      </c>
      <c r="C304" s="14" t="s">
        <v>1380</v>
      </c>
      <c r="D304" s="7">
        <v>93900</v>
      </c>
      <c r="E304" s="8"/>
      <c r="F304" s="9" t="s">
        <v>10</v>
      </c>
      <c r="G304" s="18" t="s">
        <v>421</v>
      </c>
    </row>
    <row r="305" spans="1:7" ht="22.5" customHeight="1">
      <c r="A305" s="4">
        <v>45952</v>
      </c>
      <c r="B305" s="10" t="s">
        <v>472</v>
      </c>
      <c r="C305" s="14" t="s">
        <v>1381</v>
      </c>
      <c r="D305" s="7">
        <v>153500</v>
      </c>
      <c r="E305" s="8"/>
      <c r="F305" s="9" t="s">
        <v>10</v>
      </c>
      <c r="G305" s="18" t="s">
        <v>371</v>
      </c>
    </row>
    <row r="306" spans="1:7" ht="21.75" customHeight="1">
      <c r="A306" s="4">
        <v>45952</v>
      </c>
      <c r="B306" s="5" t="s">
        <v>1382</v>
      </c>
      <c r="C306" s="14" t="s">
        <v>1383</v>
      </c>
      <c r="D306" s="7">
        <v>51100</v>
      </c>
      <c r="E306" s="8"/>
      <c r="F306" s="9" t="s">
        <v>7</v>
      </c>
      <c r="G306" s="18" t="s">
        <v>983</v>
      </c>
    </row>
    <row r="307" spans="1:7" ht="22.5" customHeight="1">
      <c r="A307" s="4">
        <v>45952</v>
      </c>
      <c r="B307" s="10" t="s">
        <v>71</v>
      </c>
      <c r="C307" s="14" t="s">
        <v>1384</v>
      </c>
      <c r="D307" s="7">
        <v>731613</v>
      </c>
      <c r="E307" s="8"/>
      <c r="F307" s="9" t="s">
        <v>72</v>
      </c>
      <c r="G307" s="18" t="s">
        <v>371</v>
      </c>
    </row>
    <row r="308" spans="1:7" ht="22.5" customHeight="1">
      <c r="A308" s="4">
        <v>45953</v>
      </c>
      <c r="B308" s="9" t="s">
        <v>659</v>
      </c>
      <c r="C308" s="14" t="s">
        <v>1385</v>
      </c>
      <c r="D308" s="7">
        <v>228000</v>
      </c>
      <c r="E308" s="8"/>
      <c r="F308" s="9" t="s">
        <v>10</v>
      </c>
      <c r="G308" s="18" t="s">
        <v>421</v>
      </c>
    </row>
    <row r="309" spans="1:7" ht="23.25" customHeight="1">
      <c r="A309" s="4">
        <v>45953</v>
      </c>
      <c r="B309" s="5" t="s">
        <v>1386</v>
      </c>
      <c r="C309" s="14" t="s">
        <v>1387</v>
      </c>
      <c r="D309" s="7">
        <v>160000</v>
      </c>
      <c r="E309" s="8"/>
      <c r="F309" s="9" t="s">
        <v>10</v>
      </c>
      <c r="G309" s="18" t="s">
        <v>421</v>
      </c>
    </row>
    <row r="310" spans="1:7" ht="22.5" customHeight="1">
      <c r="A310" s="4">
        <v>45953</v>
      </c>
      <c r="B310" s="5" t="s">
        <v>1388</v>
      </c>
      <c r="C310" s="14" t="s">
        <v>1389</v>
      </c>
      <c r="D310" s="7">
        <v>144400</v>
      </c>
      <c r="E310" s="8"/>
      <c r="F310" s="9" t="s">
        <v>7</v>
      </c>
      <c r="G310" s="18" t="s">
        <v>983</v>
      </c>
    </row>
    <row r="311" spans="1:7" ht="21.75" customHeight="1">
      <c r="A311" s="4">
        <v>45953</v>
      </c>
      <c r="B311" s="5" t="s">
        <v>1390</v>
      </c>
      <c r="C311" s="14" t="s">
        <v>1391</v>
      </c>
      <c r="D311" s="7">
        <v>101200</v>
      </c>
      <c r="E311" s="8"/>
      <c r="F311" s="9" t="s">
        <v>10</v>
      </c>
      <c r="G311" s="18" t="s">
        <v>942</v>
      </c>
    </row>
    <row r="312" spans="1:7" ht="22.5" customHeight="1">
      <c r="A312" s="4">
        <v>45953</v>
      </c>
      <c r="B312" s="10" t="s">
        <v>125</v>
      </c>
      <c r="C312" s="14" t="s">
        <v>1392</v>
      </c>
      <c r="D312" s="213">
        <v>182500</v>
      </c>
      <c r="E312" s="8"/>
      <c r="F312" s="9" t="s">
        <v>7</v>
      </c>
      <c r="G312" s="18" t="s">
        <v>371</v>
      </c>
    </row>
    <row r="313" spans="1:7" ht="22.5" customHeight="1">
      <c r="A313" s="4">
        <v>45953</v>
      </c>
      <c r="B313" s="5" t="s">
        <v>46</v>
      </c>
      <c r="C313" s="14" t="s">
        <v>1393</v>
      </c>
      <c r="D313" s="7">
        <v>173600</v>
      </c>
      <c r="E313" s="8"/>
      <c r="F313" s="9" t="s">
        <v>7</v>
      </c>
      <c r="G313" s="18" t="s">
        <v>371</v>
      </c>
    </row>
    <row r="314" spans="1:7" ht="22.5" customHeight="1">
      <c r="A314" s="4">
        <v>45953</v>
      </c>
      <c r="B314" s="5" t="s">
        <v>1394</v>
      </c>
      <c r="C314" s="14" t="s">
        <v>1395</v>
      </c>
      <c r="D314" s="7">
        <v>109000</v>
      </c>
      <c r="E314" s="8"/>
      <c r="F314" s="9" t="s">
        <v>7</v>
      </c>
      <c r="G314" s="18" t="s">
        <v>371</v>
      </c>
    </row>
    <row r="315" spans="1:7" ht="22.5" customHeight="1">
      <c r="A315" s="4">
        <v>45953</v>
      </c>
      <c r="B315" s="10" t="s">
        <v>78</v>
      </c>
      <c r="C315" s="14" t="s">
        <v>1396</v>
      </c>
      <c r="D315" s="7">
        <v>97600</v>
      </c>
      <c r="E315" s="8"/>
      <c r="F315" s="9" t="s">
        <v>10</v>
      </c>
      <c r="G315" s="18" t="s">
        <v>371</v>
      </c>
    </row>
    <row r="316" spans="1:7" ht="22.5" customHeight="1">
      <c r="A316" s="4">
        <v>45953</v>
      </c>
      <c r="B316" s="10" t="s">
        <v>55</v>
      </c>
      <c r="C316" s="14" t="s">
        <v>1397</v>
      </c>
      <c r="D316" s="7">
        <v>176000</v>
      </c>
      <c r="E316" s="8"/>
      <c r="F316" s="9" t="s">
        <v>7</v>
      </c>
      <c r="G316" s="18" t="s">
        <v>371</v>
      </c>
    </row>
    <row r="317" spans="1:7" ht="21.75" customHeight="1">
      <c r="A317" s="4">
        <v>45953</v>
      </c>
      <c r="B317" s="5" t="s">
        <v>890</v>
      </c>
      <c r="C317" s="14" t="s">
        <v>1398</v>
      </c>
      <c r="D317" s="7">
        <v>85000</v>
      </c>
      <c r="E317" s="8"/>
      <c r="F317" s="9" t="s">
        <v>10</v>
      </c>
      <c r="G317" s="18" t="s">
        <v>421</v>
      </c>
    </row>
    <row r="318" spans="1:7" ht="21" customHeight="1">
      <c r="A318" s="4">
        <v>45953</v>
      </c>
      <c r="B318" s="5" t="s">
        <v>1194</v>
      </c>
      <c r="C318" s="14" t="s">
        <v>1399</v>
      </c>
      <c r="D318" s="7">
        <v>95100</v>
      </c>
      <c r="E318" s="8"/>
      <c r="F318" s="9" t="s">
        <v>10</v>
      </c>
      <c r="G318" s="18" t="s">
        <v>421</v>
      </c>
    </row>
    <row r="319" spans="1:7" ht="19.5" customHeight="1">
      <c r="A319" s="4">
        <v>45953</v>
      </c>
      <c r="B319" s="5" t="s">
        <v>754</v>
      </c>
      <c r="C319" s="14" t="s">
        <v>1400</v>
      </c>
      <c r="D319" s="7">
        <v>243720</v>
      </c>
      <c r="E319" s="8"/>
      <c r="F319" s="9" t="s">
        <v>10</v>
      </c>
      <c r="G319" s="18" t="s">
        <v>421</v>
      </c>
    </row>
    <row r="320" spans="1:7" ht="22.5" customHeight="1">
      <c r="A320" s="4">
        <v>45953</v>
      </c>
      <c r="B320" s="10" t="s">
        <v>1401</v>
      </c>
      <c r="C320" s="14" t="s">
        <v>1402</v>
      </c>
      <c r="D320" s="7">
        <v>105000</v>
      </c>
      <c r="E320" s="8"/>
      <c r="F320" s="9" t="s">
        <v>7</v>
      </c>
      <c r="G320" s="18" t="s">
        <v>371</v>
      </c>
    </row>
    <row r="321" spans="1:7" ht="22.5" customHeight="1">
      <c r="A321" s="4">
        <v>45953</v>
      </c>
      <c r="B321" s="10" t="s">
        <v>741</v>
      </c>
      <c r="C321" s="14" t="s">
        <v>1403</v>
      </c>
      <c r="D321" s="7">
        <v>40500</v>
      </c>
      <c r="E321" s="8"/>
      <c r="F321" s="9" t="s">
        <v>7</v>
      </c>
      <c r="G321" s="18" t="s">
        <v>371</v>
      </c>
    </row>
    <row r="322" spans="1:7" ht="22.5" customHeight="1">
      <c r="A322" s="4">
        <v>45953</v>
      </c>
      <c r="B322" s="5" t="s">
        <v>1404</v>
      </c>
      <c r="C322" s="14" t="s">
        <v>1402</v>
      </c>
      <c r="D322" s="7">
        <v>62000</v>
      </c>
      <c r="E322" s="8"/>
      <c r="F322" s="9" t="s">
        <v>7</v>
      </c>
      <c r="G322" s="18" t="s">
        <v>1210</v>
      </c>
    </row>
    <row r="323" spans="1:7" ht="19.5" customHeight="1">
      <c r="A323" s="4">
        <v>45953</v>
      </c>
      <c r="B323" s="5" t="s">
        <v>1405</v>
      </c>
      <c r="C323" s="14" t="s">
        <v>1406</v>
      </c>
      <c r="D323" s="7">
        <v>259000</v>
      </c>
      <c r="E323" s="8"/>
      <c r="F323" s="9" t="s">
        <v>10</v>
      </c>
      <c r="G323" s="18" t="s">
        <v>983</v>
      </c>
    </row>
    <row r="324" spans="1:7" ht="22.5" customHeight="1">
      <c r="A324" s="4">
        <v>45953</v>
      </c>
      <c r="B324" s="9" t="s">
        <v>1407</v>
      </c>
      <c r="C324" s="14" t="s">
        <v>1408</v>
      </c>
      <c r="D324" s="7">
        <v>276300</v>
      </c>
      <c r="E324" s="8"/>
      <c r="F324" s="9" t="s">
        <v>10</v>
      </c>
      <c r="G324" s="18" t="s">
        <v>421</v>
      </c>
    </row>
    <row r="325" spans="1:7" ht="19.5" customHeight="1">
      <c r="A325" s="4">
        <v>45953</v>
      </c>
      <c r="B325" s="9" t="s">
        <v>1409</v>
      </c>
      <c r="C325" s="14" t="s">
        <v>1410</v>
      </c>
      <c r="D325" s="7">
        <v>169900</v>
      </c>
      <c r="E325" s="8"/>
      <c r="F325" s="9" t="s">
        <v>10</v>
      </c>
      <c r="G325" s="18" t="s">
        <v>421</v>
      </c>
    </row>
    <row r="326" spans="1:7" ht="22.5" customHeight="1">
      <c r="A326" s="4">
        <v>45953</v>
      </c>
      <c r="B326" s="9" t="s">
        <v>1411</v>
      </c>
      <c r="C326" s="14" t="s">
        <v>1412</v>
      </c>
      <c r="D326" s="211">
        <v>125100</v>
      </c>
      <c r="E326" s="8"/>
      <c r="F326" s="9" t="s">
        <v>16</v>
      </c>
      <c r="G326" s="18" t="s">
        <v>371</v>
      </c>
    </row>
    <row r="327" spans="1:7" ht="24.75" customHeight="1">
      <c r="A327" s="4">
        <v>45953</v>
      </c>
      <c r="B327" s="5" t="s">
        <v>549</v>
      </c>
      <c r="C327" s="14" t="s">
        <v>1413</v>
      </c>
      <c r="D327" s="211">
        <v>245900</v>
      </c>
      <c r="E327" s="8"/>
      <c r="F327" s="9" t="s">
        <v>16</v>
      </c>
      <c r="G327" s="18" t="s">
        <v>371</v>
      </c>
    </row>
    <row r="328" spans="1:7" ht="22.5" customHeight="1">
      <c r="A328" s="4">
        <v>45953</v>
      </c>
      <c r="B328" s="18" t="s">
        <v>1414</v>
      </c>
      <c r="C328" s="14" t="s">
        <v>1415</v>
      </c>
      <c r="D328" s="7">
        <v>155000</v>
      </c>
      <c r="E328" s="8"/>
      <c r="F328" s="9" t="s">
        <v>10</v>
      </c>
      <c r="G328" s="18" t="s">
        <v>421</v>
      </c>
    </row>
    <row r="329" spans="1:7" ht="22.5" customHeight="1">
      <c r="A329" s="4">
        <v>45954</v>
      </c>
      <c r="B329" s="5" t="s">
        <v>1416</v>
      </c>
      <c r="C329" s="14" t="s">
        <v>1417</v>
      </c>
      <c r="D329" s="7">
        <v>395900</v>
      </c>
      <c r="E329" s="8"/>
      <c r="F329" s="9" t="s">
        <v>10</v>
      </c>
      <c r="G329" s="18" t="s">
        <v>421</v>
      </c>
    </row>
    <row r="330" spans="1:7" ht="21" customHeight="1">
      <c r="A330" s="4">
        <v>45954</v>
      </c>
      <c r="B330" s="5" t="s">
        <v>1024</v>
      </c>
      <c r="C330" s="14" t="s">
        <v>1418</v>
      </c>
      <c r="D330" s="7">
        <v>401900</v>
      </c>
      <c r="E330" s="8"/>
      <c r="F330" s="9" t="s">
        <v>10</v>
      </c>
      <c r="G330" s="18" t="s">
        <v>421</v>
      </c>
    </row>
    <row r="331" spans="1:7" ht="20.25" customHeight="1">
      <c r="A331" s="4">
        <v>45954</v>
      </c>
      <c r="B331" s="5" t="s">
        <v>1419</v>
      </c>
      <c r="C331" s="14" t="s">
        <v>1420</v>
      </c>
      <c r="D331" s="7">
        <v>130000</v>
      </c>
      <c r="E331" s="8"/>
      <c r="F331" s="9" t="s">
        <v>10</v>
      </c>
      <c r="G331" s="18" t="s">
        <v>421</v>
      </c>
    </row>
    <row r="332" spans="1:7" ht="21.75" customHeight="1">
      <c r="A332" s="4">
        <v>45954</v>
      </c>
      <c r="B332" s="5" t="s">
        <v>1175</v>
      </c>
      <c r="C332" s="14" t="s">
        <v>1421</v>
      </c>
      <c r="D332" s="211">
        <v>118000</v>
      </c>
      <c r="E332" s="8"/>
      <c r="F332" s="9" t="s">
        <v>16</v>
      </c>
      <c r="G332" s="18" t="s">
        <v>421</v>
      </c>
    </row>
    <row r="333" spans="1:7" ht="21.75" customHeight="1">
      <c r="A333" s="4">
        <v>45954</v>
      </c>
      <c r="B333" s="5" t="s">
        <v>1422</v>
      </c>
      <c r="C333" s="14" t="s">
        <v>1423</v>
      </c>
      <c r="D333" s="7">
        <v>76100</v>
      </c>
      <c r="E333" s="8"/>
      <c r="F333" s="9" t="s">
        <v>10</v>
      </c>
      <c r="G333" s="18" t="s">
        <v>421</v>
      </c>
    </row>
    <row r="334" spans="1:7" ht="22.5" customHeight="1">
      <c r="A334" s="4">
        <v>45954</v>
      </c>
      <c r="B334" s="10" t="s">
        <v>47</v>
      </c>
      <c r="C334" s="14" t="s">
        <v>1424</v>
      </c>
      <c r="D334" s="211">
        <v>134000</v>
      </c>
      <c r="E334" s="8"/>
      <c r="F334" s="9" t="s">
        <v>16</v>
      </c>
      <c r="G334" s="18" t="s">
        <v>371</v>
      </c>
    </row>
    <row r="335" spans="1:7" ht="22.5" customHeight="1">
      <c r="A335" s="4">
        <v>45954</v>
      </c>
      <c r="B335" s="10" t="s">
        <v>103</v>
      </c>
      <c r="C335" s="14" t="s">
        <v>1425</v>
      </c>
      <c r="D335" s="7">
        <v>90000</v>
      </c>
      <c r="E335" s="8"/>
      <c r="F335" s="9" t="s">
        <v>1426</v>
      </c>
      <c r="G335" s="18" t="s">
        <v>371</v>
      </c>
    </row>
    <row r="336" spans="1:7" ht="22.5" customHeight="1">
      <c r="A336" s="4">
        <v>45954</v>
      </c>
      <c r="B336" s="5" t="s">
        <v>63</v>
      </c>
      <c r="C336" s="14" t="s">
        <v>1427</v>
      </c>
      <c r="D336" s="7">
        <v>268500</v>
      </c>
      <c r="E336" s="8"/>
      <c r="F336" s="9" t="s">
        <v>7</v>
      </c>
      <c r="G336" s="18" t="s">
        <v>371</v>
      </c>
    </row>
    <row r="337" spans="1:7" ht="22.5" customHeight="1">
      <c r="A337" s="4">
        <v>45954</v>
      </c>
      <c r="B337" s="10" t="s">
        <v>1428</v>
      </c>
      <c r="C337" s="14" t="s">
        <v>1429</v>
      </c>
      <c r="D337" s="211">
        <v>105000</v>
      </c>
      <c r="E337" s="8"/>
      <c r="F337" s="9" t="s">
        <v>16</v>
      </c>
      <c r="G337" s="18" t="s">
        <v>371</v>
      </c>
    </row>
    <row r="338" spans="1:7" ht="22.5" customHeight="1">
      <c r="A338" s="4">
        <v>45954</v>
      </c>
      <c r="B338" s="5" t="s">
        <v>872</v>
      </c>
      <c r="C338" s="14" t="s">
        <v>1430</v>
      </c>
      <c r="D338" s="7">
        <v>83000</v>
      </c>
      <c r="E338" s="8"/>
      <c r="F338" s="9" t="s">
        <v>7</v>
      </c>
      <c r="G338" s="18" t="s">
        <v>371</v>
      </c>
    </row>
    <row r="339" spans="1:7" ht="22.5" customHeight="1">
      <c r="A339" s="4">
        <v>45954</v>
      </c>
      <c r="B339" s="9" t="s">
        <v>1431</v>
      </c>
      <c r="C339" s="14" t="s">
        <v>1432</v>
      </c>
      <c r="D339" s="7">
        <v>97100</v>
      </c>
      <c r="E339" s="8"/>
      <c r="F339" s="9" t="s">
        <v>10</v>
      </c>
      <c r="G339" s="18" t="s">
        <v>421</v>
      </c>
    </row>
    <row r="340" spans="1:7" ht="21" customHeight="1">
      <c r="A340" s="4">
        <v>45954</v>
      </c>
      <c r="B340" s="9" t="s">
        <v>1433</v>
      </c>
      <c r="C340" s="14" t="s">
        <v>1434</v>
      </c>
      <c r="D340" s="7">
        <v>82310</v>
      </c>
      <c r="E340" s="8"/>
      <c r="F340" s="9" t="s">
        <v>10</v>
      </c>
      <c r="G340" s="18" t="s">
        <v>421</v>
      </c>
    </row>
    <row r="341" spans="1:7" ht="21.75" customHeight="1">
      <c r="A341" s="4">
        <v>45954</v>
      </c>
      <c r="B341" s="9" t="s">
        <v>1177</v>
      </c>
      <c r="C341" s="14" t="s">
        <v>1435</v>
      </c>
      <c r="D341" s="7">
        <v>151400</v>
      </c>
      <c r="E341" s="8"/>
      <c r="F341" s="9" t="s">
        <v>10</v>
      </c>
      <c r="G341" s="18" t="s">
        <v>421</v>
      </c>
    </row>
    <row r="342" spans="1:7" ht="22.5" customHeight="1">
      <c r="A342" s="4">
        <v>45954</v>
      </c>
      <c r="B342" s="193" t="s">
        <v>1436</v>
      </c>
      <c r="C342" s="14" t="s">
        <v>1437</v>
      </c>
      <c r="D342" s="7">
        <v>111200</v>
      </c>
      <c r="E342" s="8"/>
      <c r="F342" s="9" t="s">
        <v>10</v>
      </c>
      <c r="G342" s="18" t="s">
        <v>421</v>
      </c>
    </row>
    <row r="343" spans="1:7" ht="22.5" customHeight="1">
      <c r="A343" s="4">
        <v>6705421</v>
      </c>
      <c r="B343" s="10" t="s">
        <v>1438</v>
      </c>
      <c r="C343" s="14" t="s">
        <v>1439</v>
      </c>
      <c r="D343" s="211">
        <v>110000</v>
      </c>
      <c r="E343" s="8"/>
      <c r="F343" s="9" t="s">
        <v>16</v>
      </c>
      <c r="G343" s="18" t="s">
        <v>371</v>
      </c>
    </row>
    <row r="344" spans="1:7" ht="21" customHeight="1">
      <c r="A344" s="4">
        <v>6705421</v>
      </c>
      <c r="B344" s="5" t="s">
        <v>1012</v>
      </c>
      <c r="C344" s="14" t="s">
        <v>1440</v>
      </c>
      <c r="D344" s="7">
        <v>193500</v>
      </c>
      <c r="E344" s="8"/>
      <c r="F344" s="9" t="s">
        <v>10</v>
      </c>
      <c r="G344" s="18" t="s">
        <v>421</v>
      </c>
    </row>
    <row r="345" spans="1:7" ht="22.5" customHeight="1">
      <c r="A345" s="4">
        <v>6705421</v>
      </c>
      <c r="B345" s="10" t="s">
        <v>1441</v>
      </c>
      <c r="C345" s="14" t="s">
        <v>1442</v>
      </c>
      <c r="D345" s="7">
        <v>107600</v>
      </c>
      <c r="E345" s="8"/>
      <c r="F345" s="9" t="s">
        <v>7</v>
      </c>
      <c r="G345" s="18" t="s">
        <v>371</v>
      </c>
    </row>
    <row r="346" spans="1:7" ht="22.5" customHeight="1">
      <c r="A346" s="4">
        <v>6705421</v>
      </c>
      <c r="B346" s="10" t="s">
        <v>837</v>
      </c>
      <c r="C346" s="14" t="s">
        <v>1443</v>
      </c>
      <c r="D346" s="7">
        <v>165500</v>
      </c>
      <c r="E346" s="8"/>
      <c r="F346" s="9" t="s">
        <v>7</v>
      </c>
      <c r="G346" s="18" t="s">
        <v>371</v>
      </c>
    </row>
    <row r="347" spans="1:7" ht="23.25" customHeight="1">
      <c r="A347" s="4">
        <v>6705421</v>
      </c>
      <c r="B347" s="5" t="s">
        <v>1444</v>
      </c>
      <c r="C347" s="14" t="s">
        <v>1445</v>
      </c>
      <c r="D347" s="7">
        <v>124200</v>
      </c>
      <c r="E347" s="8"/>
      <c r="F347" s="9" t="s">
        <v>7</v>
      </c>
      <c r="G347" s="18" t="s">
        <v>942</v>
      </c>
    </row>
    <row r="348" spans="1:7" ht="21" customHeight="1">
      <c r="A348" s="4">
        <v>6705421</v>
      </c>
      <c r="B348" s="5" t="s">
        <v>1446</v>
      </c>
      <c r="C348" s="14" t="s">
        <v>1447</v>
      </c>
      <c r="D348" s="7">
        <v>268700</v>
      </c>
      <c r="E348" s="8"/>
      <c r="F348" s="9" t="s">
        <v>10</v>
      </c>
      <c r="G348" s="18" t="s">
        <v>421</v>
      </c>
    </row>
    <row r="349" spans="1:7" ht="22.5" customHeight="1">
      <c r="A349" s="4">
        <v>45957</v>
      </c>
      <c r="B349" s="10" t="s">
        <v>1448</v>
      </c>
      <c r="C349" s="14" t="s">
        <v>1449</v>
      </c>
      <c r="D349" s="7">
        <v>377640</v>
      </c>
      <c r="E349" s="8"/>
      <c r="F349" s="9" t="s">
        <v>10</v>
      </c>
      <c r="G349" s="18" t="s">
        <v>371</v>
      </c>
    </row>
    <row r="350" spans="1:7" ht="20.25" customHeight="1">
      <c r="A350" s="4">
        <v>45957</v>
      </c>
      <c r="B350" s="5" t="s">
        <v>1030</v>
      </c>
      <c r="C350" s="14" t="s">
        <v>1450</v>
      </c>
      <c r="D350" s="7">
        <v>207600</v>
      </c>
      <c r="E350" s="8"/>
      <c r="F350" s="9" t="s">
        <v>10</v>
      </c>
      <c r="G350" s="18" t="s">
        <v>421</v>
      </c>
    </row>
    <row r="351" spans="1:7" ht="20.25" customHeight="1">
      <c r="A351" s="4">
        <v>45957</v>
      </c>
      <c r="B351" s="9" t="s">
        <v>1451</v>
      </c>
      <c r="C351" s="14" t="s">
        <v>1452</v>
      </c>
      <c r="D351" s="7">
        <v>56000</v>
      </c>
      <c r="E351" s="8"/>
      <c r="F351" s="9" t="s">
        <v>10</v>
      </c>
      <c r="G351" s="18" t="s">
        <v>421</v>
      </c>
    </row>
    <row r="352" spans="1:7" ht="22.5" customHeight="1">
      <c r="A352" s="4">
        <v>45957</v>
      </c>
      <c r="B352" s="210" t="s">
        <v>1453</v>
      </c>
      <c r="C352" s="14" t="s">
        <v>1454</v>
      </c>
      <c r="D352" s="7">
        <v>69400</v>
      </c>
      <c r="E352" s="8"/>
      <c r="F352" s="9" t="s">
        <v>10</v>
      </c>
      <c r="G352" s="18" t="s">
        <v>421</v>
      </c>
    </row>
    <row r="353" spans="1:7" ht="22.5" customHeight="1">
      <c r="A353" s="4">
        <v>45957</v>
      </c>
      <c r="B353" s="10" t="s">
        <v>93</v>
      </c>
      <c r="C353" s="14" t="s">
        <v>1455</v>
      </c>
      <c r="D353" s="7">
        <v>190000</v>
      </c>
      <c r="E353" s="8"/>
      <c r="F353" s="9" t="s">
        <v>10</v>
      </c>
      <c r="G353" s="18" t="s">
        <v>371</v>
      </c>
    </row>
    <row r="354" spans="1:7" ht="21" customHeight="1">
      <c r="A354" s="4">
        <v>45957</v>
      </c>
      <c r="B354" s="9" t="s">
        <v>1456</v>
      </c>
      <c r="C354" s="14" t="s">
        <v>1457</v>
      </c>
      <c r="D354" s="211">
        <v>155000</v>
      </c>
      <c r="E354" s="8"/>
      <c r="F354" s="9" t="s">
        <v>16</v>
      </c>
      <c r="G354" s="18" t="s">
        <v>421</v>
      </c>
    </row>
    <row r="355" spans="1:7" ht="23.25" customHeight="1">
      <c r="A355" s="4">
        <v>45957</v>
      </c>
      <c r="B355" s="5" t="s">
        <v>1206</v>
      </c>
      <c r="C355" s="14" t="s">
        <v>1458</v>
      </c>
      <c r="D355" s="7">
        <v>73500</v>
      </c>
      <c r="E355" s="8"/>
      <c r="F355" s="9" t="s">
        <v>10</v>
      </c>
      <c r="G355" s="18" t="s">
        <v>421</v>
      </c>
    </row>
    <row r="356" spans="1:7" ht="21.75" customHeight="1">
      <c r="A356" s="4">
        <v>45957</v>
      </c>
      <c r="B356" s="9" t="s">
        <v>1459</v>
      </c>
      <c r="C356" s="14" t="s">
        <v>1460</v>
      </c>
      <c r="D356" s="7">
        <v>114500</v>
      </c>
      <c r="E356" s="8"/>
      <c r="F356" s="9" t="s">
        <v>10</v>
      </c>
      <c r="G356" s="18" t="s">
        <v>421</v>
      </c>
    </row>
    <row r="357" spans="1:7" ht="24" customHeight="1">
      <c r="A357" s="4">
        <v>45957</v>
      </c>
      <c r="B357" s="9" t="s">
        <v>1461</v>
      </c>
      <c r="C357" s="14" t="s">
        <v>1462</v>
      </c>
      <c r="D357" s="7">
        <v>90590</v>
      </c>
      <c r="E357" s="8"/>
      <c r="F357" s="9" t="s">
        <v>10</v>
      </c>
      <c r="G357" s="18" t="s">
        <v>421</v>
      </c>
    </row>
    <row r="358" spans="1:7" ht="22.5" customHeight="1">
      <c r="A358" s="4">
        <v>45957</v>
      </c>
      <c r="B358" s="9" t="s">
        <v>1463</v>
      </c>
      <c r="C358" s="14" t="s">
        <v>1464</v>
      </c>
      <c r="D358" s="7">
        <v>113450</v>
      </c>
      <c r="E358" s="8"/>
      <c r="F358" s="9" t="s">
        <v>10</v>
      </c>
      <c r="G358" s="18" t="s">
        <v>421</v>
      </c>
    </row>
    <row r="359" spans="1:7" ht="23.25" customHeight="1">
      <c r="A359" s="4">
        <v>45957</v>
      </c>
      <c r="B359" s="5" t="s">
        <v>605</v>
      </c>
      <c r="C359" s="14" t="s">
        <v>1465</v>
      </c>
      <c r="D359" s="7">
        <v>199510</v>
      </c>
      <c r="E359" s="8"/>
      <c r="F359" s="9" t="s">
        <v>10</v>
      </c>
      <c r="G359" s="18" t="s">
        <v>421</v>
      </c>
    </row>
    <row r="360" spans="1:7" ht="22.5" customHeight="1">
      <c r="A360" s="4">
        <v>45957</v>
      </c>
      <c r="B360" s="133" t="s">
        <v>812</v>
      </c>
      <c r="C360" s="14" t="s">
        <v>1466</v>
      </c>
      <c r="D360" s="7">
        <v>164600</v>
      </c>
      <c r="E360" s="8"/>
      <c r="F360" s="9" t="s">
        <v>10</v>
      </c>
      <c r="G360" s="18" t="s">
        <v>421</v>
      </c>
    </row>
    <row r="361" spans="1:7" ht="22.5" customHeight="1">
      <c r="A361" s="4">
        <v>45957</v>
      </c>
      <c r="B361" s="210" t="s">
        <v>1467</v>
      </c>
      <c r="C361" s="14" t="s">
        <v>1468</v>
      </c>
      <c r="D361" s="7">
        <v>160290</v>
      </c>
      <c r="E361" s="8"/>
      <c r="F361" s="9" t="s">
        <v>10</v>
      </c>
      <c r="G361" s="18" t="s">
        <v>421</v>
      </c>
    </row>
    <row r="362" spans="1:7" ht="21" customHeight="1">
      <c r="A362" s="4">
        <v>45957</v>
      </c>
      <c r="B362" s="10" t="s">
        <v>1469</v>
      </c>
      <c r="C362" s="14" t="s">
        <v>1470</v>
      </c>
      <c r="D362" s="7">
        <v>172000</v>
      </c>
      <c r="E362" s="8"/>
      <c r="F362" s="9" t="s">
        <v>10</v>
      </c>
      <c r="G362" s="18" t="s">
        <v>371</v>
      </c>
    </row>
    <row r="363" spans="1:7" ht="22.5" customHeight="1">
      <c r="A363" s="4">
        <v>45957</v>
      </c>
      <c r="B363" s="10" t="s">
        <v>1471</v>
      </c>
      <c r="C363" s="14" t="s">
        <v>1472</v>
      </c>
      <c r="D363" s="7">
        <v>98500</v>
      </c>
      <c r="E363" s="8"/>
      <c r="F363" s="9" t="s">
        <v>10</v>
      </c>
      <c r="G363" s="18" t="s">
        <v>371</v>
      </c>
    </row>
    <row r="364" spans="1:7" ht="22.5" customHeight="1">
      <c r="A364" s="4">
        <v>45957</v>
      </c>
      <c r="B364" s="5" t="s">
        <v>1473</v>
      </c>
      <c r="C364" s="14" t="s">
        <v>1474</v>
      </c>
      <c r="D364" s="211">
        <v>105000</v>
      </c>
      <c r="E364" s="8"/>
      <c r="F364" s="9" t="s">
        <v>16</v>
      </c>
      <c r="G364" s="18" t="s">
        <v>371</v>
      </c>
    </row>
    <row r="365" spans="1:7" ht="22.5" customHeight="1">
      <c r="A365" s="4">
        <v>45957</v>
      </c>
      <c r="B365" s="10" t="s">
        <v>241</v>
      </c>
      <c r="C365" s="14" t="s">
        <v>1475</v>
      </c>
      <c r="D365" s="7">
        <v>147000</v>
      </c>
      <c r="E365" s="8"/>
      <c r="F365" s="9" t="s">
        <v>7</v>
      </c>
      <c r="G365" s="18" t="s">
        <v>371</v>
      </c>
    </row>
    <row r="366" spans="1:7" ht="22.5" customHeight="1">
      <c r="A366" s="4">
        <v>45957</v>
      </c>
      <c r="B366" s="5" t="s">
        <v>23</v>
      </c>
      <c r="C366" s="14" t="s">
        <v>1476</v>
      </c>
      <c r="D366" s="7">
        <v>147000</v>
      </c>
      <c r="E366" s="8"/>
      <c r="F366" s="9" t="s">
        <v>7</v>
      </c>
      <c r="G366" s="18" t="s">
        <v>371</v>
      </c>
    </row>
    <row r="367" spans="1:7" ht="19.5" customHeight="1">
      <c r="A367" s="4">
        <v>45958</v>
      </c>
      <c r="B367" s="5" t="s">
        <v>1334</v>
      </c>
      <c r="C367" s="14" t="s">
        <v>1477</v>
      </c>
      <c r="D367" s="7">
        <v>3500000</v>
      </c>
      <c r="E367" s="8"/>
      <c r="F367" s="9" t="s">
        <v>10</v>
      </c>
      <c r="G367" s="18" t="s">
        <v>421</v>
      </c>
    </row>
    <row r="368" spans="1:7" ht="18.75" customHeight="1">
      <c r="A368" s="4">
        <v>45958</v>
      </c>
      <c r="B368" s="5" t="s">
        <v>1478</v>
      </c>
      <c r="C368" s="14" t="s">
        <v>1479</v>
      </c>
      <c r="D368" s="7">
        <v>61500</v>
      </c>
      <c r="E368" s="8"/>
      <c r="F368" s="9" t="s">
        <v>10</v>
      </c>
      <c r="G368" s="18" t="s">
        <v>421</v>
      </c>
    </row>
    <row r="369" spans="1:7" ht="21" customHeight="1">
      <c r="A369" s="4">
        <v>45958</v>
      </c>
      <c r="B369" s="5" t="s">
        <v>1480</v>
      </c>
      <c r="C369" s="14" t="s">
        <v>1481</v>
      </c>
      <c r="D369" s="7">
        <v>304500</v>
      </c>
      <c r="E369" s="8"/>
      <c r="F369" s="9" t="s">
        <v>10</v>
      </c>
      <c r="G369" s="18" t="s">
        <v>421</v>
      </c>
    </row>
    <row r="370" spans="1:7" ht="24.75" customHeight="1">
      <c r="A370" s="4">
        <v>45958</v>
      </c>
      <c r="B370" s="5" t="s">
        <v>1186</v>
      </c>
      <c r="C370" s="14" t="s">
        <v>1482</v>
      </c>
      <c r="D370" s="211">
        <v>175100</v>
      </c>
      <c r="E370" s="8"/>
      <c r="F370" s="9" t="s">
        <v>16</v>
      </c>
      <c r="G370" s="18" t="s">
        <v>421</v>
      </c>
    </row>
    <row r="371" spans="1:7" ht="22.5" customHeight="1">
      <c r="A371" s="4">
        <v>45958</v>
      </c>
      <c r="B371" s="5" t="s">
        <v>1483</v>
      </c>
      <c r="C371" s="14" t="s">
        <v>1484</v>
      </c>
      <c r="D371" s="7">
        <v>117100</v>
      </c>
      <c r="E371" s="8"/>
      <c r="F371" s="9" t="s">
        <v>7</v>
      </c>
      <c r="G371" s="18" t="s">
        <v>371</v>
      </c>
    </row>
    <row r="372" spans="1:7" ht="22.5" customHeight="1">
      <c r="A372" s="4">
        <v>45958</v>
      </c>
      <c r="B372" s="5" t="s">
        <v>42</v>
      </c>
      <c r="C372" s="14" t="s">
        <v>1485</v>
      </c>
      <c r="D372" s="7">
        <v>51500</v>
      </c>
      <c r="E372" s="8"/>
      <c r="F372" s="9" t="s">
        <v>7</v>
      </c>
      <c r="G372" s="18" t="s">
        <v>371</v>
      </c>
    </row>
    <row r="373" spans="1:7" ht="22.5" customHeight="1">
      <c r="A373" s="4">
        <v>45958</v>
      </c>
      <c r="B373" s="5" t="s">
        <v>1140</v>
      </c>
      <c r="C373" s="14" t="s">
        <v>1486</v>
      </c>
      <c r="D373" s="7">
        <v>201200</v>
      </c>
      <c r="E373" s="8"/>
      <c r="F373" s="9" t="s">
        <v>7</v>
      </c>
      <c r="G373" s="18" t="s">
        <v>371</v>
      </c>
    </row>
    <row r="374" spans="1:7" ht="22.5" customHeight="1">
      <c r="A374" s="4">
        <v>45958</v>
      </c>
      <c r="B374" s="10" t="s">
        <v>126</v>
      </c>
      <c r="C374" s="14" t="s">
        <v>1487</v>
      </c>
      <c r="D374" s="7">
        <v>157500</v>
      </c>
      <c r="E374" s="8"/>
      <c r="F374" s="9" t="s">
        <v>7</v>
      </c>
      <c r="G374" s="18" t="s">
        <v>371</v>
      </c>
    </row>
    <row r="375" spans="1:7" ht="22.5" customHeight="1">
      <c r="A375" s="4">
        <v>45958</v>
      </c>
      <c r="B375" s="5" t="s">
        <v>411</v>
      </c>
      <c r="C375" s="14" t="s">
        <v>1488</v>
      </c>
      <c r="D375" s="7">
        <v>98500</v>
      </c>
      <c r="E375" s="8"/>
      <c r="F375" s="9" t="s">
        <v>10</v>
      </c>
      <c r="G375" s="18" t="s">
        <v>371</v>
      </c>
    </row>
    <row r="376" spans="1:7" ht="22.5" customHeight="1">
      <c r="A376" s="4">
        <v>45958</v>
      </c>
      <c r="B376" s="10" t="s">
        <v>249</v>
      </c>
      <c r="C376" s="14" t="s">
        <v>1489</v>
      </c>
      <c r="D376" s="7">
        <v>105000</v>
      </c>
      <c r="E376" s="8"/>
      <c r="F376" s="9" t="s">
        <v>10</v>
      </c>
      <c r="G376" s="18" t="s">
        <v>371</v>
      </c>
    </row>
    <row r="377" spans="1:7" ht="22.5" customHeight="1">
      <c r="A377" s="4">
        <v>45958</v>
      </c>
      <c r="B377" s="5" t="s">
        <v>1490</v>
      </c>
      <c r="C377" s="14" t="s">
        <v>1491</v>
      </c>
      <c r="D377" s="7">
        <v>46000</v>
      </c>
      <c r="E377" s="8"/>
      <c r="F377" s="9" t="s">
        <v>7</v>
      </c>
      <c r="G377" s="18" t="s">
        <v>942</v>
      </c>
    </row>
    <row r="378" spans="1:7" ht="22.5" customHeight="1">
      <c r="A378" s="4">
        <v>45958</v>
      </c>
      <c r="B378" s="10" t="s">
        <v>1492</v>
      </c>
      <c r="C378" s="14" t="s">
        <v>1493</v>
      </c>
      <c r="D378" s="7">
        <v>508600</v>
      </c>
      <c r="E378" s="8"/>
      <c r="F378" s="9" t="s">
        <v>10</v>
      </c>
      <c r="G378" s="18" t="s">
        <v>371</v>
      </c>
    </row>
    <row r="379" spans="1:7" ht="22.5" customHeight="1">
      <c r="A379" s="4">
        <v>45958</v>
      </c>
      <c r="B379" s="5" t="s">
        <v>1494</v>
      </c>
      <c r="C379" s="14" t="s">
        <v>1495</v>
      </c>
      <c r="D379" s="7">
        <v>56000</v>
      </c>
      <c r="E379" s="8"/>
      <c r="F379" s="9" t="s">
        <v>7</v>
      </c>
      <c r="G379" s="18" t="s">
        <v>371</v>
      </c>
    </row>
    <row r="380" spans="1:7" ht="21" customHeight="1">
      <c r="A380" s="4">
        <v>45958</v>
      </c>
      <c r="B380" s="9" t="s">
        <v>1496</v>
      </c>
      <c r="C380" s="14" t="s">
        <v>1497</v>
      </c>
      <c r="D380" s="7">
        <v>325380</v>
      </c>
      <c r="E380" s="8"/>
      <c r="F380" s="9" t="s">
        <v>10</v>
      </c>
      <c r="G380" s="18" t="s">
        <v>421</v>
      </c>
    </row>
    <row r="381" spans="1:7" ht="22.5" customHeight="1">
      <c r="A381" s="4">
        <v>45958</v>
      </c>
      <c r="B381" s="5" t="s">
        <v>99</v>
      </c>
      <c r="C381" s="14" t="s">
        <v>1498</v>
      </c>
      <c r="D381" s="7">
        <v>135000</v>
      </c>
      <c r="E381" s="8"/>
      <c r="F381" s="9" t="s">
        <v>10</v>
      </c>
      <c r="G381" s="18" t="s">
        <v>371</v>
      </c>
    </row>
    <row r="382" spans="1:7" ht="21.75" customHeight="1">
      <c r="A382" s="4">
        <v>45958</v>
      </c>
      <c r="B382" s="5" t="s">
        <v>1322</v>
      </c>
      <c r="C382" s="14" t="s">
        <v>1499</v>
      </c>
      <c r="D382" s="7">
        <v>174600</v>
      </c>
      <c r="E382" s="8"/>
      <c r="F382" s="9" t="s">
        <v>10</v>
      </c>
      <c r="G382" s="18" t="s">
        <v>421</v>
      </c>
    </row>
    <row r="383" spans="1:7" ht="22.5" customHeight="1">
      <c r="A383" s="4">
        <v>45959</v>
      </c>
      <c r="B383" s="5" t="s">
        <v>12</v>
      </c>
      <c r="C383" s="14" t="s">
        <v>1500</v>
      </c>
      <c r="D383" s="7">
        <v>258400</v>
      </c>
      <c r="E383" s="8"/>
      <c r="F383" s="9" t="s">
        <v>10</v>
      </c>
      <c r="G383" s="18" t="s">
        <v>371</v>
      </c>
    </row>
    <row r="384" spans="1:7" ht="22.5" customHeight="1">
      <c r="A384" s="4">
        <v>45959</v>
      </c>
      <c r="B384" s="10" t="s">
        <v>1217</v>
      </c>
      <c r="C384" s="14" t="s">
        <v>1501</v>
      </c>
      <c r="D384" s="7">
        <v>167000</v>
      </c>
      <c r="E384" s="8"/>
      <c r="F384" s="9" t="s">
        <v>7</v>
      </c>
      <c r="G384" s="18" t="s">
        <v>371</v>
      </c>
    </row>
    <row r="385" spans="1:7" ht="22.5" customHeight="1">
      <c r="A385" s="4">
        <v>45959</v>
      </c>
      <c r="B385" s="5" t="s">
        <v>345</v>
      </c>
      <c r="C385" s="14" t="s">
        <v>1502</v>
      </c>
      <c r="D385" s="7">
        <v>161400</v>
      </c>
      <c r="E385" s="8"/>
      <c r="F385" s="9" t="s">
        <v>7</v>
      </c>
      <c r="G385" s="18" t="s">
        <v>371</v>
      </c>
    </row>
    <row r="386" spans="1:7" ht="22.5" customHeight="1">
      <c r="A386" s="4">
        <v>45959</v>
      </c>
      <c r="B386" s="10" t="s">
        <v>58</v>
      </c>
      <c r="C386" s="14" t="s">
        <v>1503</v>
      </c>
      <c r="D386" s="7">
        <v>227200</v>
      </c>
      <c r="E386" s="8"/>
      <c r="F386" s="9" t="s">
        <v>7</v>
      </c>
      <c r="G386" s="18" t="s">
        <v>371</v>
      </c>
    </row>
    <row r="387" spans="1:7" ht="24.75" customHeight="1">
      <c r="A387" s="4">
        <v>45959</v>
      </c>
      <c r="B387" s="5" t="s">
        <v>1282</v>
      </c>
      <c r="C387" s="14" t="s">
        <v>1504</v>
      </c>
      <c r="D387" s="7">
        <v>116175</v>
      </c>
      <c r="E387" s="8"/>
      <c r="F387" s="9" t="s">
        <v>10</v>
      </c>
      <c r="G387" s="18" t="s">
        <v>421</v>
      </c>
    </row>
    <row r="388" spans="1:7" ht="23.25" customHeight="1">
      <c r="A388" s="4">
        <v>45959</v>
      </c>
      <c r="B388" s="5" t="s">
        <v>927</v>
      </c>
      <c r="C388" s="14" t="s">
        <v>1505</v>
      </c>
      <c r="D388" s="7">
        <v>263100</v>
      </c>
      <c r="E388" s="8"/>
      <c r="F388" s="9" t="s">
        <v>10</v>
      </c>
      <c r="G388" s="18" t="s">
        <v>421</v>
      </c>
    </row>
    <row r="389" spans="1:7" ht="21" customHeight="1">
      <c r="A389" s="4">
        <v>45959</v>
      </c>
      <c r="B389" s="5" t="s">
        <v>1506</v>
      </c>
      <c r="C389" s="14" t="s">
        <v>1507</v>
      </c>
      <c r="D389" s="7">
        <v>122670</v>
      </c>
      <c r="E389" s="8"/>
      <c r="F389" s="9" t="s">
        <v>10</v>
      </c>
      <c r="G389" s="18" t="s">
        <v>421</v>
      </c>
    </row>
    <row r="390" spans="1:7" ht="22.5" customHeight="1">
      <c r="A390" s="4">
        <v>45959</v>
      </c>
      <c r="B390" s="5" t="s">
        <v>957</v>
      </c>
      <c r="C390" s="14" t="s">
        <v>1508</v>
      </c>
      <c r="D390" s="7">
        <v>113500</v>
      </c>
      <c r="E390" s="8"/>
      <c r="F390" s="9" t="s">
        <v>10</v>
      </c>
      <c r="G390" s="18" t="s">
        <v>421</v>
      </c>
    </row>
    <row r="391" spans="1:7" ht="21.75" customHeight="1">
      <c r="A391" s="4">
        <v>45959</v>
      </c>
      <c r="B391" s="5" t="s">
        <v>1509</v>
      </c>
      <c r="C391" s="14" t="s">
        <v>1510</v>
      </c>
      <c r="D391" s="7">
        <v>146790</v>
      </c>
      <c r="E391" s="8"/>
      <c r="F391" s="9" t="s">
        <v>10</v>
      </c>
      <c r="G391" s="18" t="s">
        <v>421</v>
      </c>
    </row>
    <row r="392" spans="1:7" ht="21.75" customHeight="1">
      <c r="A392" s="4">
        <v>45959</v>
      </c>
      <c r="B392" s="9" t="s">
        <v>1511</v>
      </c>
      <c r="C392" s="14" t="s">
        <v>1512</v>
      </c>
      <c r="D392" s="7">
        <v>230000</v>
      </c>
      <c r="E392" s="8"/>
      <c r="F392" s="9" t="s">
        <v>10</v>
      </c>
      <c r="G392" s="18" t="s">
        <v>421</v>
      </c>
    </row>
    <row r="393" spans="1:7" ht="21.75" customHeight="1">
      <c r="A393" s="4">
        <v>45959</v>
      </c>
      <c r="B393" s="5" t="s">
        <v>1513</v>
      </c>
      <c r="C393" s="14" t="s">
        <v>1514</v>
      </c>
      <c r="D393" s="7">
        <v>111500</v>
      </c>
      <c r="E393" s="8"/>
      <c r="F393" s="9" t="s">
        <v>10</v>
      </c>
      <c r="G393" s="18" t="s">
        <v>421</v>
      </c>
    </row>
    <row r="394" spans="1:7" ht="22.5" customHeight="1">
      <c r="A394" s="4">
        <v>45959</v>
      </c>
      <c r="B394" s="197" t="s">
        <v>1242</v>
      </c>
      <c r="C394" s="14" t="s">
        <v>1515</v>
      </c>
      <c r="D394" s="7">
        <v>129000</v>
      </c>
      <c r="E394" s="8"/>
      <c r="F394" s="9" t="s">
        <v>10</v>
      </c>
      <c r="G394" s="18" t="s">
        <v>421</v>
      </c>
    </row>
    <row r="395" spans="1:7" ht="23.25" customHeight="1">
      <c r="A395" s="4">
        <v>45959</v>
      </c>
      <c r="B395" s="5" t="s">
        <v>1516</v>
      </c>
      <c r="C395" s="14" t="s">
        <v>1517</v>
      </c>
      <c r="D395" s="7">
        <v>160290</v>
      </c>
      <c r="E395" s="8"/>
      <c r="F395" s="9" t="s">
        <v>10</v>
      </c>
      <c r="G395" s="18" t="s">
        <v>421</v>
      </c>
    </row>
    <row r="396" spans="1:7" ht="20.25" customHeight="1">
      <c r="A396" s="4">
        <v>45959</v>
      </c>
      <c r="B396" s="5" t="s">
        <v>1518</v>
      </c>
      <c r="C396" s="14" t="s">
        <v>1519</v>
      </c>
      <c r="D396" s="7">
        <v>184900</v>
      </c>
      <c r="E396" s="8"/>
      <c r="F396" s="9" t="s">
        <v>10</v>
      </c>
      <c r="G396" s="18" t="s">
        <v>371</v>
      </c>
    </row>
    <row r="397" spans="1:7" ht="20.25" customHeight="1">
      <c r="A397" s="4">
        <v>45959</v>
      </c>
      <c r="B397" s="5" t="s">
        <v>1520</v>
      </c>
      <c r="C397" s="14" t="s">
        <v>1521</v>
      </c>
      <c r="D397" s="7">
        <v>130000</v>
      </c>
      <c r="E397" s="8"/>
      <c r="F397" s="9" t="s">
        <v>10</v>
      </c>
      <c r="G397" s="18" t="s">
        <v>421</v>
      </c>
    </row>
    <row r="398" spans="1:7" ht="20.25" customHeight="1">
      <c r="A398" s="4">
        <v>45959</v>
      </c>
      <c r="B398" s="5" t="s">
        <v>1522</v>
      </c>
      <c r="C398" s="14" t="s">
        <v>1523</v>
      </c>
      <c r="D398" s="7">
        <v>55600</v>
      </c>
      <c r="E398" s="8"/>
      <c r="F398" s="9" t="s">
        <v>10</v>
      </c>
      <c r="G398" s="18" t="s">
        <v>421</v>
      </c>
    </row>
    <row r="399" spans="1:7" ht="19.5" customHeight="1">
      <c r="A399" s="4">
        <v>45959</v>
      </c>
      <c r="B399" s="5" t="s">
        <v>1524</v>
      </c>
      <c r="C399" s="14" t="s">
        <v>1525</v>
      </c>
      <c r="D399" s="7">
        <v>72500</v>
      </c>
      <c r="E399" s="8"/>
      <c r="F399" s="9" t="s">
        <v>10</v>
      </c>
      <c r="G399" s="18" t="s">
        <v>421</v>
      </c>
    </row>
    <row r="400" spans="1:7" ht="22.5" customHeight="1">
      <c r="A400" s="4">
        <v>45959</v>
      </c>
      <c r="B400" s="10" t="s">
        <v>1526</v>
      </c>
      <c r="C400" s="14" t="s">
        <v>1527</v>
      </c>
      <c r="D400" s="7">
        <v>120000</v>
      </c>
      <c r="E400" s="8"/>
      <c r="F400" s="9" t="s">
        <v>10</v>
      </c>
      <c r="G400" s="18" t="s">
        <v>371</v>
      </c>
    </row>
    <row r="401" spans="1:7" ht="20.25" customHeight="1">
      <c r="A401" s="4">
        <v>45959</v>
      </c>
      <c r="B401" s="5" t="s">
        <v>1528</v>
      </c>
      <c r="C401" s="14" t="s">
        <v>1529</v>
      </c>
      <c r="D401" s="7">
        <v>130000</v>
      </c>
      <c r="E401" s="8"/>
      <c r="F401" s="9" t="s">
        <v>10</v>
      </c>
      <c r="G401" s="18" t="s">
        <v>421</v>
      </c>
    </row>
    <row r="402" spans="1:7" ht="23.25" customHeight="1">
      <c r="A402" s="4">
        <v>45959</v>
      </c>
      <c r="B402" s="5" t="s">
        <v>1530</v>
      </c>
      <c r="C402" s="14" t="s">
        <v>1531</v>
      </c>
      <c r="D402" s="7">
        <v>148770</v>
      </c>
      <c r="E402" s="8"/>
      <c r="F402" s="9" t="s">
        <v>10</v>
      </c>
      <c r="G402" s="18" t="s">
        <v>421</v>
      </c>
    </row>
    <row r="403" spans="1:7" ht="22.5" customHeight="1">
      <c r="A403" s="4">
        <v>45959</v>
      </c>
      <c r="B403" s="197" t="s">
        <v>1532</v>
      </c>
      <c r="C403" s="14" t="s">
        <v>1533</v>
      </c>
      <c r="D403" s="7">
        <v>198500</v>
      </c>
      <c r="E403" s="8"/>
      <c r="F403" s="9" t="s">
        <v>10</v>
      </c>
      <c r="G403" s="18" t="s">
        <v>421</v>
      </c>
    </row>
    <row r="404" spans="1:7" ht="21" customHeight="1">
      <c r="A404" s="4">
        <v>45959</v>
      </c>
      <c r="B404" s="5" t="s">
        <v>1534</v>
      </c>
      <c r="C404" s="14" t="s">
        <v>1535</v>
      </c>
      <c r="D404" s="7">
        <v>167400</v>
      </c>
      <c r="E404" s="8"/>
      <c r="F404" s="9" t="s">
        <v>10</v>
      </c>
      <c r="G404" s="18" t="s">
        <v>421</v>
      </c>
    </row>
    <row r="405" spans="1:7" ht="20.25" customHeight="1">
      <c r="A405" s="4">
        <v>45960</v>
      </c>
      <c r="B405" s="5" t="s">
        <v>1536</v>
      </c>
      <c r="C405" s="14" t="s">
        <v>1537</v>
      </c>
      <c r="D405" s="211">
        <v>62000</v>
      </c>
      <c r="E405" s="8"/>
      <c r="F405" s="9" t="s">
        <v>16</v>
      </c>
      <c r="G405" s="18" t="s">
        <v>421</v>
      </c>
    </row>
    <row r="406" spans="1:7" ht="24.75" customHeight="1">
      <c r="A406" s="4">
        <v>45960</v>
      </c>
      <c r="B406" s="5" t="s">
        <v>1538</v>
      </c>
      <c r="C406" s="14" t="s">
        <v>1539</v>
      </c>
      <c r="D406" s="7">
        <v>105000</v>
      </c>
      <c r="E406" s="8"/>
      <c r="F406" s="9" t="s">
        <v>10</v>
      </c>
      <c r="G406" s="18" t="s">
        <v>371</v>
      </c>
    </row>
    <row r="407" spans="1:7" ht="22.5" customHeight="1">
      <c r="A407" s="4">
        <v>45960</v>
      </c>
      <c r="B407" s="10" t="s">
        <v>1540</v>
      </c>
      <c r="C407" s="14" t="s">
        <v>1541</v>
      </c>
      <c r="D407" s="7">
        <v>152000</v>
      </c>
      <c r="E407" s="8"/>
      <c r="F407" s="9" t="s">
        <v>10</v>
      </c>
      <c r="G407" s="18" t="s">
        <v>371</v>
      </c>
    </row>
    <row r="408" spans="1:7" ht="19.5" customHeight="1">
      <c r="A408" s="4">
        <v>45960</v>
      </c>
      <c r="B408" s="5" t="s">
        <v>1542</v>
      </c>
      <c r="C408" s="14" t="s">
        <v>1543</v>
      </c>
      <c r="D408" s="7">
        <v>130000</v>
      </c>
      <c r="E408" s="8"/>
      <c r="F408" s="9" t="s">
        <v>10</v>
      </c>
      <c r="G408" s="18" t="s">
        <v>942</v>
      </c>
    </row>
    <row r="409" spans="1:7" ht="22.5" customHeight="1">
      <c r="A409" s="4">
        <v>45960</v>
      </c>
      <c r="B409" s="196" t="s">
        <v>26</v>
      </c>
      <c r="C409" s="14" t="s">
        <v>1544</v>
      </c>
      <c r="D409" s="7">
        <v>197500</v>
      </c>
      <c r="E409" s="8"/>
      <c r="F409" s="9" t="s">
        <v>10</v>
      </c>
      <c r="G409" s="18" t="s">
        <v>371</v>
      </c>
    </row>
    <row r="410" spans="1:7" ht="21" customHeight="1">
      <c r="A410" s="4">
        <v>45960</v>
      </c>
      <c r="B410" s="5" t="s">
        <v>1545</v>
      </c>
      <c r="C410" s="14" t="s">
        <v>1546</v>
      </c>
      <c r="D410" s="7">
        <v>114390</v>
      </c>
      <c r="E410" s="8"/>
      <c r="F410" s="9" t="s">
        <v>10</v>
      </c>
      <c r="G410" s="18" t="s">
        <v>421</v>
      </c>
    </row>
    <row r="411" spans="1:7" ht="22.5" customHeight="1">
      <c r="A411" s="4">
        <v>45960</v>
      </c>
      <c r="B411" s="5" t="s">
        <v>1547</v>
      </c>
      <c r="C411" s="14" t="s">
        <v>1548</v>
      </c>
      <c r="D411" s="7">
        <v>131940</v>
      </c>
      <c r="E411" s="8"/>
      <c r="F411" s="9" t="s">
        <v>10</v>
      </c>
      <c r="G411" s="18" t="s">
        <v>421</v>
      </c>
    </row>
    <row r="412" spans="1:7" ht="22.5" customHeight="1">
      <c r="A412" s="4">
        <v>45960</v>
      </c>
      <c r="B412" s="5" t="s">
        <v>1549</v>
      </c>
      <c r="C412" s="14" t="s">
        <v>1550</v>
      </c>
      <c r="D412" s="7">
        <v>117000</v>
      </c>
      <c r="E412" s="8"/>
      <c r="F412" s="9" t="s">
        <v>10</v>
      </c>
      <c r="G412" s="18" t="s">
        <v>421</v>
      </c>
    </row>
    <row r="413" spans="1:7" ht="22.5" customHeight="1">
      <c r="A413" s="4">
        <v>45960</v>
      </c>
      <c r="B413" s="10" t="s">
        <v>1551</v>
      </c>
      <c r="C413" s="14" t="s">
        <v>1552</v>
      </c>
      <c r="D413" s="7">
        <v>145350</v>
      </c>
      <c r="E413" s="8"/>
      <c r="F413" s="9" t="s">
        <v>10</v>
      </c>
      <c r="G413" s="18" t="s">
        <v>371</v>
      </c>
    </row>
    <row r="414" spans="1:7" ht="22.5" customHeight="1">
      <c r="A414" s="4">
        <v>45960</v>
      </c>
      <c r="B414" s="10" t="s">
        <v>1553</v>
      </c>
      <c r="C414" s="14" t="s">
        <v>1554</v>
      </c>
      <c r="D414" s="7">
        <v>132500</v>
      </c>
      <c r="E414" s="8"/>
      <c r="F414" s="9" t="s">
        <v>10</v>
      </c>
      <c r="G414" s="18" t="s">
        <v>371</v>
      </c>
    </row>
    <row r="415" spans="1:7" ht="21" customHeight="1">
      <c r="A415" s="4">
        <v>45960</v>
      </c>
      <c r="B415" s="5" t="s">
        <v>1555</v>
      </c>
      <c r="C415" s="14" t="s">
        <v>1556</v>
      </c>
      <c r="D415" s="7">
        <v>145080</v>
      </c>
      <c r="E415" s="8"/>
      <c r="F415" s="9" t="s">
        <v>10</v>
      </c>
      <c r="G415" s="18" t="s">
        <v>421</v>
      </c>
    </row>
    <row r="416" spans="1:7" ht="22.5" customHeight="1">
      <c r="A416" s="4">
        <v>45960</v>
      </c>
      <c r="B416" s="10" t="s">
        <v>41</v>
      </c>
      <c r="C416" s="14" t="s">
        <v>1557</v>
      </c>
      <c r="D416" s="7">
        <v>98500</v>
      </c>
      <c r="E416" s="8"/>
      <c r="F416" s="9" t="s">
        <v>7</v>
      </c>
      <c r="G416" s="18" t="s">
        <v>371</v>
      </c>
    </row>
    <row r="417" spans="1:7" ht="22.5" customHeight="1">
      <c r="A417" s="4">
        <v>45961</v>
      </c>
      <c r="B417" s="10" t="s">
        <v>71</v>
      </c>
      <c r="C417" s="14" t="s">
        <v>1558</v>
      </c>
      <c r="D417" s="7">
        <v>1013706</v>
      </c>
      <c r="E417" s="8"/>
      <c r="F417" s="9" t="s">
        <v>72</v>
      </c>
      <c r="G417" s="18" t="s">
        <v>371</v>
      </c>
    </row>
    <row r="418" spans="1:7" ht="22.5" customHeight="1">
      <c r="A418" s="4">
        <v>45961</v>
      </c>
      <c r="B418" s="10" t="s">
        <v>71</v>
      </c>
      <c r="C418" s="14" t="s">
        <v>1559</v>
      </c>
      <c r="D418" s="7">
        <v>876000</v>
      </c>
      <c r="E418" s="8"/>
      <c r="F418" s="9" t="s">
        <v>72</v>
      </c>
      <c r="G418" s="18" t="s">
        <v>371</v>
      </c>
    </row>
    <row r="419" spans="1:7" ht="18.75" customHeight="1">
      <c r="A419" s="4">
        <v>45961</v>
      </c>
      <c r="B419" s="5" t="s">
        <v>1560</v>
      </c>
      <c r="C419" s="14" t="s">
        <v>1561</v>
      </c>
      <c r="D419" s="7">
        <v>112400</v>
      </c>
      <c r="E419" s="8"/>
      <c r="F419" s="9" t="s">
        <v>10</v>
      </c>
      <c r="G419" s="18" t="s">
        <v>421</v>
      </c>
    </row>
    <row r="420" spans="1:7" ht="22.5" customHeight="1">
      <c r="A420" s="4">
        <v>45961</v>
      </c>
      <c r="B420" s="10" t="s">
        <v>1562</v>
      </c>
      <c r="C420" s="14" t="s">
        <v>1563</v>
      </c>
      <c r="D420" s="7">
        <v>156500</v>
      </c>
      <c r="E420" s="8"/>
      <c r="F420" s="9" t="s">
        <v>21</v>
      </c>
      <c r="G420" s="18" t="s">
        <v>371</v>
      </c>
    </row>
    <row r="421" spans="1:7" ht="22.5" customHeight="1">
      <c r="A421" s="4">
        <v>45961</v>
      </c>
      <c r="B421" s="10" t="s">
        <v>33</v>
      </c>
      <c r="C421" s="14" t="s">
        <v>1564</v>
      </c>
      <c r="D421" s="7">
        <v>157000</v>
      </c>
      <c r="E421" s="8"/>
      <c r="F421" s="9" t="s">
        <v>7</v>
      </c>
      <c r="G421" s="18" t="s">
        <v>371</v>
      </c>
    </row>
    <row r="422" spans="1:7" ht="22.5" customHeight="1">
      <c r="A422" s="4">
        <v>45961</v>
      </c>
      <c r="B422" s="10" t="s">
        <v>1565</v>
      </c>
      <c r="C422" s="14" t="s">
        <v>1566</v>
      </c>
      <c r="D422" s="7">
        <v>181900</v>
      </c>
      <c r="E422" s="8"/>
      <c r="F422" s="9" t="s">
        <v>10</v>
      </c>
      <c r="G422" s="18" t="s">
        <v>371</v>
      </c>
    </row>
    <row r="423" spans="1:7" ht="21" customHeight="1">
      <c r="A423" s="4">
        <v>45961</v>
      </c>
      <c r="B423" s="5" t="s">
        <v>426</v>
      </c>
      <c r="C423" s="14" t="s">
        <v>1567</v>
      </c>
      <c r="D423" s="7">
        <v>230500</v>
      </c>
      <c r="E423" s="8"/>
      <c r="F423" s="9" t="s">
        <v>10</v>
      </c>
      <c r="G423" s="18" t="s">
        <v>371</v>
      </c>
    </row>
    <row r="424" spans="1:7" ht="19.5" customHeight="1">
      <c r="A424" s="4">
        <v>45961</v>
      </c>
      <c r="B424" s="5" t="s">
        <v>1568</v>
      </c>
      <c r="C424" s="14" t="s">
        <v>1569</v>
      </c>
      <c r="D424" s="7">
        <v>1170000</v>
      </c>
      <c r="E424" s="8"/>
      <c r="F424" s="9" t="s">
        <v>10</v>
      </c>
      <c r="G424" s="18" t="s">
        <v>421</v>
      </c>
    </row>
    <row r="425" spans="1:7" ht="22.5" customHeight="1">
      <c r="A425" s="4">
        <v>45961</v>
      </c>
      <c r="B425" s="10" t="s">
        <v>1570</v>
      </c>
      <c r="C425" s="14" t="s">
        <v>1571</v>
      </c>
      <c r="D425" s="7">
        <v>79600</v>
      </c>
      <c r="E425" s="8"/>
      <c r="F425" s="9" t="s">
        <v>10</v>
      </c>
      <c r="G425" s="18" t="s">
        <v>371</v>
      </c>
    </row>
    <row r="426" spans="1:7" ht="20.25" customHeight="1">
      <c r="A426" s="4">
        <v>45961</v>
      </c>
      <c r="B426" s="9" t="s">
        <v>1572</v>
      </c>
      <c r="C426" s="14" t="s">
        <v>1573</v>
      </c>
      <c r="D426" s="7">
        <v>117000</v>
      </c>
      <c r="E426" s="8"/>
      <c r="F426" s="9" t="s">
        <v>10</v>
      </c>
      <c r="G426" s="18" t="s">
        <v>421</v>
      </c>
    </row>
    <row r="427" spans="1:7" ht="20.25" customHeight="1">
      <c r="A427" s="4">
        <v>45961</v>
      </c>
      <c r="B427" s="9" t="s">
        <v>1167</v>
      </c>
      <c r="C427" s="14" t="s">
        <v>1574</v>
      </c>
      <c r="D427" s="7">
        <v>112600</v>
      </c>
      <c r="E427" s="8"/>
      <c r="F427" s="9" t="s">
        <v>10</v>
      </c>
      <c r="G427" s="18" t="s">
        <v>421</v>
      </c>
    </row>
    <row r="428" spans="1:7" ht="19.5" customHeight="1">
      <c r="A428" s="4">
        <v>45961</v>
      </c>
      <c r="B428" s="9" t="s">
        <v>1575</v>
      </c>
      <c r="C428" s="14" t="s">
        <v>1576</v>
      </c>
      <c r="D428" s="7">
        <v>114500</v>
      </c>
      <c r="E428" s="8"/>
      <c r="F428" s="9" t="s">
        <v>10</v>
      </c>
      <c r="G428" s="18" t="s">
        <v>421</v>
      </c>
    </row>
    <row r="429" spans="1:7" ht="19.5" customHeight="1">
      <c r="A429" s="4">
        <v>45961</v>
      </c>
      <c r="B429" s="9" t="s">
        <v>1577</v>
      </c>
      <c r="C429" s="14" t="s">
        <v>1578</v>
      </c>
      <c r="D429" s="7">
        <v>227900</v>
      </c>
      <c r="E429" s="8"/>
      <c r="F429" s="9" t="s">
        <v>10</v>
      </c>
      <c r="G429" s="18" t="s">
        <v>371</v>
      </c>
    </row>
    <row r="430" spans="1:7" ht="20.25" customHeight="1">
      <c r="A430" s="4">
        <v>45961</v>
      </c>
      <c r="B430" s="9" t="s">
        <v>1579</v>
      </c>
      <c r="C430" s="14" t="s">
        <v>1580</v>
      </c>
      <c r="D430" s="7">
        <v>104000</v>
      </c>
      <c r="E430" s="8"/>
      <c r="F430" s="9" t="s">
        <v>10</v>
      </c>
      <c r="G430" s="18" t="s">
        <v>371</v>
      </c>
    </row>
    <row r="431" spans="1:7" ht="21.75" customHeight="1">
      <c r="A431" s="4">
        <v>45961</v>
      </c>
      <c r="B431" s="5" t="s">
        <v>1581</v>
      </c>
      <c r="C431" s="14" t="s">
        <v>1582</v>
      </c>
      <c r="D431" s="7">
        <v>115500</v>
      </c>
      <c r="E431" s="8"/>
      <c r="F431" s="9" t="s">
        <v>7</v>
      </c>
      <c r="G431" s="18" t="s">
        <v>874</v>
      </c>
    </row>
    <row r="432" spans="1:7" ht="26.25" customHeight="1">
      <c r="A432" s="4">
        <v>45961</v>
      </c>
      <c r="B432" s="5" t="s">
        <v>1583</v>
      </c>
      <c r="C432" s="14" t="s">
        <v>1584</v>
      </c>
      <c r="D432" s="7">
        <v>126000</v>
      </c>
      <c r="E432" s="8"/>
      <c r="F432" s="9" t="s">
        <v>7</v>
      </c>
      <c r="G432" s="18" t="s">
        <v>942</v>
      </c>
    </row>
    <row r="433" spans="1:7" ht="22.5" customHeight="1">
      <c r="A433" s="4">
        <v>45961</v>
      </c>
      <c r="B433" s="10" t="s">
        <v>325</v>
      </c>
      <c r="C433" s="14" t="s">
        <v>1585</v>
      </c>
      <c r="D433" s="7">
        <v>130100</v>
      </c>
      <c r="E433" s="8"/>
      <c r="F433" s="9" t="s">
        <v>7</v>
      </c>
      <c r="G433" s="18" t="s">
        <v>371</v>
      </c>
    </row>
    <row r="434" spans="1:7" ht="20.25" customHeight="1">
      <c r="A434" s="4">
        <v>45961</v>
      </c>
      <c r="B434" s="18" t="s">
        <v>1586</v>
      </c>
      <c r="C434" s="14" t="s">
        <v>1587</v>
      </c>
      <c r="D434" s="7">
        <v>62500</v>
      </c>
      <c r="E434" s="8"/>
      <c r="F434" s="9" t="s">
        <v>10</v>
      </c>
      <c r="G434" s="18" t="s">
        <v>421</v>
      </c>
    </row>
    <row r="435" spans="1:7" ht="18" customHeight="1">
      <c r="A435" s="4">
        <v>45961</v>
      </c>
      <c r="B435" s="9" t="s">
        <v>1588</v>
      </c>
      <c r="C435" s="14" t="s">
        <v>1589</v>
      </c>
      <c r="D435" s="7">
        <v>267700</v>
      </c>
      <c r="E435" s="8"/>
      <c r="F435" s="9" t="s">
        <v>10</v>
      </c>
      <c r="G435" s="18" t="s">
        <v>371</v>
      </c>
    </row>
    <row r="436" spans="1:7" ht="22.5" customHeight="1">
      <c r="A436" s="4">
        <v>45961</v>
      </c>
      <c r="B436" s="10" t="s">
        <v>139</v>
      </c>
      <c r="C436" s="14" t="s">
        <v>1590</v>
      </c>
      <c r="D436" s="7">
        <v>252450</v>
      </c>
      <c r="E436" s="8"/>
      <c r="F436" s="9" t="s">
        <v>10</v>
      </c>
      <c r="G436" s="18" t="s">
        <v>371</v>
      </c>
    </row>
    <row r="437" spans="1:7" ht="22.5" customHeight="1">
      <c r="A437" s="4">
        <v>45961</v>
      </c>
      <c r="B437" s="10" t="s">
        <v>27</v>
      </c>
      <c r="C437" s="14" t="s">
        <v>1591</v>
      </c>
      <c r="D437" s="7">
        <v>302500</v>
      </c>
      <c r="E437" s="8"/>
      <c r="F437" s="9" t="s">
        <v>10</v>
      </c>
      <c r="G437" s="18" t="s">
        <v>371</v>
      </c>
    </row>
    <row r="438" spans="1:7" ht="20.25" customHeight="1">
      <c r="A438" s="4">
        <v>45961</v>
      </c>
      <c r="B438" s="9" t="s">
        <v>1592</v>
      </c>
      <c r="C438" s="14" t="s">
        <v>1593</v>
      </c>
      <c r="D438" s="7">
        <v>111400</v>
      </c>
      <c r="E438" s="8"/>
      <c r="F438" s="9" t="s">
        <v>10</v>
      </c>
      <c r="G438" s="18" t="s">
        <v>421</v>
      </c>
    </row>
    <row r="439" spans="1:7" ht="22.5" customHeight="1">
      <c r="A439" s="4">
        <v>45961</v>
      </c>
      <c r="B439" s="10" t="s">
        <v>914</v>
      </c>
      <c r="C439" s="14" t="s">
        <v>1594</v>
      </c>
      <c r="D439" s="7">
        <v>171000</v>
      </c>
      <c r="E439" s="8"/>
      <c r="F439" s="9" t="s">
        <v>10</v>
      </c>
      <c r="G439" s="18" t="s">
        <v>371</v>
      </c>
    </row>
    <row r="440" spans="1:7" ht="22.5" customHeight="1">
      <c r="A440" s="4">
        <v>45961</v>
      </c>
      <c r="B440" s="5" t="s">
        <v>1595</v>
      </c>
      <c r="C440" s="14" t="s">
        <v>1596</v>
      </c>
      <c r="D440" s="7">
        <v>68350</v>
      </c>
      <c r="E440" s="8"/>
      <c r="F440" s="9" t="s">
        <v>7</v>
      </c>
      <c r="G440" s="18" t="s">
        <v>421</v>
      </c>
    </row>
    <row r="441" spans="1:7" ht="22.5" customHeight="1">
      <c r="A441" s="4">
        <v>45961</v>
      </c>
      <c r="B441" s="197" t="s">
        <v>1597</v>
      </c>
      <c r="C441" s="14" t="s">
        <v>1598</v>
      </c>
      <c r="D441" s="7">
        <v>110250</v>
      </c>
      <c r="E441" s="8"/>
      <c r="F441" s="9" t="s">
        <v>10</v>
      </c>
      <c r="G441" s="18" t="s">
        <v>421</v>
      </c>
    </row>
    <row r="442" spans="1:7" ht="22.5" customHeight="1">
      <c r="A442" s="4">
        <v>45961</v>
      </c>
      <c r="B442" s="210" t="s">
        <v>1599</v>
      </c>
      <c r="C442" s="14" t="s">
        <v>1600</v>
      </c>
      <c r="D442" s="7">
        <v>63600</v>
      </c>
      <c r="E442" s="8"/>
      <c r="F442" s="9" t="s">
        <v>10</v>
      </c>
      <c r="G442" s="18" t="s">
        <v>421</v>
      </c>
    </row>
    <row r="443" spans="1:7" ht="22.5" customHeight="1">
      <c r="A443" s="214"/>
      <c r="B443" s="215" t="s">
        <v>1601</v>
      </c>
      <c r="C443" s="216"/>
      <c r="D443" s="217"/>
      <c r="E443" s="218"/>
      <c r="F443" s="216"/>
      <c r="G443" s="219"/>
    </row>
    <row r="444" spans="1:7" ht="20.25" customHeight="1">
      <c r="A444" s="4">
        <v>45962</v>
      </c>
      <c r="B444" s="5" t="s">
        <v>1602</v>
      </c>
      <c r="C444" s="14" t="s">
        <v>1603</v>
      </c>
      <c r="D444" s="7">
        <v>61500</v>
      </c>
      <c r="E444" s="8"/>
      <c r="F444" s="9" t="s">
        <v>10</v>
      </c>
      <c r="G444" s="18" t="s">
        <v>421</v>
      </c>
    </row>
    <row r="445" spans="1:7" ht="19.5" customHeight="1">
      <c r="A445" s="4">
        <v>45962</v>
      </c>
      <c r="B445" s="10" t="s">
        <v>619</v>
      </c>
      <c r="C445" s="14" t="s">
        <v>1604</v>
      </c>
      <c r="D445" s="7">
        <v>79100</v>
      </c>
      <c r="E445" s="8"/>
      <c r="F445" s="9" t="s">
        <v>10</v>
      </c>
      <c r="G445" s="18" t="s">
        <v>371</v>
      </c>
    </row>
    <row r="446" spans="1:7" ht="18" customHeight="1">
      <c r="A446" s="4">
        <v>45962</v>
      </c>
      <c r="B446" s="5" t="s">
        <v>1171</v>
      </c>
      <c r="C446" s="14" t="s">
        <v>1605</v>
      </c>
      <c r="D446" s="7">
        <v>136300</v>
      </c>
      <c r="E446" s="8"/>
      <c r="F446" s="9" t="s">
        <v>10</v>
      </c>
      <c r="G446" s="18" t="s">
        <v>371</v>
      </c>
    </row>
    <row r="447" spans="1:7" ht="20.25" customHeight="1">
      <c r="A447" s="4">
        <v>45962</v>
      </c>
      <c r="B447" s="5" t="s">
        <v>1606</v>
      </c>
      <c r="C447" s="14" t="s">
        <v>1607</v>
      </c>
      <c r="D447" s="7">
        <v>92660</v>
      </c>
      <c r="E447" s="8"/>
      <c r="F447" s="9" t="s">
        <v>16</v>
      </c>
      <c r="G447" s="18" t="s">
        <v>421</v>
      </c>
    </row>
    <row r="448" spans="1:7" ht="19.5" customHeight="1">
      <c r="A448" s="4">
        <v>45962</v>
      </c>
      <c r="B448" s="5" t="s">
        <v>1608</v>
      </c>
      <c r="C448" s="14" t="s">
        <v>1609</v>
      </c>
      <c r="D448" s="7">
        <v>111600</v>
      </c>
      <c r="E448" s="8"/>
      <c r="F448" s="9" t="s">
        <v>10</v>
      </c>
      <c r="G448" s="18" t="s">
        <v>421</v>
      </c>
    </row>
    <row r="449" spans="1:7" ht="21" customHeight="1">
      <c r="A449" s="4">
        <v>45965</v>
      </c>
      <c r="B449" s="5" t="s">
        <v>342</v>
      </c>
      <c r="C449" s="14" t="s">
        <v>1610</v>
      </c>
      <c r="D449" s="7">
        <v>487800</v>
      </c>
      <c r="E449" s="8"/>
      <c r="F449" s="9" t="s">
        <v>16</v>
      </c>
      <c r="G449" s="18" t="s">
        <v>371</v>
      </c>
    </row>
    <row r="450" spans="1:7" ht="18.75" customHeight="1">
      <c r="A450" s="4">
        <v>45965</v>
      </c>
      <c r="B450" s="9" t="s">
        <v>1611</v>
      </c>
      <c r="C450" s="14" t="s">
        <v>1612</v>
      </c>
      <c r="D450" s="7">
        <v>244500</v>
      </c>
      <c r="E450" s="8"/>
      <c r="F450" s="9" t="s">
        <v>10</v>
      </c>
      <c r="G450" s="18" t="s">
        <v>421</v>
      </c>
    </row>
    <row r="451" spans="1:7" ht="22.5" customHeight="1">
      <c r="A451" s="4">
        <v>45965</v>
      </c>
      <c r="B451" s="196" t="s">
        <v>111</v>
      </c>
      <c r="C451" s="14" t="s">
        <v>1613</v>
      </c>
      <c r="D451" s="7">
        <v>250500</v>
      </c>
      <c r="E451" s="8"/>
      <c r="F451" s="9" t="s">
        <v>7</v>
      </c>
      <c r="G451" s="18" t="s">
        <v>371</v>
      </c>
    </row>
    <row r="452" spans="1:7" ht="21.75" customHeight="1">
      <c r="A452" s="4">
        <v>45965</v>
      </c>
      <c r="B452" s="196" t="s">
        <v>76</v>
      </c>
      <c r="C452" s="14" t="s">
        <v>1614</v>
      </c>
      <c r="D452" s="7">
        <v>267300</v>
      </c>
      <c r="E452" s="8"/>
      <c r="F452" s="9" t="s">
        <v>7</v>
      </c>
      <c r="G452" s="18" t="s">
        <v>371</v>
      </c>
    </row>
    <row r="453" spans="1:7" ht="21" customHeight="1">
      <c r="A453" s="4">
        <v>45965</v>
      </c>
      <c r="B453" s="196" t="s">
        <v>1615</v>
      </c>
      <c r="C453" s="14" t="s">
        <v>1616</v>
      </c>
      <c r="D453" s="7">
        <v>72000</v>
      </c>
      <c r="E453" s="8"/>
      <c r="F453" s="9" t="s">
        <v>10</v>
      </c>
      <c r="G453" s="18" t="s">
        <v>942</v>
      </c>
    </row>
    <row r="454" spans="1:7" ht="22.5" customHeight="1">
      <c r="A454" s="4">
        <v>45965</v>
      </c>
      <c r="B454" s="9" t="s">
        <v>1617</v>
      </c>
      <c r="C454" s="14" t="s">
        <v>1618</v>
      </c>
      <c r="D454" s="7">
        <v>146430</v>
      </c>
      <c r="E454" s="8"/>
      <c r="F454" s="9" t="s">
        <v>10</v>
      </c>
      <c r="G454" s="18" t="s">
        <v>421</v>
      </c>
    </row>
    <row r="455" spans="1:7" ht="24" customHeight="1">
      <c r="A455" s="4">
        <v>45965</v>
      </c>
      <c r="B455" s="5" t="s">
        <v>1619</v>
      </c>
      <c r="C455" s="14" t="s">
        <v>1620</v>
      </c>
      <c r="D455" s="7">
        <v>41000</v>
      </c>
      <c r="E455" s="8"/>
      <c r="F455" s="9" t="s">
        <v>10</v>
      </c>
      <c r="G455" s="18" t="s">
        <v>421</v>
      </c>
    </row>
    <row r="456" spans="1:7" ht="23.25" customHeight="1">
      <c r="A456" s="4">
        <v>45965</v>
      </c>
      <c r="B456" s="5" t="s">
        <v>1621</v>
      </c>
      <c r="C456" s="14" t="s">
        <v>1622</v>
      </c>
      <c r="D456" s="7">
        <v>82500</v>
      </c>
      <c r="E456" s="8"/>
      <c r="F456" s="9" t="s">
        <v>10</v>
      </c>
      <c r="G456" s="18" t="s">
        <v>421</v>
      </c>
    </row>
    <row r="457" spans="1:7" ht="20.25" customHeight="1">
      <c r="A457" s="4">
        <v>45965</v>
      </c>
      <c r="B457" s="5" t="s">
        <v>1623</v>
      </c>
      <c r="C457" s="14" t="s">
        <v>1624</v>
      </c>
      <c r="D457" s="7">
        <v>66500</v>
      </c>
      <c r="E457" s="8"/>
      <c r="F457" s="9" t="s">
        <v>10</v>
      </c>
      <c r="G457" s="18" t="s">
        <v>421</v>
      </c>
    </row>
    <row r="458" spans="1:7" ht="20.25" customHeight="1">
      <c r="A458" s="4">
        <v>45965</v>
      </c>
      <c r="B458" s="5" t="s">
        <v>1625</v>
      </c>
      <c r="C458" s="14" t="s">
        <v>1626</v>
      </c>
      <c r="D458" s="7">
        <v>153100</v>
      </c>
      <c r="E458" s="8"/>
      <c r="F458" s="9" t="s">
        <v>10</v>
      </c>
      <c r="G458" s="18" t="s">
        <v>421</v>
      </c>
    </row>
    <row r="459" spans="1:7" ht="20.25" customHeight="1">
      <c r="A459" s="4">
        <v>45965</v>
      </c>
      <c r="B459" s="5" t="s">
        <v>1627</v>
      </c>
      <c r="C459" s="14" t="s">
        <v>1628</v>
      </c>
      <c r="D459" s="7">
        <v>121800</v>
      </c>
      <c r="E459" s="8"/>
      <c r="F459" s="9" t="s">
        <v>10</v>
      </c>
      <c r="G459" s="18" t="s">
        <v>421</v>
      </c>
    </row>
    <row r="460" spans="1:7" ht="19.5" customHeight="1">
      <c r="A460" s="4">
        <v>45965</v>
      </c>
      <c r="B460" s="5" t="s">
        <v>1629</v>
      </c>
      <c r="C460" s="14" t="s">
        <v>1630</v>
      </c>
      <c r="D460" s="7">
        <v>118940</v>
      </c>
      <c r="E460" s="8"/>
      <c r="F460" s="9" t="s">
        <v>10</v>
      </c>
      <c r="G460" s="18" t="s">
        <v>1631</v>
      </c>
    </row>
    <row r="461" spans="1:7" ht="20.25" customHeight="1">
      <c r="A461" s="4">
        <v>45965</v>
      </c>
      <c r="B461" s="5" t="s">
        <v>1632</v>
      </c>
      <c r="C461" s="14" t="s">
        <v>1633</v>
      </c>
      <c r="D461" s="7">
        <v>32600</v>
      </c>
      <c r="E461" s="8"/>
      <c r="F461" s="9" t="s">
        <v>10</v>
      </c>
      <c r="G461" s="18" t="s">
        <v>421</v>
      </c>
    </row>
    <row r="462" spans="1:7" ht="23.25" customHeight="1">
      <c r="A462" s="4">
        <v>45965</v>
      </c>
      <c r="B462" s="5" t="s">
        <v>1634</v>
      </c>
      <c r="C462" s="14" t="s">
        <v>1635</v>
      </c>
      <c r="D462" s="7">
        <v>113985</v>
      </c>
      <c r="E462" s="8"/>
      <c r="F462" s="9" t="s">
        <v>10</v>
      </c>
      <c r="G462" s="18" t="s">
        <v>421</v>
      </c>
    </row>
    <row r="463" spans="1:7" ht="22.5" customHeight="1">
      <c r="A463" s="4">
        <v>45965</v>
      </c>
      <c r="B463" s="5" t="s">
        <v>1636</v>
      </c>
      <c r="C463" s="14" t="s">
        <v>1637</v>
      </c>
      <c r="D463" s="7">
        <v>121975</v>
      </c>
      <c r="E463" s="8"/>
      <c r="F463" s="9" t="s">
        <v>10</v>
      </c>
      <c r="G463" s="18" t="s">
        <v>421</v>
      </c>
    </row>
    <row r="464" spans="1:7" ht="22.5" customHeight="1">
      <c r="A464" s="4">
        <v>45965</v>
      </c>
      <c r="B464" s="5" t="s">
        <v>1638</v>
      </c>
      <c r="C464" s="14" t="s">
        <v>1639</v>
      </c>
      <c r="D464" s="7">
        <v>115500</v>
      </c>
      <c r="E464" s="8"/>
      <c r="F464" s="9" t="s">
        <v>10</v>
      </c>
      <c r="G464" s="18" t="s">
        <v>421</v>
      </c>
    </row>
    <row r="465" spans="1:7" ht="21" customHeight="1">
      <c r="A465" s="4">
        <v>45965</v>
      </c>
      <c r="B465" s="5" t="s">
        <v>1640</v>
      </c>
      <c r="C465" s="14" t="s">
        <v>1641</v>
      </c>
      <c r="D465" s="7">
        <v>210000</v>
      </c>
      <c r="E465" s="8"/>
      <c r="F465" s="9" t="s">
        <v>10</v>
      </c>
      <c r="G465" s="18" t="s">
        <v>421</v>
      </c>
    </row>
    <row r="466" spans="1:7" ht="21.75" customHeight="1">
      <c r="A466" s="4">
        <v>45965</v>
      </c>
      <c r="B466" s="5" t="s">
        <v>1642</v>
      </c>
      <c r="C466" s="14" t="s">
        <v>1643</v>
      </c>
      <c r="D466" s="7">
        <v>114600</v>
      </c>
      <c r="E466" s="8"/>
      <c r="F466" s="9" t="s">
        <v>10</v>
      </c>
      <c r="G466" s="18" t="s">
        <v>421</v>
      </c>
    </row>
    <row r="467" spans="1:7" ht="19.5" customHeight="1">
      <c r="A467" s="4">
        <v>45965</v>
      </c>
      <c r="B467" s="5" t="s">
        <v>1644</v>
      </c>
      <c r="C467" s="14" t="s">
        <v>1645</v>
      </c>
      <c r="D467" s="7">
        <v>68600</v>
      </c>
      <c r="E467" s="8"/>
      <c r="F467" s="9" t="s">
        <v>10</v>
      </c>
      <c r="G467" s="18" t="s">
        <v>421</v>
      </c>
    </row>
    <row r="468" spans="1:7" ht="22.5" customHeight="1">
      <c r="A468" s="4">
        <v>45965</v>
      </c>
      <c r="B468" s="5" t="s">
        <v>1646</v>
      </c>
      <c r="C468" s="14" t="s">
        <v>1647</v>
      </c>
      <c r="D468" s="7">
        <v>330100</v>
      </c>
      <c r="E468" s="8"/>
      <c r="F468" s="9" t="s">
        <v>10</v>
      </c>
      <c r="G468" s="18" t="s">
        <v>421</v>
      </c>
    </row>
    <row r="469" spans="1:7" ht="18" customHeight="1">
      <c r="A469" s="4">
        <v>45965</v>
      </c>
      <c r="B469" s="5" t="s">
        <v>1648</v>
      </c>
      <c r="C469" s="14" t="s">
        <v>1649</v>
      </c>
      <c r="D469" s="7">
        <v>120000</v>
      </c>
      <c r="E469" s="8"/>
      <c r="F469" s="9" t="s">
        <v>10</v>
      </c>
      <c r="G469" s="18" t="s">
        <v>371</v>
      </c>
    </row>
    <row r="470" spans="1:7" ht="20.25" customHeight="1">
      <c r="A470" s="4">
        <v>45965</v>
      </c>
      <c r="B470" s="197" t="s">
        <v>1650</v>
      </c>
      <c r="C470" s="14" t="s">
        <v>1651</v>
      </c>
      <c r="D470" s="7">
        <v>93200</v>
      </c>
      <c r="E470" s="8"/>
      <c r="F470" s="9" t="s">
        <v>10</v>
      </c>
      <c r="G470" s="18" t="s">
        <v>421</v>
      </c>
    </row>
    <row r="471" spans="1:7" ht="21" customHeight="1">
      <c r="A471" s="4">
        <v>45965</v>
      </c>
      <c r="B471" s="5" t="s">
        <v>1652</v>
      </c>
      <c r="C471" s="14" t="s">
        <v>1653</v>
      </c>
      <c r="D471" s="7">
        <v>136000</v>
      </c>
      <c r="E471" s="8"/>
      <c r="F471" s="9" t="s">
        <v>10</v>
      </c>
      <c r="G471" s="18" t="s">
        <v>421</v>
      </c>
    </row>
    <row r="472" spans="1:7" ht="19.5" customHeight="1">
      <c r="A472" s="4">
        <v>45965</v>
      </c>
      <c r="B472" s="5" t="s">
        <v>290</v>
      </c>
      <c r="C472" s="14" t="s">
        <v>1654</v>
      </c>
      <c r="D472" s="7">
        <v>318420</v>
      </c>
      <c r="E472" s="8"/>
      <c r="F472" s="9" t="s">
        <v>10</v>
      </c>
      <c r="G472" s="18" t="s">
        <v>371</v>
      </c>
    </row>
    <row r="473" spans="1:7" ht="22.5" customHeight="1">
      <c r="A473" s="4">
        <v>45965</v>
      </c>
      <c r="B473" s="9" t="s">
        <v>1655</v>
      </c>
      <c r="C473" s="14" t="s">
        <v>1656</v>
      </c>
      <c r="D473" s="7">
        <v>119000</v>
      </c>
      <c r="E473" s="8"/>
      <c r="F473" s="9" t="s">
        <v>10</v>
      </c>
      <c r="G473" s="18" t="s">
        <v>371</v>
      </c>
    </row>
    <row r="474" spans="1:7" ht="22.5" customHeight="1">
      <c r="A474" s="4">
        <v>45965</v>
      </c>
      <c r="B474" s="5" t="s">
        <v>25</v>
      </c>
      <c r="C474" s="14" t="s">
        <v>1657</v>
      </c>
      <c r="D474" s="7">
        <v>634500</v>
      </c>
      <c r="E474" s="8"/>
      <c r="F474" s="9" t="s">
        <v>10</v>
      </c>
      <c r="G474" s="18" t="s">
        <v>371</v>
      </c>
    </row>
    <row r="475" spans="1:7" ht="21.75" customHeight="1">
      <c r="A475" s="4">
        <v>45965</v>
      </c>
      <c r="B475" s="5" t="s">
        <v>1658</v>
      </c>
      <c r="C475" s="14" t="s">
        <v>1659</v>
      </c>
      <c r="D475" s="7">
        <v>112410</v>
      </c>
      <c r="E475" s="8"/>
      <c r="F475" s="9" t="s">
        <v>10</v>
      </c>
      <c r="G475" s="18" t="s">
        <v>421</v>
      </c>
    </row>
    <row r="476" spans="1:7" ht="23.25" customHeight="1">
      <c r="A476" s="4">
        <v>45965</v>
      </c>
      <c r="B476" s="5" t="s">
        <v>1660</v>
      </c>
      <c r="C476" s="14" t="s">
        <v>1661</v>
      </c>
      <c r="D476" s="7">
        <v>88550</v>
      </c>
      <c r="E476" s="8"/>
      <c r="F476" s="9" t="s">
        <v>10</v>
      </c>
      <c r="G476" s="18" t="s">
        <v>421</v>
      </c>
    </row>
    <row r="477" spans="1:7" ht="21.75" customHeight="1">
      <c r="A477" s="4">
        <v>45965</v>
      </c>
      <c r="B477" s="5" t="s">
        <v>1662</v>
      </c>
      <c r="C477" s="14" t="s">
        <v>1663</v>
      </c>
      <c r="D477" s="7">
        <v>174960</v>
      </c>
      <c r="E477" s="8"/>
      <c r="F477" s="9" t="s">
        <v>10</v>
      </c>
      <c r="G477" s="18" t="s">
        <v>421</v>
      </c>
    </row>
    <row r="478" spans="1:7" ht="18.75" customHeight="1">
      <c r="A478" s="4">
        <v>45965</v>
      </c>
      <c r="B478" s="5" t="s">
        <v>1664</v>
      </c>
      <c r="C478" s="14" t="s">
        <v>1665</v>
      </c>
      <c r="D478" s="7">
        <v>97700</v>
      </c>
      <c r="E478" s="8"/>
      <c r="F478" s="9" t="s">
        <v>10</v>
      </c>
      <c r="G478" s="18" t="s">
        <v>421</v>
      </c>
    </row>
    <row r="479" spans="1:7" ht="23.25" customHeight="1">
      <c r="A479" s="4">
        <v>45965</v>
      </c>
      <c r="B479" s="5" t="s">
        <v>256</v>
      </c>
      <c r="C479" s="14" t="s">
        <v>1666</v>
      </c>
      <c r="D479" s="7">
        <v>120500</v>
      </c>
      <c r="E479" s="8"/>
      <c r="F479" s="9" t="s">
        <v>10</v>
      </c>
      <c r="G479" s="18" t="s">
        <v>371</v>
      </c>
    </row>
    <row r="480" spans="1:7" ht="19.5" customHeight="1">
      <c r="A480" s="4">
        <v>45965</v>
      </c>
      <c r="B480" s="5" t="s">
        <v>1667</v>
      </c>
      <c r="C480" s="202" t="s">
        <v>1668</v>
      </c>
      <c r="D480" s="7">
        <v>88300</v>
      </c>
      <c r="E480" s="8"/>
      <c r="F480" s="9" t="s">
        <v>10</v>
      </c>
      <c r="G480" s="18" t="s">
        <v>421</v>
      </c>
    </row>
    <row r="481" spans="1:7" ht="23.25" customHeight="1">
      <c r="A481" s="4">
        <v>45965</v>
      </c>
      <c r="B481" s="5" t="s">
        <v>1669</v>
      </c>
      <c r="C481" s="14" t="s">
        <v>1670</v>
      </c>
      <c r="D481" s="7">
        <v>119100</v>
      </c>
      <c r="E481" s="8"/>
      <c r="F481" s="9" t="s">
        <v>10</v>
      </c>
      <c r="G481" s="18" t="s">
        <v>421</v>
      </c>
    </row>
    <row r="482" spans="1:7" ht="23.25" customHeight="1">
      <c r="A482" s="4">
        <v>45966</v>
      </c>
      <c r="B482" s="5" t="s">
        <v>1671</v>
      </c>
      <c r="C482" s="14" t="s">
        <v>1672</v>
      </c>
      <c r="D482" s="7">
        <v>138510</v>
      </c>
      <c r="E482" s="8"/>
      <c r="F482" s="9" t="s">
        <v>10</v>
      </c>
      <c r="G482" s="18" t="s">
        <v>421</v>
      </c>
    </row>
    <row r="483" spans="1:7" ht="22.5" customHeight="1">
      <c r="A483" s="4">
        <v>45966</v>
      </c>
      <c r="B483" s="9" t="s">
        <v>1673</v>
      </c>
      <c r="C483" s="14" t="s">
        <v>1674</v>
      </c>
      <c r="D483" s="7">
        <v>166000</v>
      </c>
      <c r="E483" s="8"/>
      <c r="F483" s="9" t="s">
        <v>16</v>
      </c>
      <c r="G483" s="18" t="s">
        <v>942</v>
      </c>
    </row>
    <row r="484" spans="1:7" ht="22.5" customHeight="1">
      <c r="A484" s="4">
        <v>45966</v>
      </c>
      <c r="B484" s="196" t="s">
        <v>422</v>
      </c>
      <c r="C484" s="14" t="s">
        <v>1675</v>
      </c>
      <c r="D484" s="7">
        <v>173500</v>
      </c>
      <c r="E484" s="8"/>
      <c r="F484" s="9" t="s">
        <v>7</v>
      </c>
      <c r="G484" s="18" t="s">
        <v>371</v>
      </c>
    </row>
    <row r="485" spans="1:7" ht="22.5" customHeight="1">
      <c r="A485" s="4">
        <v>45966</v>
      </c>
      <c r="B485" s="10" t="s">
        <v>156</v>
      </c>
      <c r="C485" s="14" t="s">
        <v>1676</v>
      </c>
      <c r="D485" s="7">
        <v>157500</v>
      </c>
      <c r="E485" s="8"/>
      <c r="F485" s="9" t="s">
        <v>10</v>
      </c>
      <c r="G485" s="18" t="s">
        <v>371</v>
      </c>
    </row>
    <row r="486" spans="1:7" ht="24.75" customHeight="1">
      <c r="A486" s="4">
        <v>45966</v>
      </c>
      <c r="B486" s="5" t="s">
        <v>1444</v>
      </c>
      <c r="C486" s="14" t="s">
        <v>1677</v>
      </c>
      <c r="D486" s="7">
        <v>140500</v>
      </c>
      <c r="E486" s="8"/>
      <c r="F486" s="9" t="s">
        <v>21</v>
      </c>
      <c r="G486" s="18" t="s">
        <v>371</v>
      </c>
    </row>
    <row r="487" spans="1:7" ht="22.5" customHeight="1">
      <c r="A487" s="4">
        <v>45966</v>
      </c>
      <c r="B487" s="5" t="s">
        <v>1678</v>
      </c>
      <c r="C487" s="14" t="s">
        <v>1679</v>
      </c>
      <c r="D487" s="7">
        <v>103600</v>
      </c>
      <c r="E487" s="8"/>
      <c r="F487" s="9" t="s">
        <v>10</v>
      </c>
      <c r="G487" s="18" t="s">
        <v>942</v>
      </c>
    </row>
    <row r="488" spans="1:7" ht="22.5" customHeight="1">
      <c r="A488" s="4">
        <v>45966</v>
      </c>
      <c r="B488" s="5" t="s">
        <v>46</v>
      </c>
      <c r="C488" s="14" t="s">
        <v>1680</v>
      </c>
      <c r="D488" s="7">
        <v>133000</v>
      </c>
      <c r="E488" s="8"/>
      <c r="F488" s="9" t="s">
        <v>21</v>
      </c>
      <c r="G488" s="18" t="s">
        <v>371</v>
      </c>
    </row>
    <row r="489" spans="1:7" ht="27" customHeight="1">
      <c r="A489" s="4">
        <v>45966</v>
      </c>
      <c r="B489" s="5" t="s">
        <v>1372</v>
      </c>
      <c r="C489" s="14" t="s">
        <v>1681</v>
      </c>
      <c r="D489" s="7">
        <v>170200</v>
      </c>
      <c r="E489" s="8"/>
      <c r="F489" s="9" t="s">
        <v>10</v>
      </c>
      <c r="G489" s="18" t="s">
        <v>371</v>
      </c>
    </row>
    <row r="490" spans="1:7" ht="22.5" customHeight="1">
      <c r="A490" s="4">
        <v>45966</v>
      </c>
      <c r="B490" s="5" t="s">
        <v>680</v>
      </c>
      <c r="C490" s="14" t="s">
        <v>1682</v>
      </c>
      <c r="D490" s="7">
        <v>118600</v>
      </c>
      <c r="E490" s="8"/>
      <c r="F490" s="9" t="s">
        <v>10</v>
      </c>
      <c r="G490" s="18" t="s">
        <v>421</v>
      </c>
    </row>
    <row r="491" spans="1:7" ht="22.5" customHeight="1">
      <c r="A491" s="4">
        <v>45966</v>
      </c>
      <c r="B491" s="5" t="s">
        <v>1683</v>
      </c>
      <c r="C491" s="14" t="s">
        <v>1684</v>
      </c>
      <c r="D491" s="7">
        <v>120275</v>
      </c>
      <c r="E491" s="8"/>
      <c r="F491" s="9" t="s">
        <v>16</v>
      </c>
      <c r="G491" s="18" t="s">
        <v>421</v>
      </c>
    </row>
    <row r="492" spans="1:7" ht="27" customHeight="1">
      <c r="A492" s="4">
        <v>45966</v>
      </c>
      <c r="B492" s="5" t="s">
        <v>1042</v>
      </c>
      <c r="C492" s="14" t="s">
        <v>1685</v>
      </c>
      <c r="D492" s="7">
        <v>139500</v>
      </c>
      <c r="E492" s="8"/>
      <c r="F492" s="9" t="s">
        <v>16</v>
      </c>
      <c r="G492" s="18" t="s">
        <v>371</v>
      </c>
    </row>
    <row r="493" spans="1:7" ht="20.25" customHeight="1">
      <c r="A493" s="4">
        <v>45966</v>
      </c>
      <c r="B493" s="5" t="s">
        <v>1686</v>
      </c>
      <c r="C493" s="14" t="s">
        <v>1687</v>
      </c>
      <c r="D493" s="7">
        <v>193500</v>
      </c>
      <c r="E493" s="8"/>
      <c r="F493" s="9" t="s">
        <v>10</v>
      </c>
      <c r="G493" s="18" t="s">
        <v>421</v>
      </c>
    </row>
    <row r="494" spans="1:7" ht="24.75" customHeight="1">
      <c r="A494" s="4">
        <v>45966</v>
      </c>
      <c r="B494" s="5" t="s">
        <v>1688</v>
      </c>
      <c r="C494" s="14" t="s">
        <v>1689</v>
      </c>
      <c r="D494" s="7">
        <v>70200</v>
      </c>
      <c r="E494" s="8"/>
      <c r="F494" s="9" t="s">
        <v>10</v>
      </c>
      <c r="G494" s="18" t="s">
        <v>421</v>
      </c>
    </row>
    <row r="495" spans="1:7" ht="23.25" customHeight="1">
      <c r="A495" s="4">
        <v>45966</v>
      </c>
      <c r="B495" s="5" t="s">
        <v>1690</v>
      </c>
      <c r="C495" s="14" t="s">
        <v>1691</v>
      </c>
      <c r="D495" s="7">
        <v>237500</v>
      </c>
      <c r="E495" s="8"/>
      <c r="F495" s="9" t="s">
        <v>10</v>
      </c>
      <c r="G495" s="18" t="s">
        <v>421</v>
      </c>
    </row>
    <row r="496" spans="1:7" ht="22.5" customHeight="1">
      <c r="A496" s="4">
        <v>45966</v>
      </c>
      <c r="B496" s="5" t="s">
        <v>1334</v>
      </c>
      <c r="C496" s="14" t="s">
        <v>1692</v>
      </c>
      <c r="D496" s="7">
        <v>399075</v>
      </c>
      <c r="E496" s="8"/>
      <c r="F496" s="9" t="s">
        <v>10</v>
      </c>
      <c r="G496" s="18" t="s">
        <v>371</v>
      </c>
    </row>
    <row r="497" spans="1:7" ht="22.5" customHeight="1">
      <c r="A497" s="4">
        <v>45966</v>
      </c>
      <c r="B497" s="5" t="s">
        <v>1094</v>
      </c>
      <c r="C497" s="14" t="s">
        <v>1693</v>
      </c>
      <c r="D497" s="7">
        <v>123000</v>
      </c>
      <c r="E497" s="8"/>
      <c r="F497" s="9" t="s">
        <v>10</v>
      </c>
      <c r="G497" s="18" t="s">
        <v>371</v>
      </c>
    </row>
    <row r="498" spans="1:7" ht="21" customHeight="1">
      <c r="A498" s="4">
        <v>45966</v>
      </c>
      <c r="B498" s="5" t="s">
        <v>31</v>
      </c>
      <c r="C498" s="14" t="s">
        <v>1694</v>
      </c>
      <c r="D498" s="7">
        <v>235100</v>
      </c>
      <c r="E498" s="8"/>
      <c r="F498" s="9" t="s">
        <v>10</v>
      </c>
      <c r="G498" s="18" t="s">
        <v>371</v>
      </c>
    </row>
    <row r="499" spans="1:7" ht="22.5" customHeight="1">
      <c r="A499" s="4">
        <v>45967</v>
      </c>
      <c r="B499" s="10" t="s">
        <v>530</v>
      </c>
      <c r="C499" s="14" t="s">
        <v>1695</v>
      </c>
      <c r="D499" s="7">
        <v>199500</v>
      </c>
      <c r="E499" s="8"/>
      <c r="F499" s="9" t="s">
        <v>7</v>
      </c>
      <c r="G499" s="18" t="s">
        <v>371</v>
      </c>
    </row>
    <row r="500" spans="1:7" ht="22.5" customHeight="1">
      <c r="A500" s="4">
        <v>45967</v>
      </c>
      <c r="B500" s="10" t="s">
        <v>124</v>
      </c>
      <c r="C500" s="14" t="s">
        <v>1696</v>
      </c>
      <c r="D500" s="7">
        <v>195000</v>
      </c>
      <c r="E500" s="8"/>
      <c r="F500" s="9" t="s">
        <v>7</v>
      </c>
      <c r="G500" s="18" t="s">
        <v>371</v>
      </c>
    </row>
    <row r="501" spans="1:7" ht="23.25" customHeight="1">
      <c r="A501" s="4">
        <v>45967</v>
      </c>
      <c r="B501" s="5" t="s">
        <v>336</v>
      </c>
      <c r="C501" s="14" t="s">
        <v>1697</v>
      </c>
      <c r="D501" s="7">
        <v>94800</v>
      </c>
      <c r="E501" s="8"/>
      <c r="F501" s="9" t="s">
        <v>7</v>
      </c>
      <c r="G501" s="18" t="s">
        <v>371</v>
      </c>
    </row>
    <row r="502" spans="1:7" ht="22.5" customHeight="1">
      <c r="A502" s="4">
        <v>45967</v>
      </c>
      <c r="B502" s="5" t="s">
        <v>1315</v>
      </c>
      <c r="C502" s="14" t="s">
        <v>1698</v>
      </c>
      <c r="D502" s="7">
        <v>227400</v>
      </c>
      <c r="E502" s="8"/>
      <c r="F502" s="9" t="s">
        <v>7</v>
      </c>
      <c r="G502" s="18" t="s">
        <v>371</v>
      </c>
    </row>
    <row r="503" spans="1:7" ht="22.5" customHeight="1">
      <c r="A503" s="4">
        <v>45967</v>
      </c>
      <c r="B503" s="10" t="s">
        <v>1699</v>
      </c>
      <c r="C503" s="14" t="s">
        <v>1700</v>
      </c>
      <c r="D503" s="7">
        <v>83000</v>
      </c>
      <c r="E503" s="8"/>
      <c r="F503" s="9" t="s">
        <v>10</v>
      </c>
      <c r="G503" s="18" t="s">
        <v>371</v>
      </c>
    </row>
    <row r="504" spans="1:7" ht="22.5" customHeight="1">
      <c r="A504" s="4">
        <v>45967</v>
      </c>
      <c r="B504" s="10" t="s">
        <v>1701</v>
      </c>
      <c r="C504" s="14" t="s">
        <v>1702</v>
      </c>
      <c r="D504" s="7">
        <v>93500</v>
      </c>
      <c r="E504" s="8"/>
      <c r="F504" s="9" t="s">
        <v>7</v>
      </c>
      <c r="G504" s="18" t="s">
        <v>371</v>
      </c>
    </row>
    <row r="505" spans="1:7" ht="18.75" customHeight="1">
      <c r="A505" s="4">
        <v>45967</v>
      </c>
      <c r="B505" s="5" t="s">
        <v>1703</v>
      </c>
      <c r="C505" s="14" t="s">
        <v>1704</v>
      </c>
      <c r="D505" s="7">
        <v>128415</v>
      </c>
      <c r="E505" s="8"/>
      <c r="F505" s="9" t="s">
        <v>10</v>
      </c>
      <c r="G505" s="18" t="s">
        <v>421</v>
      </c>
    </row>
    <row r="506" spans="1:7" ht="22.5" customHeight="1">
      <c r="A506" s="4">
        <v>45967</v>
      </c>
      <c r="B506" s="10" t="s">
        <v>70</v>
      </c>
      <c r="C506" s="14" t="s">
        <v>1705</v>
      </c>
      <c r="D506" s="7">
        <v>310000</v>
      </c>
      <c r="E506" s="8"/>
      <c r="F506" s="9" t="s">
        <v>10</v>
      </c>
      <c r="G506" s="18" t="s">
        <v>371</v>
      </c>
    </row>
    <row r="507" spans="1:7" ht="22.5" customHeight="1">
      <c r="A507" s="4">
        <v>45967</v>
      </c>
      <c r="B507" s="5" t="s">
        <v>1706</v>
      </c>
      <c r="C507" s="14" t="s">
        <v>1707</v>
      </c>
      <c r="D507" s="7">
        <v>117000</v>
      </c>
      <c r="E507" s="8"/>
      <c r="F507" s="9" t="s">
        <v>10</v>
      </c>
      <c r="G507" s="18" t="s">
        <v>421</v>
      </c>
    </row>
    <row r="508" spans="1:7" ht="22.5" customHeight="1">
      <c r="A508" s="4">
        <v>45967</v>
      </c>
      <c r="B508" s="5" t="s">
        <v>173</v>
      </c>
      <c r="C508" s="14" t="s">
        <v>1708</v>
      </c>
      <c r="D508" s="7">
        <v>117000</v>
      </c>
      <c r="E508" s="8"/>
      <c r="F508" s="9" t="s">
        <v>10</v>
      </c>
      <c r="G508" s="18" t="s">
        <v>371</v>
      </c>
    </row>
    <row r="509" spans="1:7" ht="22.5" customHeight="1">
      <c r="A509" s="4">
        <v>45967</v>
      </c>
      <c r="B509" s="10" t="s">
        <v>387</v>
      </c>
      <c r="C509" s="14" t="s">
        <v>1709</v>
      </c>
      <c r="D509" s="7">
        <v>115500</v>
      </c>
      <c r="E509" s="8"/>
      <c r="F509" s="9" t="s">
        <v>10</v>
      </c>
      <c r="G509" s="18" t="s">
        <v>371</v>
      </c>
    </row>
    <row r="510" spans="1:7" ht="19.5" customHeight="1">
      <c r="A510" s="4">
        <v>45967</v>
      </c>
      <c r="B510" s="5" t="s">
        <v>1710</v>
      </c>
      <c r="C510" s="14" t="s">
        <v>1711</v>
      </c>
      <c r="D510" s="7">
        <v>119900</v>
      </c>
      <c r="E510" s="8"/>
      <c r="F510" s="9" t="s">
        <v>10</v>
      </c>
      <c r="G510" s="18" t="s">
        <v>421</v>
      </c>
    </row>
    <row r="511" spans="1:7" ht="20.25" customHeight="1">
      <c r="A511" s="4">
        <v>45967</v>
      </c>
      <c r="B511" s="5" t="s">
        <v>1712</v>
      </c>
      <c r="C511" s="14" t="s">
        <v>1713</v>
      </c>
      <c r="D511" s="7">
        <v>179200</v>
      </c>
      <c r="E511" s="8"/>
      <c r="F511" s="9" t="s">
        <v>10</v>
      </c>
      <c r="G511" s="18" t="s">
        <v>421</v>
      </c>
    </row>
    <row r="512" spans="1:7" ht="22.5" customHeight="1">
      <c r="A512" s="4">
        <v>45967</v>
      </c>
      <c r="B512" s="5" t="s">
        <v>1714</v>
      </c>
      <c r="C512" s="14" t="s">
        <v>1715</v>
      </c>
      <c r="D512" s="7">
        <v>117900</v>
      </c>
      <c r="E512" s="8"/>
      <c r="F512" s="9" t="s">
        <v>10</v>
      </c>
      <c r="G512" s="18" t="s">
        <v>421</v>
      </c>
    </row>
    <row r="513" spans="1:7" ht="22.5" customHeight="1">
      <c r="A513" s="4">
        <v>45967</v>
      </c>
      <c r="B513" s="5" t="s">
        <v>1716</v>
      </c>
      <c r="C513" s="14" t="s">
        <v>1717</v>
      </c>
      <c r="D513" s="7">
        <v>70000</v>
      </c>
      <c r="E513" s="8"/>
      <c r="F513" s="9" t="s">
        <v>10</v>
      </c>
      <c r="G513" s="18" t="s">
        <v>421</v>
      </c>
    </row>
    <row r="514" spans="1:7" ht="22.5" customHeight="1">
      <c r="A514" s="4">
        <v>45967</v>
      </c>
      <c r="B514" s="5" t="s">
        <v>1162</v>
      </c>
      <c r="C514" s="14" t="s">
        <v>1718</v>
      </c>
      <c r="D514" s="7">
        <v>240000</v>
      </c>
      <c r="E514" s="8"/>
      <c r="F514" s="9" t="s">
        <v>10</v>
      </c>
      <c r="G514" s="18" t="s">
        <v>371</v>
      </c>
    </row>
    <row r="515" spans="1:7" ht="23.25" customHeight="1">
      <c r="A515" s="4">
        <v>45968</v>
      </c>
      <c r="B515" s="5" t="s">
        <v>1719</v>
      </c>
      <c r="C515" s="14" t="s">
        <v>1720</v>
      </c>
      <c r="D515" s="7">
        <v>112590</v>
      </c>
      <c r="E515" s="8"/>
      <c r="F515" s="9" t="s">
        <v>10</v>
      </c>
      <c r="G515" s="18" t="s">
        <v>421</v>
      </c>
    </row>
    <row r="516" spans="1:7" ht="22.5" customHeight="1">
      <c r="A516" s="4">
        <v>45968</v>
      </c>
      <c r="B516" s="5" t="s">
        <v>12</v>
      </c>
      <c r="C516" s="14" t="s">
        <v>1721</v>
      </c>
      <c r="D516" s="7">
        <v>220900</v>
      </c>
      <c r="E516" s="8"/>
      <c r="F516" s="9" t="s">
        <v>10</v>
      </c>
      <c r="G516" s="18" t="s">
        <v>371</v>
      </c>
    </row>
    <row r="517" spans="1:7" ht="22.5" customHeight="1">
      <c r="A517" s="4">
        <v>45968</v>
      </c>
      <c r="B517" s="10" t="s">
        <v>1722</v>
      </c>
      <c r="C517" s="14" t="s">
        <v>1723</v>
      </c>
      <c r="D517" s="7">
        <v>105000</v>
      </c>
      <c r="E517" s="8"/>
      <c r="F517" s="9" t="s">
        <v>7</v>
      </c>
      <c r="G517" s="18" t="s">
        <v>371</v>
      </c>
    </row>
    <row r="518" spans="1:7" ht="24" customHeight="1">
      <c r="A518" s="4">
        <v>45968</v>
      </c>
      <c r="B518" s="5" t="s">
        <v>1724</v>
      </c>
      <c r="C518" s="14" t="s">
        <v>1725</v>
      </c>
      <c r="D518" s="7">
        <v>95000</v>
      </c>
      <c r="E518" s="8"/>
      <c r="F518" s="9" t="s">
        <v>7</v>
      </c>
      <c r="G518" s="18" t="s">
        <v>874</v>
      </c>
    </row>
    <row r="519" spans="1:7" ht="22.5" customHeight="1">
      <c r="A519" s="4">
        <v>45968</v>
      </c>
      <c r="B519" s="5" t="s">
        <v>144</v>
      </c>
      <c r="C519" s="14" t="s">
        <v>1726</v>
      </c>
      <c r="D519" s="7">
        <v>98500</v>
      </c>
      <c r="E519" s="8"/>
      <c r="F519" s="9" t="s">
        <v>7</v>
      </c>
      <c r="G519" s="18" t="s">
        <v>371</v>
      </c>
    </row>
    <row r="520" spans="1:7" ht="22.5" customHeight="1">
      <c r="A520" s="4">
        <v>45968</v>
      </c>
      <c r="B520" s="10" t="s">
        <v>323</v>
      </c>
      <c r="C520" s="14" t="s">
        <v>1727</v>
      </c>
      <c r="D520" s="7">
        <v>238000</v>
      </c>
      <c r="E520" s="8"/>
      <c r="F520" s="9" t="s">
        <v>21</v>
      </c>
      <c r="G520" s="18" t="s">
        <v>371</v>
      </c>
    </row>
    <row r="521" spans="1:7" ht="22.5" customHeight="1">
      <c r="A521" s="4">
        <v>45968</v>
      </c>
      <c r="B521" s="10" t="s">
        <v>34</v>
      </c>
      <c r="C521" s="14" t="s">
        <v>1728</v>
      </c>
      <c r="D521" s="7">
        <v>214500</v>
      </c>
      <c r="E521" s="8"/>
      <c r="F521" s="9" t="s">
        <v>10</v>
      </c>
      <c r="G521" s="18" t="s">
        <v>371</v>
      </c>
    </row>
    <row r="522" spans="1:7" ht="19.5" customHeight="1">
      <c r="A522" s="4">
        <v>45968</v>
      </c>
      <c r="B522" s="5" t="s">
        <v>988</v>
      </c>
      <c r="C522" s="14" t="s">
        <v>1729</v>
      </c>
      <c r="D522" s="7">
        <v>115500</v>
      </c>
      <c r="E522" s="8"/>
      <c r="F522" s="9" t="s">
        <v>10</v>
      </c>
      <c r="G522" s="18" t="s">
        <v>371</v>
      </c>
    </row>
    <row r="523" spans="1:7" ht="21" customHeight="1">
      <c r="A523" s="4">
        <v>45968</v>
      </c>
      <c r="B523" s="5" t="s">
        <v>1592</v>
      </c>
      <c r="C523" s="14" t="s">
        <v>1730</v>
      </c>
      <c r="D523" s="7">
        <v>87300</v>
      </c>
      <c r="E523" s="8"/>
      <c r="F523" s="9" t="s">
        <v>10</v>
      </c>
      <c r="G523" s="18" t="s">
        <v>371</v>
      </c>
    </row>
    <row r="524" spans="1:7" ht="22.5" customHeight="1">
      <c r="A524" s="4">
        <v>45968</v>
      </c>
      <c r="B524" s="5" t="s">
        <v>1731</v>
      </c>
      <c r="C524" s="14" t="s">
        <v>1732</v>
      </c>
      <c r="D524" s="7">
        <v>157050</v>
      </c>
      <c r="E524" s="8"/>
      <c r="F524" s="9" t="s">
        <v>10</v>
      </c>
      <c r="G524" s="18" t="s">
        <v>421</v>
      </c>
    </row>
    <row r="525" spans="1:7" ht="22.5" customHeight="1">
      <c r="A525" s="4">
        <v>45968</v>
      </c>
      <c r="B525" s="5" t="s">
        <v>1733</v>
      </c>
      <c r="C525" s="14" t="s">
        <v>1734</v>
      </c>
      <c r="D525" s="7">
        <v>130000</v>
      </c>
      <c r="E525" s="8"/>
      <c r="F525" s="9" t="s">
        <v>10</v>
      </c>
      <c r="G525" s="18" t="s">
        <v>421</v>
      </c>
    </row>
    <row r="526" spans="1:7" ht="21.75" customHeight="1">
      <c r="A526" s="4">
        <v>45968</v>
      </c>
      <c r="B526" s="5" t="s">
        <v>1177</v>
      </c>
      <c r="C526" s="14" t="s">
        <v>1735</v>
      </c>
      <c r="D526" s="7">
        <v>182000</v>
      </c>
      <c r="E526" s="8"/>
      <c r="F526" s="9" t="s">
        <v>10</v>
      </c>
      <c r="G526" s="18" t="s">
        <v>371</v>
      </c>
    </row>
    <row r="527" spans="1:7" ht="22.5" customHeight="1">
      <c r="A527" s="4">
        <v>45968</v>
      </c>
      <c r="B527" s="10" t="s">
        <v>1736</v>
      </c>
      <c r="C527" s="14" t="s">
        <v>1737</v>
      </c>
      <c r="D527" s="7">
        <v>83000</v>
      </c>
      <c r="E527" s="8"/>
      <c r="F527" s="9" t="s">
        <v>10</v>
      </c>
      <c r="G527" s="18" t="s">
        <v>371</v>
      </c>
    </row>
    <row r="528" spans="1:7" ht="24" customHeight="1">
      <c r="A528" s="4">
        <v>45968</v>
      </c>
      <c r="B528" s="5" t="s">
        <v>1264</v>
      </c>
      <c r="C528" s="14" t="s">
        <v>1738</v>
      </c>
      <c r="D528" s="7">
        <v>301500</v>
      </c>
      <c r="E528" s="8"/>
      <c r="F528" s="9" t="s">
        <v>10</v>
      </c>
      <c r="G528" s="18" t="s">
        <v>371</v>
      </c>
    </row>
    <row r="529" spans="1:7" ht="24" customHeight="1">
      <c r="A529" s="4">
        <v>45968</v>
      </c>
      <c r="B529" s="5" t="s">
        <v>1739</v>
      </c>
      <c r="C529" s="14" t="s">
        <v>1740</v>
      </c>
      <c r="D529" s="7">
        <v>165060</v>
      </c>
      <c r="E529" s="8"/>
      <c r="F529" s="9" t="s">
        <v>10</v>
      </c>
      <c r="G529" s="18" t="s">
        <v>371</v>
      </c>
    </row>
    <row r="530" spans="1:7" ht="21" customHeight="1">
      <c r="A530" s="220">
        <v>45954</v>
      </c>
      <c r="B530" s="5" t="s">
        <v>1739</v>
      </c>
      <c r="C530" s="14" t="s">
        <v>1741</v>
      </c>
      <c r="D530" s="7">
        <v>116240</v>
      </c>
      <c r="E530" s="8"/>
      <c r="F530" s="9" t="s">
        <v>10</v>
      </c>
      <c r="G530" s="18" t="s">
        <v>421</v>
      </c>
    </row>
    <row r="531" spans="1:7" ht="22.5" customHeight="1">
      <c r="A531" s="4">
        <v>45969</v>
      </c>
      <c r="B531" s="9" t="s">
        <v>1742</v>
      </c>
      <c r="C531" s="14" t="s">
        <v>1743</v>
      </c>
      <c r="D531" s="7">
        <v>72000</v>
      </c>
      <c r="E531" s="8"/>
      <c r="F531" s="9" t="s">
        <v>10</v>
      </c>
      <c r="G531" s="18" t="s">
        <v>371</v>
      </c>
    </row>
    <row r="532" spans="1:7" ht="18.75" customHeight="1">
      <c r="A532" s="4">
        <v>45969</v>
      </c>
      <c r="B532" s="5" t="s">
        <v>1744</v>
      </c>
      <c r="C532" s="14" t="s">
        <v>1745</v>
      </c>
      <c r="D532" s="7">
        <v>117000</v>
      </c>
      <c r="E532" s="8"/>
      <c r="F532" s="9" t="s">
        <v>10</v>
      </c>
      <c r="G532" s="18" t="s">
        <v>421</v>
      </c>
    </row>
    <row r="533" spans="1:7" ht="22.5" customHeight="1">
      <c r="A533" s="4">
        <v>45969</v>
      </c>
      <c r="B533" s="10" t="s">
        <v>295</v>
      </c>
      <c r="C533" s="14" t="s">
        <v>1746</v>
      </c>
      <c r="D533" s="7">
        <v>110500</v>
      </c>
      <c r="E533" s="8"/>
      <c r="F533" s="9" t="s">
        <v>10</v>
      </c>
      <c r="G533" s="18" t="s">
        <v>371</v>
      </c>
    </row>
    <row r="534" spans="1:7" ht="20.25" customHeight="1">
      <c r="A534" s="4">
        <v>45969</v>
      </c>
      <c r="B534" s="5" t="s">
        <v>1747</v>
      </c>
      <c r="C534" s="14" t="s">
        <v>1748</v>
      </c>
      <c r="D534" s="7">
        <v>93500</v>
      </c>
      <c r="E534" s="8"/>
      <c r="F534" s="9" t="s">
        <v>10</v>
      </c>
      <c r="G534" s="18" t="s">
        <v>421</v>
      </c>
    </row>
    <row r="535" spans="1:7" ht="18" customHeight="1">
      <c r="A535" s="4">
        <v>45969</v>
      </c>
      <c r="B535" s="5" t="s">
        <v>1749</v>
      </c>
      <c r="C535" s="14" t="s">
        <v>1750</v>
      </c>
      <c r="D535" s="7">
        <v>112700</v>
      </c>
      <c r="E535" s="8"/>
      <c r="F535" s="9" t="s">
        <v>10</v>
      </c>
      <c r="G535" s="18" t="s">
        <v>421</v>
      </c>
    </row>
    <row r="536" spans="1:7" ht="22.5" customHeight="1">
      <c r="A536" s="4">
        <v>45969</v>
      </c>
      <c r="B536" s="196" t="s">
        <v>1751</v>
      </c>
      <c r="C536" s="14" t="s">
        <v>1752</v>
      </c>
      <c r="D536" s="7">
        <v>119500</v>
      </c>
      <c r="E536" s="8"/>
      <c r="F536" s="9" t="s">
        <v>10</v>
      </c>
      <c r="G536" s="18" t="s">
        <v>371</v>
      </c>
    </row>
    <row r="537" spans="1:7" ht="22.5" customHeight="1">
      <c r="A537" s="4">
        <v>45969</v>
      </c>
      <c r="B537" s="221" t="s">
        <v>1753</v>
      </c>
      <c r="C537" s="14" t="s">
        <v>1754</v>
      </c>
      <c r="D537" s="7">
        <v>144000</v>
      </c>
      <c r="E537" s="8"/>
      <c r="F537" s="9" t="s">
        <v>7</v>
      </c>
      <c r="G537" s="18" t="s">
        <v>371</v>
      </c>
    </row>
    <row r="538" spans="1:7" ht="21.75" customHeight="1">
      <c r="A538" s="4">
        <v>45969</v>
      </c>
      <c r="B538" s="5" t="s">
        <v>1461</v>
      </c>
      <c r="C538" s="14" t="s">
        <v>1755</v>
      </c>
      <c r="D538" s="7">
        <v>117600</v>
      </c>
      <c r="E538" s="8"/>
      <c r="F538" s="9" t="s">
        <v>10</v>
      </c>
      <c r="G538" s="18" t="s">
        <v>371</v>
      </c>
    </row>
    <row r="539" spans="1:7" ht="23.25" customHeight="1">
      <c r="A539" s="4">
        <v>45969</v>
      </c>
      <c r="B539" s="5" t="s">
        <v>886</v>
      </c>
      <c r="C539" s="14" t="s">
        <v>1756</v>
      </c>
      <c r="D539" s="7">
        <v>113800</v>
      </c>
      <c r="E539" s="8"/>
      <c r="F539" s="9" t="s">
        <v>10</v>
      </c>
      <c r="G539" s="18" t="s">
        <v>371</v>
      </c>
    </row>
    <row r="540" spans="1:7" ht="22.5" customHeight="1">
      <c r="A540" s="4">
        <v>45969</v>
      </c>
      <c r="B540" s="5" t="s">
        <v>1757</v>
      </c>
      <c r="C540" s="14" t="s">
        <v>1758</v>
      </c>
      <c r="D540" s="7">
        <v>111500</v>
      </c>
      <c r="E540" s="8"/>
      <c r="F540" s="9" t="s">
        <v>10</v>
      </c>
      <c r="G540" s="18" t="s">
        <v>421</v>
      </c>
    </row>
    <row r="541" spans="1:7" ht="24" customHeight="1">
      <c r="A541" s="4">
        <v>45969</v>
      </c>
      <c r="B541" s="5" t="s">
        <v>1759</v>
      </c>
      <c r="C541" s="14" t="s">
        <v>1760</v>
      </c>
      <c r="D541" s="7">
        <v>100300</v>
      </c>
      <c r="E541" s="8"/>
      <c r="F541" s="9" t="s">
        <v>10</v>
      </c>
      <c r="G541" s="18" t="s">
        <v>421</v>
      </c>
    </row>
    <row r="542" spans="1:7" ht="22.5" customHeight="1">
      <c r="A542" s="4">
        <v>45969</v>
      </c>
      <c r="B542" s="222" t="s">
        <v>403</v>
      </c>
      <c r="C542" s="14" t="s">
        <v>1761</v>
      </c>
      <c r="D542" s="7">
        <v>219500</v>
      </c>
      <c r="E542" s="8"/>
      <c r="F542" s="9" t="s">
        <v>7</v>
      </c>
      <c r="G542" s="18" t="s">
        <v>371</v>
      </c>
    </row>
    <row r="543" spans="1:7" ht="19.5" customHeight="1">
      <c r="A543" s="4">
        <v>45971</v>
      </c>
      <c r="B543" s="9" t="s">
        <v>1762</v>
      </c>
      <c r="C543" s="14" t="s">
        <v>1763</v>
      </c>
      <c r="D543" s="7">
        <v>56000</v>
      </c>
      <c r="E543" s="8"/>
      <c r="F543" s="9" t="s">
        <v>10</v>
      </c>
      <c r="G543" s="18" t="s">
        <v>421</v>
      </c>
    </row>
    <row r="544" spans="1:7" ht="22.5" customHeight="1">
      <c r="A544" s="4">
        <v>45971</v>
      </c>
      <c r="B544" s="10" t="s">
        <v>1764</v>
      </c>
      <c r="C544" s="14" t="s">
        <v>1765</v>
      </c>
      <c r="D544" s="7">
        <v>117700</v>
      </c>
      <c r="E544" s="8"/>
      <c r="F544" s="9" t="s">
        <v>7</v>
      </c>
      <c r="G544" s="18" t="s">
        <v>371</v>
      </c>
    </row>
    <row r="545" spans="1:7" ht="22.5" customHeight="1">
      <c r="A545" s="4">
        <v>45971</v>
      </c>
      <c r="B545" s="5" t="s">
        <v>1271</v>
      </c>
      <c r="C545" s="14" t="s">
        <v>1766</v>
      </c>
      <c r="D545" s="7">
        <v>212000</v>
      </c>
      <c r="E545" s="8"/>
      <c r="F545" s="9" t="s">
        <v>10</v>
      </c>
      <c r="G545" s="18" t="s">
        <v>371</v>
      </c>
    </row>
    <row r="546" spans="1:7" ht="21.75" customHeight="1">
      <c r="A546" s="4">
        <v>45971</v>
      </c>
      <c r="B546" s="5" t="s">
        <v>1767</v>
      </c>
      <c r="C546" s="14" t="s">
        <v>1768</v>
      </c>
      <c r="D546" s="7">
        <v>117000</v>
      </c>
      <c r="E546" s="8"/>
      <c r="F546" s="9" t="s">
        <v>10</v>
      </c>
      <c r="G546" s="18" t="s">
        <v>421</v>
      </c>
    </row>
    <row r="547" spans="1:7" ht="20.25" customHeight="1">
      <c r="A547" s="4">
        <v>45971</v>
      </c>
      <c r="B547" s="5" t="s">
        <v>1769</v>
      </c>
      <c r="C547" s="14" t="s">
        <v>1770</v>
      </c>
      <c r="D547" s="7">
        <v>133600</v>
      </c>
      <c r="E547" s="8"/>
      <c r="F547" s="9" t="s">
        <v>10</v>
      </c>
      <c r="G547" s="18" t="s">
        <v>421</v>
      </c>
    </row>
    <row r="548" spans="1:7" ht="21.75" customHeight="1">
      <c r="A548" s="4">
        <v>45971</v>
      </c>
      <c r="B548" s="5" t="s">
        <v>1771</v>
      </c>
      <c r="C548" s="14" t="s">
        <v>1772</v>
      </c>
      <c r="D548" s="7">
        <v>51500</v>
      </c>
      <c r="E548" s="8"/>
      <c r="F548" s="9" t="s">
        <v>10</v>
      </c>
      <c r="G548" s="18" t="s">
        <v>421</v>
      </c>
    </row>
    <row r="549" spans="1:7" ht="22.5" customHeight="1">
      <c r="A549" s="4">
        <v>45971</v>
      </c>
      <c r="B549" s="5" t="s">
        <v>1773</v>
      </c>
      <c r="C549" s="14" t="s">
        <v>1774</v>
      </c>
      <c r="D549" s="7">
        <v>157600</v>
      </c>
      <c r="E549" s="8"/>
      <c r="F549" s="9" t="s">
        <v>10</v>
      </c>
      <c r="G549" s="18" t="s">
        <v>421</v>
      </c>
    </row>
    <row r="550" spans="1:7" ht="21" customHeight="1">
      <c r="A550" s="4">
        <v>45971</v>
      </c>
      <c r="B550" s="5" t="s">
        <v>1775</v>
      </c>
      <c r="C550" s="14" t="s">
        <v>1776</v>
      </c>
      <c r="D550" s="7">
        <v>132660</v>
      </c>
      <c r="E550" s="8"/>
      <c r="F550" s="9" t="s">
        <v>10</v>
      </c>
      <c r="G550" s="18" t="s">
        <v>421</v>
      </c>
    </row>
    <row r="551" spans="1:7" ht="19.5" customHeight="1">
      <c r="A551" s="4">
        <v>45971</v>
      </c>
      <c r="B551" s="5" t="s">
        <v>929</v>
      </c>
      <c r="C551" s="14" t="s">
        <v>1777</v>
      </c>
      <c r="D551" s="7">
        <v>124000</v>
      </c>
      <c r="E551" s="8"/>
      <c r="F551" s="9" t="s">
        <v>10</v>
      </c>
      <c r="G551" s="18" t="s">
        <v>371</v>
      </c>
    </row>
    <row r="552" spans="1:7" ht="18.75" customHeight="1">
      <c r="A552" s="4">
        <v>45971</v>
      </c>
      <c r="B552" s="5" t="s">
        <v>1528</v>
      </c>
      <c r="C552" s="14" t="s">
        <v>1778</v>
      </c>
      <c r="D552" s="7">
        <v>119900</v>
      </c>
      <c r="E552" s="8"/>
      <c r="F552" s="9" t="s">
        <v>10</v>
      </c>
      <c r="G552" s="18" t="s">
        <v>371</v>
      </c>
    </row>
    <row r="553" spans="1:7" ht="23.25" customHeight="1">
      <c r="A553" s="4">
        <v>45971</v>
      </c>
      <c r="B553" s="5" t="s">
        <v>1202</v>
      </c>
      <c r="C553" s="14" t="s">
        <v>1779</v>
      </c>
      <c r="D553" s="7">
        <v>183300</v>
      </c>
      <c r="E553" s="8"/>
      <c r="F553" s="9" t="s">
        <v>10</v>
      </c>
      <c r="G553" s="18" t="s">
        <v>371</v>
      </c>
    </row>
    <row r="554" spans="1:7" ht="21" customHeight="1">
      <c r="A554" s="4">
        <v>45971</v>
      </c>
      <c r="B554" s="5" t="s">
        <v>493</v>
      </c>
      <c r="C554" s="14" t="s">
        <v>1780</v>
      </c>
      <c r="D554" s="7">
        <v>118500</v>
      </c>
      <c r="E554" s="8"/>
      <c r="F554" s="9" t="s">
        <v>10</v>
      </c>
      <c r="G554" s="18" t="s">
        <v>421</v>
      </c>
    </row>
    <row r="555" spans="1:7" ht="21" customHeight="1">
      <c r="A555" s="4">
        <v>45971</v>
      </c>
      <c r="B555" s="5" t="s">
        <v>1781</v>
      </c>
      <c r="C555" s="14" t="s">
        <v>1782</v>
      </c>
      <c r="D555" s="7">
        <v>73500</v>
      </c>
      <c r="E555" s="8"/>
      <c r="F555" s="9" t="s">
        <v>10</v>
      </c>
      <c r="G555" s="18" t="s">
        <v>421</v>
      </c>
    </row>
    <row r="556" spans="1:7" ht="23.25" customHeight="1">
      <c r="A556" s="4">
        <v>45971</v>
      </c>
      <c r="B556" s="5" t="s">
        <v>1783</v>
      </c>
      <c r="C556" s="14" t="s">
        <v>1784</v>
      </c>
      <c r="D556" s="7">
        <v>93500</v>
      </c>
      <c r="E556" s="8"/>
      <c r="F556" s="9" t="s">
        <v>10</v>
      </c>
      <c r="G556" s="18" t="s">
        <v>421</v>
      </c>
    </row>
    <row r="557" spans="1:7" ht="23.25" customHeight="1">
      <c r="A557" s="4">
        <v>45971</v>
      </c>
      <c r="B557" s="5" t="s">
        <v>754</v>
      </c>
      <c r="C557" s="14" t="s">
        <v>1785</v>
      </c>
      <c r="D557" s="7">
        <v>367400</v>
      </c>
      <c r="E557" s="8"/>
      <c r="F557" s="9" t="s">
        <v>10</v>
      </c>
      <c r="G557" s="18" t="s">
        <v>371</v>
      </c>
    </row>
    <row r="558" spans="1:7" ht="21.75" customHeight="1">
      <c r="A558" s="4">
        <v>45971</v>
      </c>
      <c r="B558" s="5" t="s">
        <v>1786</v>
      </c>
      <c r="C558" s="14" t="s">
        <v>1787</v>
      </c>
      <c r="D558" s="7">
        <v>71500</v>
      </c>
      <c r="E558" s="8"/>
      <c r="F558" s="9" t="s">
        <v>10</v>
      </c>
      <c r="G558" s="18" t="s">
        <v>421</v>
      </c>
    </row>
    <row r="559" spans="1:7" ht="23.25" customHeight="1">
      <c r="A559" s="4">
        <v>45971</v>
      </c>
      <c r="B559" s="5" t="s">
        <v>1788</v>
      </c>
      <c r="C559" s="14" t="s">
        <v>1789</v>
      </c>
      <c r="D559" s="7">
        <v>74000</v>
      </c>
      <c r="E559" s="8"/>
      <c r="F559" s="9" t="s">
        <v>10</v>
      </c>
      <c r="G559" s="18" t="s">
        <v>421</v>
      </c>
    </row>
    <row r="560" spans="1:7" ht="23.25" customHeight="1">
      <c r="A560" s="4">
        <v>45971</v>
      </c>
      <c r="B560" s="5" t="s">
        <v>1790</v>
      </c>
      <c r="C560" s="14" t="s">
        <v>1791</v>
      </c>
      <c r="D560" s="7">
        <v>113400</v>
      </c>
      <c r="E560" s="8"/>
      <c r="F560" s="9" t="s">
        <v>10</v>
      </c>
      <c r="G560" s="18" t="s">
        <v>421</v>
      </c>
    </row>
    <row r="561" spans="1:7" ht="21" customHeight="1">
      <c r="A561" s="4">
        <v>45971</v>
      </c>
      <c r="B561" s="5" t="s">
        <v>1792</v>
      </c>
      <c r="C561" s="14" t="s">
        <v>1793</v>
      </c>
      <c r="D561" s="7">
        <v>117000</v>
      </c>
      <c r="E561" s="8"/>
      <c r="F561" s="9" t="s">
        <v>10</v>
      </c>
      <c r="G561" s="18" t="s">
        <v>421</v>
      </c>
    </row>
    <row r="562" spans="1:7" ht="21" customHeight="1">
      <c r="A562" s="4">
        <v>45971</v>
      </c>
      <c r="B562" s="5" t="s">
        <v>1794</v>
      </c>
      <c r="C562" s="14" t="s">
        <v>1795</v>
      </c>
      <c r="D562" s="7">
        <v>136350</v>
      </c>
      <c r="E562" s="8"/>
      <c r="F562" s="9" t="s">
        <v>10</v>
      </c>
      <c r="G562" s="18" t="s">
        <v>421</v>
      </c>
    </row>
    <row r="563" spans="1:7" ht="24" customHeight="1">
      <c r="A563" s="4">
        <v>45971</v>
      </c>
      <c r="B563" s="5" t="s">
        <v>99</v>
      </c>
      <c r="C563" s="14" t="s">
        <v>1796</v>
      </c>
      <c r="D563" s="7">
        <v>135000</v>
      </c>
      <c r="E563" s="8"/>
      <c r="F563" s="9" t="s">
        <v>10</v>
      </c>
      <c r="G563" s="18" t="s">
        <v>371</v>
      </c>
    </row>
    <row r="564" spans="1:7" ht="23.25" customHeight="1">
      <c r="A564" s="4">
        <v>45971</v>
      </c>
      <c r="B564" s="5" t="s">
        <v>1797</v>
      </c>
      <c r="C564" s="14" t="s">
        <v>1798</v>
      </c>
      <c r="D564" s="7">
        <v>61100</v>
      </c>
      <c r="E564" s="8"/>
      <c r="F564" s="9" t="s">
        <v>10</v>
      </c>
      <c r="G564" s="18" t="s">
        <v>421</v>
      </c>
    </row>
    <row r="565" spans="1:7" ht="22.5" customHeight="1">
      <c r="A565" s="4">
        <v>45971</v>
      </c>
      <c r="B565" s="10" t="s">
        <v>71</v>
      </c>
      <c r="C565" s="14" t="s">
        <v>1799</v>
      </c>
      <c r="D565" s="7">
        <v>1225753</v>
      </c>
      <c r="E565" s="8"/>
      <c r="F565" s="223" t="s">
        <v>72</v>
      </c>
      <c r="G565" s="18" t="s">
        <v>371</v>
      </c>
    </row>
    <row r="566" spans="1:7" ht="22.5" customHeight="1">
      <c r="A566" s="4">
        <v>45972</v>
      </c>
      <c r="B566" s="5" t="s">
        <v>161</v>
      </c>
      <c r="C566" s="14" t="s">
        <v>1800</v>
      </c>
      <c r="D566" s="7">
        <v>265200</v>
      </c>
      <c r="E566" s="8"/>
      <c r="F566" s="9" t="s">
        <v>10</v>
      </c>
      <c r="G566" s="18" t="s">
        <v>371</v>
      </c>
    </row>
    <row r="567" spans="1:7" ht="23.25" customHeight="1">
      <c r="A567" s="4">
        <v>45972</v>
      </c>
      <c r="B567" s="5" t="s">
        <v>1801</v>
      </c>
      <c r="C567" s="14" t="s">
        <v>1802</v>
      </c>
      <c r="D567" s="7">
        <v>137900</v>
      </c>
      <c r="E567" s="8"/>
      <c r="F567" s="9" t="s">
        <v>7</v>
      </c>
      <c r="G567" s="18" t="s">
        <v>942</v>
      </c>
    </row>
    <row r="568" spans="1:7" ht="22.5" customHeight="1">
      <c r="A568" s="4">
        <v>45972</v>
      </c>
      <c r="B568" s="5" t="s">
        <v>1090</v>
      </c>
      <c r="C568" s="14" t="s">
        <v>1803</v>
      </c>
      <c r="D568" s="7">
        <v>351700</v>
      </c>
      <c r="E568" s="8"/>
      <c r="F568" s="9" t="s">
        <v>10</v>
      </c>
      <c r="G568" s="18" t="s">
        <v>371</v>
      </c>
    </row>
    <row r="569" spans="1:7" ht="22.5" customHeight="1">
      <c r="A569" s="4">
        <v>45972</v>
      </c>
      <c r="B569" s="10" t="s">
        <v>71</v>
      </c>
      <c r="C569" s="14" t="s">
        <v>1804</v>
      </c>
      <c r="D569" s="7">
        <v>1007672</v>
      </c>
      <c r="E569" s="8"/>
      <c r="F569" s="223" t="s">
        <v>72</v>
      </c>
      <c r="G569" s="18" t="s">
        <v>371</v>
      </c>
    </row>
    <row r="570" spans="1:7" ht="22.5" customHeight="1">
      <c r="A570" s="4">
        <v>45972</v>
      </c>
      <c r="B570" s="10" t="s">
        <v>57</v>
      </c>
      <c r="C570" s="14" t="s">
        <v>1805</v>
      </c>
      <c r="D570" s="7">
        <v>302700</v>
      </c>
      <c r="E570" s="8"/>
      <c r="F570" s="9" t="s">
        <v>7</v>
      </c>
      <c r="G570" s="18" t="s">
        <v>371</v>
      </c>
    </row>
    <row r="571" spans="1:7" ht="21" customHeight="1">
      <c r="A571" s="4">
        <v>45972</v>
      </c>
      <c r="B571" s="5" t="s">
        <v>64</v>
      </c>
      <c r="C571" s="14" t="s">
        <v>1806</v>
      </c>
      <c r="D571" s="7">
        <v>266800</v>
      </c>
      <c r="E571" s="8"/>
      <c r="F571" s="9" t="s">
        <v>7</v>
      </c>
      <c r="G571" s="18" t="s">
        <v>371</v>
      </c>
    </row>
    <row r="572" spans="1:7" ht="22.5" customHeight="1">
      <c r="A572" s="4">
        <v>45972</v>
      </c>
      <c r="B572" s="196" t="s">
        <v>1807</v>
      </c>
      <c r="C572" s="14" t="s">
        <v>1808</v>
      </c>
      <c r="D572" s="7">
        <v>293700</v>
      </c>
      <c r="E572" s="8"/>
      <c r="F572" s="9" t="s">
        <v>21</v>
      </c>
      <c r="G572" s="18" t="s">
        <v>371</v>
      </c>
    </row>
    <row r="573" spans="1:7" ht="22.5" customHeight="1">
      <c r="A573" s="4">
        <v>45972</v>
      </c>
      <c r="B573" s="5" t="s">
        <v>1362</v>
      </c>
      <c r="C573" s="14" t="s">
        <v>1809</v>
      </c>
      <c r="D573" s="7">
        <v>168390</v>
      </c>
      <c r="E573" s="8"/>
      <c r="F573" s="9" t="s">
        <v>10</v>
      </c>
      <c r="G573" s="18" t="s">
        <v>371</v>
      </c>
    </row>
    <row r="574" spans="1:7" ht="21.75" customHeight="1">
      <c r="A574" s="4">
        <v>45972</v>
      </c>
      <c r="B574" s="5" t="s">
        <v>1810</v>
      </c>
      <c r="C574" s="14" t="s">
        <v>1811</v>
      </c>
      <c r="D574" s="7">
        <v>85550</v>
      </c>
      <c r="E574" s="8"/>
      <c r="F574" s="9" t="s">
        <v>10</v>
      </c>
      <c r="G574" s="18" t="s">
        <v>421</v>
      </c>
    </row>
    <row r="575" spans="1:7" ht="22.5" customHeight="1">
      <c r="A575" s="4">
        <v>45972</v>
      </c>
      <c r="B575" s="5" t="s">
        <v>1812</v>
      </c>
      <c r="C575" s="14" t="s">
        <v>1813</v>
      </c>
      <c r="D575" s="7">
        <v>113100</v>
      </c>
      <c r="E575" s="8"/>
      <c r="F575" s="9" t="s">
        <v>10</v>
      </c>
      <c r="G575" s="18" t="s">
        <v>421</v>
      </c>
    </row>
    <row r="576" spans="1:7" ht="21" customHeight="1">
      <c r="A576" s="4">
        <v>45972</v>
      </c>
      <c r="B576" s="5" t="s">
        <v>1046</v>
      </c>
      <c r="C576" s="14" t="s">
        <v>1814</v>
      </c>
      <c r="D576" s="7">
        <v>127000</v>
      </c>
      <c r="E576" s="8"/>
      <c r="F576" s="9" t="s">
        <v>10</v>
      </c>
      <c r="G576" s="18" t="s">
        <v>371</v>
      </c>
    </row>
    <row r="577" spans="1:7" ht="22.5" customHeight="1">
      <c r="A577" s="4">
        <v>45972</v>
      </c>
      <c r="B577" s="5" t="s">
        <v>1815</v>
      </c>
      <c r="C577" s="14" t="s">
        <v>1816</v>
      </c>
      <c r="D577" s="7">
        <v>82000</v>
      </c>
      <c r="E577" s="8"/>
      <c r="F577" s="9" t="s">
        <v>10</v>
      </c>
      <c r="G577" s="18" t="s">
        <v>421</v>
      </c>
    </row>
    <row r="578" spans="1:7" ht="22.5" customHeight="1">
      <c r="A578" s="4">
        <v>45972</v>
      </c>
      <c r="B578" s="5" t="s">
        <v>974</v>
      </c>
      <c r="C578" s="14" t="s">
        <v>1817</v>
      </c>
      <c r="D578" s="7">
        <v>140700</v>
      </c>
      <c r="E578" s="8"/>
      <c r="F578" s="9" t="s">
        <v>7</v>
      </c>
      <c r="G578" s="18" t="s">
        <v>371</v>
      </c>
    </row>
    <row r="579" spans="1:7" ht="22.5" customHeight="1">
      <c r="A579" s="4">
        <v>45972</v>
      </c>
      <c r="B579" s="5" t="s">
        <v>1818</v>
      </c>
      <c r="C579" s="14" t="s">
        <v>1819</v>
      </c>
      <c r="D579" s="7">
        <v>109800</v>
      </c>
      <c r="E579" s="8"/>
      <c r="F579" s="9" t="s">
        <v>10</v>
      </c>
      <c r="G579" s="18" t="s">
        <v>421</v>
      </c>
    </row>
    <row r="580" spans="1:7" ht="22.5" customHeight="1">
      <c r="A580" s="4">
        <v>45972</v>
      </c>
      <c r="B580" s="10" t="s">
        <v>653</v>
      </c>
      <c r="C580" s="14" t="s">
        <v>1820</v>
      </c>
      <c r="D580" s="7">
        <v>110000</v>
      </c>
      <c r="E580" s="8"/>
      <c r="F580" s="9" t="s">
        <v>10</v>
      </c>
      <c r="G580" s="18" t="s">
        <v>371</v>
      </c>
    </row>
    <row r="581" spans="1:7" ht="22.5" customHeight="1">
      <c r="A581" s="4">
        <v>45972</v>
      </c>
      <c r="B581" s="222" t="s">
        <v>635</v>
      </c>
      <c r="C581" s="14" t="s">
        <v>1821</v>
      </c>
      <c r="D581" s="7">
        <v>135900</v>
      </c>
      <c r="E581" s="8"/>
      <c r="F581" s="9" t="s">
        <v>10</v>
      </c>
      <c r="G581" s="18" t="s">
        <v>371</v>
      </c>
    </row>
    <row r="582" spans="1:7" ht="22.5" customHeight="1">
      <c r="A582" s="4">
        <v>45972</v>
      </c>
      <c r="B582" s="5" t="s">
        <v>1638</v>
      </c>
      <c r="C582" s="14" t="s">
        <v>1822</v>
      </c>
      <c r="D582" s="7">
        <v>111600</v>
      </c>
      <c r="E582" s="8"/>
      <c r="F582" s="9" t="s">
        <v>10</v>
      </c>
      <c r="G582" s="18" t="s">
        <v>371</v>
      </c>
    </row>
    <row r="583" spans="1:7" ht="22.5" customHeight="1">
      <c r="A583" s="4">
        <v>45972</v>
      </c>
      <c r="B583" s="9" t="s">
        <v>1823</v>
      </c>
      <c r="C583" s="14" t="s">
        <v>1824</v>
      </c>
      <c r="D583" s="7">
        <v>112800</v>
      </c>
      <c r="E583" s="8"/>
      <c r="F583" s="9" t="s">
        <v>10</v>
      </c>
      <c r="G583" s="18" t="s">
        <v>371</v>
      </c>
    </row>
    <row r="584" spans="1:7" ht="22.5" customHeight="1">
      <c r="A584" s="4">
        <v>45972</v>
      </c>
      <c r="B584" s="5" t="s">
        <v>1825</v>
      </c>
      <c r="C584" s="14" t="s">
        <v>1826</v>
      </c>
      <c r="D584" s="7">
        <v>63600</v>
      </c>
      <c r="E584" s="8"/>
      <c r="F584" s="9" t="s">
        <v>10</v>
      </c>
      <c r="G584" s="18" t="s">
        <v>421</v>
      </c>
    </row>
    <row r="585" spans="1:7" ht="23.25" customHeight="1">
      <c r="A585" s="4">
        <v>45972</v>
      </c>
      <c r="B585" s="5" t="s">
        <v>1827</v>
      </c>
      <c r="C585" s="14" t="s">
        <v>1828</v>
      </c>
      <c r="D585" s="7">
        <v>85490</v>
      </c>
      <c r="E585" s="8"/>
      <c r="F585" s="9" t="s">
        <v>10</v>
      </c>
      <c r="G585" s="18" t="s">
        <v>421</v>
      </c>
    </row>
    <row r="586" spans="1:7" ht="22.5" customHeight="1">
      <c r="A586" s="4">
        <v>45972</v>
      </c>
      <c r="B586" s="9" t="s">
        <v>1829</v>
      </c>
      <c r="C586" s="14" t="s">
        <v>1830</v>
      </c>
      <c r="D586" s="7">
        <v>130500</v>
      </c>
      <c r="E586" s="8"/>
      <c r="F586" s="9" t="s">
        <v>10</v>
      </c>
      <c r="G586" s="18" t="s">
        <v>421</v>
      </c>
    </row>
    <row r="587" spans="1:7" ht="23.25" customHeight="1">
      <c r="A587" s="4">
        <v>45972</v>
      </c>
      <c r="B587" s="9" t="s">
        <v>1831</v>
      </c>
      <c r="C587" s="14" t="s">
        <v>1832</v>
      </c>
      <c r="D587" s="7">
        <v>236250</v>
      </c>
      <c r="E587" s="8"/>
      <c r="F587" s="9" t="s">
        <v>10</v>
      </c>
      <c r="G587" s="18" t="s">
        <v>421</v>
      </c>
    </row>
    <row r="588" spans="1:7" ht="22.5" customHeight="1">
      <c r="A588" s="4">
        <v>45972</v>
      </c>
      <c r="B588" s="9" t="s">
        <v>1833</v>
      </c>
      <c r="C588" s="14" t="s">
        <v>1834</v>
      </c>
      <c r="D588" s="7">
        <v>124100</v>
      </c>
      <c r="E588" s="8"/>
      <c r="F588" s="9" t="s">
        <v>10</v>
      </c>
      <c r="G588" s="18" t="s">
        <v>421</v>
      </c>
    </row>
    <row r="589" spans="1:7" ht="22.5" customHeight="1">
      <c r="A589" s="4">
        <v>45973</v>
      </c>
      <c r="B589" s="5" t="s">
        <v>63</v>
      </c>
      <c r="C589" s="14" t="s">
        <v>1835</v>
      </c>
      <c r="D589" s="7">
        <v>268500</v>
      </c>
      <c r="E589" s="8"/>
      <c r="F589" s="9" t="s">
        <v>7</v>
      </c>
      <c r="G589" s="18" t="s">
        <v>371</v>
      </c>
    </row>
    <row r="590" spans="1:7" ht="22.5" customHeight="1">
      <c r="A590" s="4">
        <v>45973</v>
      </c>
      <c r="B590" s="5" t="s">
        <v>1836</v>
      </c>
      <c r="C590" s="14" t="s">
        <v>1837</v>
      </c>
      <c r="D590" s="7">
        <v>157600</v>
      </c>
      <c r="E590" s="8"/>
      <c r="F590" s="9" t="s">
        <v>10</v>
      </c>
      <c r="G590" s="18" t="s">
        <v>421</v>
      </c>
    </row>
    <row r="591" spans="1:7" ht="22.5" customHeight="1">
      <c r="A591" s="4">
        <v>45973</v>
      </c>
      <c r="B591" s="11" t="s">
        <v>1838</v>
      </c>
      <c r="C591" s="14" t="s">
        <v>1839</v>
      </c>
      <c r="D591" s="7">
        <v>109000</v>
      </c>
      <c r="E591" s="8"/>
      <c r="F591" s="9" t="s">
        <v>7</v>
      </c>
      <c r="G591" s="18" t="s">
        <v>371</v>
      </c>
    </row>
    <row r="592" spans="1:7" ht="19.5" customHeight="1">
      <c r="A592" s="4">
        <v>45973</v>
      </c>
      <c r="B592" s="5" t="s">
        <v>1840</v>
      </c>
      <c r="C592" s="14" t="s">
        <v>1841</v>
      </c>
      <c r="D592" s="7">
        <v>87300</v>
      </c>
      <c r="E592" s="8"/>
      <c r="F592" s="9" t="s">
        <v>7</v>
      </c>
      <c r="G592" s="18" t="s">
        <v>983</v>
      </c>
    </row>
    <row r="593" spans="1:7" ht="20.25" customHeight="1">
      <c r="A593" s="4">
        <v>45973</v>
      </c>
      <c r="B593" s="10" t="s">
        <v>55</v>
      </c>
      <c r="C593" s="14" t="s">
        <v>1842</v>
      </c>
      <c r="D593" s="7">
        <v>118000</v>
      </c>
      <c r="E593" s="8"/>
      <c r="F593" s="9" t="s">
        <v>7</v>
      </c>
      <c r="G593" s="18" t="s">
        <v>371</v>
      </c>
    </row>
    <row r="594" spans="1:7" ht="23.25" customHeight="1">
      <c r="A594" s="4">
        <v>45973</v>
      </c>
      <c r="B594" s="5" t="s">
        <v>1843</v>
      </c>
      <c r="C594" s="14" t="s">
        <v>1844</v>
      </c>
      <c r="D594" s="7">
        <v>89000</v>
      </c>
      <c r="E594" s="8"/>
      <c r="F594" s="9" t="s">
        <v>10</v>
      </c>
      <c r="G594" s="18" t="s">
        <v>942</v>
      </c>
    </row>
    <row r="595" spans="1:7" ht="22.5" customHeight="1">
      <c r="A595" s="4">
        <v>45973</v>
      </c>
      <c r="B595" s="10" t="s">
        <v>364</v>
      </c>
      <c r="C595" s="14" t="s">
        <v>1845</v>
      </c>
      <c r="D595" s="7">
        <v>121000</v>
      </c>
      <c r="E595" s="8"/>
      <c r="F595" s="9" t="s">
        <v>7</v>
      </c>
      <c r="G595" s="18" t="s">
        <v>371</v>
      </c>
    </row>
    <row r="596" spans="1:7" ht="22.5" customHeight="1">
      <c r="A596" s="4">
        <v>45973</v>
      </c>
      <c r="B596" s="10" t="s">
        <v>29</v>
      </c>
      <c r="C596" s="14" t="s">
        <v>1846</v>
      </c>
      <c r="D596" s="7">
        <v>315900</v>
      </c>
      <c r="E596" s="8"/>
      <c r="F596" s="9" t="s">
        <v>21</v>
      </c>
      <c r="G596" s="18" t="s">
        <v>371</v>
      </c>
    </row>
    <row r="597" spans="1:7" ht="21" customHeight="1">
      <c r="A597" s="4">
        <v>45973</v>
      </c>
      <c r="B597" s="5" t="s">
        <v>1182</v>
      </c>
      <c r="C597" s="14" t="s">
        <v>1847</v>
      </c>
      <c r="D597" s="7">
        <v>87000</v>
      </c>
      <c r="E597" s="8"/>
      <c r="F597" s="9" t="s">
        <v>10</v>
      </c>
      <c r="G597" s="18" t="s">
        <v>371</v>
      </c>
    </row>
    <row r="598" spans="1:7" ht="19.5" customHeight="1">
      <c r="A598" s="4">
        <v>45973</v>
      </c>
      <c r="B598" s="5" t="s">
        <v>1848</v>
      </c>
      <c r="C598" s="14" t="s">
        <v>1849</v>
      </c>
      <c r="D598" s="7">
        <v>186000</v>
      </c>
      <c r="E598" s="8"/>
      <c r="F598" s="9" t="s">
        <v>7</v>
      </c>
      <c r="G598" s="18" t="s">
        <v>942</v>
      </c>
    </row>
    <row r="599" spans="1:7" ht="22.5" customHeight="1">
      <c r="A599" s="4">
        <v>45973</v>
      </c>
      <c r="B599" s="5" t="s">
        <v>1850</v>
      </c>
      <c r="C599" s="14" t="s">
        <v>1851</v>
      </c>
      <c r="D599" s="7">
        <v>74100</v>
      </c>
      <c r="E599" s="8"/>
      <c r="F599" s="9" t="s">
        <v>10</v>
      </c>
      <c r="G599" s="18" t="s">
        <v>874</v>
      </c>
    </row>
    <row r="600" spans="1:7" ht="22.5" customHeight="1">
      <c r="A600" s="4">
        <v>45973</v>
      </c>
      <c r="B600" s="10" t="s">
        <v>1701</v>
      </c>
      <c r="C600" s="14" t="s">
        <v>1852</v>
      </c>
      <c r="D600" s="7">
        <v>93500</v>
      </c>
      <c r="E600" s="8"/>
      <c r="F600" s="9" t="s">
        <v>7</v>
      </c>
      <c r="G600" s="18" t="s">
        <v>371</v>
      </c>
    </row>
    <row r="601" spans="1:7" ht="17.25" customHeight="1">
      <c r="A601" s="4">
        <v>45973</v>
      </c>
      <c r="B601" s="5" t="s">
        <v>1853</v>
      </c>
      <c r="C601" s="14" t="s">
        <v>1854</v>
      </c>
      <c r="D601" s="7">
        <v>41000</v>
      </c>
      <c r="E601" s="8"/>
      <c r="F601" s="9" t="s">
        <v>1855</v>
      </c>
      <c r="G601" s="18" t="s">
        <v>371</v>
      </c>
    </row>
    <row r="602" spans="1:7" ht="18" customHeight="1">
      <c r="A602" s="4">
        <v>45973</v>
      </c>
      <c r="B602" s="5" t="s">
        <v>1856</v>
      </c>
      <c r="C602" s="14" t="s">
        <v>1857</v>
      </c>
      <c r="D602" s="7">
        <v>156700</v>
      </c>
      <c r="E602" s="8"/>
      <c r="F602" s="9" t="s">
        <v>10</v>
      </c>
      <c r="G602" s="18" t="s">
        <v>421</v>
      </c>
    </row>
    <row r="603" spans="1:7" ht="19.5" customHeight="1">
      <c r="A603" s="4">
        <v>45973</v>
      </c>
      <c r="B603" s="5" t="s">
        <v>1858</v>
      </c>
      <c r="C603" s="14" t="s">
        <v>1859</v>
      </c>
      <c r="D603" s="7">
        <v>120500</v>
      </c>
      <c r="E603" s="8"/>
      <c r="F603" s="9" t="s">
        <v>10</v>
      </c>
      <c r="G603" s="18" t="s">
        <v>371</v>
      </c>
    </row>
    <row r="604" spans="1:7" ht="18.75" customHeight="1">
      <c r="A604" s="4">
        <v>45973</v>
      </c>
      <c r="B604" s="5" t="s">
        <v>1860</v>
      </c>
      <c r="C604" s="14" t="s">
        <v>1861</v>
      </c>
      <c r="D604" s="7">
        <v>137200</v>
      </c>
      <c r="E604" s="8"/>
      <c r="F604" s="9" t="s">
        <v>10</v>
      </c>
      <c r="G604" s="18" t="s">
        <v>421</v>
      </c>
    </row>
    <row r="605" spans="1:7" ht="22.5" customHeight="1">
      <c r="A605" s="4">
        <v>45973</v>
      </c>
      <c r="B605" s="5" t="s">
        <v>1706</v>
      </c>
      <c r="C605" s="14" t="s">
        <v>1862</v>
      </c>
      <c r="D605" s="7">
        <v>130000</v>
      </c>
      <c r="E605" s="8"/>
      <c r="F605" s="9" t="s">
        <v>10</v>
      </c>
      <c r="G605" s="18" t="s">
        <v>371</v>
      </c>
    </row>
    <row r="606" spans="1:7" ht="22.5" customHeight="1">
      <c r="A606" s="4">
        <v>45973</v>
      </c>
      <c r="B606" s="5" t="s">
        <v>482</v>
      </c>
      <c r="C606" s="14" t="s">
        <v>1863</v>
      </c>
      <c r="D606" s="7">
        <v>117500</v>
      </c>
      <c r="E606" s="8"/>
      <c r="F606" s="9" t="s">
        <v>10</v>
      </c>
      <c r="G606" s="18" t="s">
        <v>371</v>
      </c>
    </row>
    <row r="607" spans="1:7" ht="20.25" customHeight="1">
      <c r="A607" s="4">
        <v>45973</v>
      </c>
      <c r="B607" s="5" t="s">
        <v>1864</v>
      </c>
      <c r="C607" s="14" t="s">
        <v>1865</v>
      </c>
      <c r="D607" s="7">
        <v>110250</v>
      </c>
      <c r="E607" s="8"/>
      <c r="F607" s="9" t="s">
        <v>10</v>
      </c>
      <c r="G607" s="18" t="s">
        <v>421</v>
      </c>
    </row>
    <row r="608" spans="1:7" ht="21" customHeight="1">
      <c r="A608" s="4">
        <v>45973</v>
      </c>
      <c r="B608" s="5" t="s">
        <v>1866</v>
      </c>
      <c r="C608" s="14" t="s">
        <v>1867</v>
      </c>
      <c r="D608" s="7">
        <v>110520</v>
      </c>
      <c r="E608" s="8"/>
      <c r="F608" s="9" t="s">
        <v>10</v>
      </c>
      <c r="G608" s="18" t="s">
        <v>421</v>
      </c>
    </row>
    <row r="609" spans="1:7" ht="22.5" customHeight="1">
      <c r="A609" s="4">
        <v>45973</v>
      </c>
      <c r="B609" s="197" t="s">
        <v>1868</v>
      </c>
      <c r="C609" s="14" t="s">
        <v>1869</v>
      </c>
      <c r="D609" s="7">
        <v>229230</v>
      </c>
      <c r="E609" s="8"/>
      <c r="F609" s="9" t="s">
        <v>10</v>
      </c>
      <c r="G609" s="18" t="s">
        <v>371</v>
      </c>
    </row>
    <row r="610" spans="1:7" ht="22.5" customHeight="1">
      <c r="A610" s="4">
        <v>45973</v>
      </c>
      <c r="B610" s="9" t="s">
        <v>1520</v>
      </c>
      <c r="C610" s="14" t="s">
        <v>1870</v>
      </c>
      <c r="D610" s="7">
        <v>251100</v>
      </c>
      <c r="E610" s="8"/>
      <c r="F610" s="9" t="s">
        <v>10</v>
      </c>
      <c r="G610" s="18" t="s">
        <v>371</v>
      </c>
    </row>
    <row r="611" spans="1:7" ht="24" customHeight="1">
      <c r="A611" s="4">
        <v>45973</v>
      </c>
      <c r="B611" s="9" t="s">
        <v>1871</v>
      </c>
      <c r="C611" s="14" t="s">
        <v>1872</v>
      </c>
      <c r="D611" s="7">
        <v>115500</v>
      </c>
      <c r="E611" s="8"/>
      <c r="F611" s="9" t="s">
        <v>10</v>
      </c>
      <c r="G611" s="18" t="s">
        <v>421</v>
      </c>
    </row>
    <row r="612" spans="1:7" ht="22.5" customHeight="1">
      <c r="A612" s="4">
        <v>45974</v>
      </c>
      <c r="B612" s="10" t="s">
        <v>91</v>
      </c>
      <c r="C612" s="14" t="s">
        <v>1873</v>
      </c>
      <c r="D612" s="7">
        <v>120500</v>
      </c>
      <c r="E612" s="8"/>
      <c r="F612" s="9" t="s">
        <v>10</v>
      </c>
      <c r="G612" s="18" t="s">
        <v>371</v>
      </c>
    </row>
    <row r="613" spans="1:7" ht="22.5" customHeight="1">
      <c r="A613" s="4">
        <v>45974</v>
      </c>
      <c r="B613" s="196" t="s">
        <v>1105</v>
      </c>
      <c r="C613" s="14" t="s">
        <v>1874</v>
      </c>
      <c r="D613" s="7">
        <v>160200</v>
      </c>
      <c r="E613" s="8"/>
      <c r="F613" s="9" t="s">
        <v>16</v>
      </c>
      <c r="G613" s="18" t="s">
        <v>371</v>
      </c>
    </row>
    <row r="614" spans="1:7" ht="22.5" customHeight="1">
      <c r="A614" s="4">
        <v>45974</v>
      </c>
      <c r="B614" s="5" t="s">
        <v>1875</v>
      </c>
      <c r="C614" s="14" t="s">
        <v>1876</v>
      </c>
      <c r="D614" s="7">
        <v>99100</v>
      </c>
      <c r="E614" s="8"/>
      <c r="F614" s="9" t="s">
        <v>7</v>
      </c>
      <c r="G614" s="18" t="s">
        <v>371</v>
      </c>
    </row>
    <row r="615" spans="1:7" ht="22.5" customHeight="1">
      <c r="A615" s="4">
        <v>45974</v>
      </c>
      <c r="B615" s="9" t="s">
        <v>1877</v>
      </c>
      <c r="C615" s="14" t="s">
        <v>1878</v>
      </c>
      <c r="D615" s="7">
        <v>400100</v>
      </c>
      <c r="E615" s="8"/>
      <c r="F615" s="9" t="s">
        <v>10</v>
      </c>
      <c r="G615" s="18" t="s">
        <v>421</v>
      </c>
    </row>
    <row r="616" spans="1:7" ht="22.5" customHeight="1">
      <c r="A616" s="4">
        <v>45974</v>
      </c>
      <c r="B616" s="5" t="s">
        <v>1686</v>
      </c>
      <c r="C616" s="14" t="s">
        <v>1879</v>
      </c>
      <c r="D616" s="7">
        <v>126000</v>
      </c>
      <c r="E616" s="8"/>
      <c r="F616" s="9" t="s">
        <v>10</v>
      </c>
      <c r="G616" s="18" t="s">
        <v>371</v>
      </c>
    </row>
    <row r="617" spans="1:7" ht="20.25" customHeight="1">
      <c r="A617" s="4">
        <v>45974</v>
      </c>
      <c r="B617" s="9" t="s">
        <v>1880</v>
      </c>
      <c r="C617" s="14" t="s">
        <v>1879</v>
      </c>
      <c r="D617" s="7">
        <v>154500</v>
      </c>
      <c r="E617" s="8"/>
      <c r="F617" s="9" t="s">
        <v>10</v>
      </c>
      <c r="G617" s="18" t="s">
        <v>371</v>
      </c>
    </row>
    <row r="618" spans="1:7" ht="18.75" customHeight="1">
      <c r="A618" s="4">
        <v>45974</v>
      </c>
      <c r="B618" s="9" t="s">
        <v>1881</v>
      </c>
      <c r="C618" s="14" t="s">
        <v>1882</v>
      </c>
      <c r="D618" s="7">
        <v>56000</v>
      </c>
      <c r="E618" s="8"/>
      <c r="F618" s="9" t="s">
        <v>10</v>
      </c>
      <c r="G618" s="18" t="s">
        <v>371</v>
      </c>
    </row>
    <row r="619" spans="1:7" ht="22.5" customHeight="1">
      <c r="A619" s="4">
        <v>45974</v>
      </c>
      <c r="B619" s="5" t="s">
        <v>1883</v>
      </c>
      <c r="C619" s="14" t="s">
        <v>1884</v>
      </c>
      <c r="D619" s="7">
        <v>120500</v>
      </c>
      <c r="E619" s="8"/>
      <c r="F619" s="9" t="s">
        <v>10</v>
      </c>
      <c r="G619" s="18" t="s">
        <v>421</v>
      </c>
    </row>
    <row r="620" spans="1:7" ht="18.75" customHeight="1">
      <c r="A620" s="4">
        <v>45974</v>
      </c>
      <c r="B620" s="9" t="s">
        <v>910</v>
      </c>
      <c r="C620" s="14" t="s">
        <v>1885</v>
      </c>
      <c r="D620" s="7">
        <v>310800</v>
      </c>
      <c r="E620" s="8"/>
      <c r="F620" s="9" t="s">
        <v>10</v>
      </c>
      <c r="G620" s="18" t="s">
        <v>371</v>
      </c>
    </row>
    <row r="621" spans="1:7" ht="20.25" customHeight="1">
      <c r="A621" s="4">
        <v>45974</v>
      </c>
      <c r="B621" s="9" t="s">
        <v>1886</v>
      </c>
      <c r="C621" s="14" t="s">
        <v>1887</v>
      </c>
      <c r="D621" s="7">
        <v>77000</v>
      </c>
      <c r="E621" s="8"/>
      <c r="F621" s="9" t="s">
        <v>10</v>
      </c>
      <c r="G621" s="18" t="s">
        <v>371</v>
      </c>
    </row>
    <row r="622" spans="1:7" ht="21" customHeight="1">
      <c r="A622" s="4">
        <v>45974</v>
      </c>
      <c r="B622" s="5" t="s">
        <v>1888</v>
      </c>
      <c r="C622" s="14" t="s">
        <v>1889</v>
      </c>
      <c r="D622" s="7">
        <v>261700</v>
      </c>
      <c r="E622" s="8"/>
      <c r="F622" s="9" t="s">
        <v>10</v>
      </c>
      <c r="G622" s="18" t="s">
        <v>421</v>
      </c>
    </row>
    <row r="623" spans="1:7" ht="24" customHeight="1">
      <c r="A623" s="4">
        <v>45974</v>
      </c>
      <c r="B623" s="5" t="s">
        <v>1890</v>
      </c>
      <c r="C623" s="14" t="s">
        <v>1891</v>
      </c>
      <c r="D623" s="7">
        <v>117290</v>
      </c>
      <c r="E623" s="8"/>
      <c r="F623" s="9" t="s">
        <v>10</v>
      </c>
      <c r="G623" s="18" t="s">
        <v>421</v>
      </c>
    </row>
    <row r="624" spans="1:7" ht="24.75" customHeight="1">
      <c r="A624" s="4">
        <v>45974</v>
      </c>
      <c r="B624" s="5" t="s">
        <v>1892</v>
      </c>
      <c r="C624" s="14" t="s">
        <v>1893</v>
      </c>
      <c r="D624" s="7">
        <v>206000</v>
      </c>
      <c r="E624" s="8"/>
      <c r="F624" s="9" t="s">
        <v>10</v>
      </c>
      <c r="G624" s="18" t="s">
        <v>421</v>
      </c>
    </row>
    <row r="625" spans="1:7" ht="23.25" customHeight="1">
      <c r="A625" s="4">
        <v>45974</v>
      </c>
      <c r="B625" s="5" t="s">
        <v>1894</v>
      </c>
      <c r="C625" s="14" t="s">
        <v>1895</v>
      </c>
      <c r="D625" s="7">
        <v>917000</v>
      </c>
      <c r="E625" s="8"/>
      <c r="F625" s="9" t="s">
        <v>10</v>
      </c>
      <c r="G625" s="18" t="s">
        <v>421</v>
      </c>
    </row>
    <row r="626" spans="1:7" ht="24" customHeight="1">
      <c r="A626" s="4">
        <v>45974</v>
      </c>
      <c r="B626" s="10" t="s">
        <v>619</v>
      </c>
      <c r="C626" s="14" t="s">
        <v>1896</v>
      </c>
      <c r="D626" s="7">
        <v>79100</v>
      </c>
      <c r="E626" s="8"/>
      <c r="F626" s="9" t="s">
        <v>10</v>
      </c>
      <c r="G626" s="18" t="s">
        <v>421</v>
      </c>
    </row>
    <row r="627" spans="1:7" ht="22.5" customHeight="1">
      <c r="A627" s="4">
        <v>45974</v>
      </c>
      <c r="B627" s="5" t="s">
        <v>1897</v>
      </c>
      <c r="C627" s="14" t="s">
        <v>1898</v>
      </c>
      <c r="D627" s="7">
        <v>113560</v>
      </c>
      <c r="E627" s="8"/>
      <c r="F627" s="9" t="s">
        <v>10</v>
      </c>
      <c r="G627" s="18" t="s">
        <v>421</v>
      </c>
    </row>
    <row r="628" spans="1:7" ht="22.5" customHeight="1">
      <c r="A628" s="4">
        <v>45974</v>
      </c>
      <c r="B628" s="5" t="s">
        <v>1899</v>
      </c>
      <c r="C628" s="14" t="s">
        <v>1900</v>
      </c>
      <c r="D628" s="7">
        <v>131400</v>
      </c>
      <c r="E628" s="8"/>
      <c r="F628" s="9" t="s">
        <v>10</v>
      </c>
      <c r="G628" s="18" t="s">
        <v>371</v>
      </c>
    </row>
    <row r="629" spans="1:7" ht="21" customHeight="1">
      <c r="A629" s="4">
        <v>45974</v>
      </c>
      <c r="B629" s="5" t="s">
        <v>549</v>
      </c>
      <c r="C629" s="14" t="s">
        <v>1901</v>
      </c>
      <c r="D629" s="7">
        <v>202500</v>
      </c>
      <c r="E629" s="8"/>
      <c r="F629" s="9" t="s">
        <v>16</v>
      </c>
      <c r="G629" s="18" t="s">
        <v>371</v>
      </c>
    </row>
    <row r="630" spans="1:7" ht="20.25" customHeight="1">
      <c r="A630" s="4">
        <v>45975</v>
      </c>
      <c r="B630" s="5" t="s">
        <v>1902</v>
      </c>
      <c r="C630" s="14" t="s">
        <v>1903</v>
      </c>
      <c r="D630" s="7">
        <v>130000</v>
      </c>
      <c r="E630" s="8"/>
      <c r="F630" s="9" t="s">
        <v>10</v>
      </c>
      <c r="G630" s="18" t="s">
        <v>421</v>
      </c>
    </row>
    <row r="631" spans="1:7" ht="20.25" customHeight="1">
      <c r="A631" s="4">
        <v>45975</v>
      </c>
      <c r="B631" s="5" t="s">
        <v>1904</v>
      </c>
      <c r="C631" s="14" t="s">
        <v>1905</v>
      </c>
      <c r="D631" s="7">
        <v>93400</v>
      </c>
      <c r="E631" s="8"/>
      <c r="F631" s="9" t="s">
        <v>7</v>
      </c>
      <c r="G631" s="18" t="s">
        <v>874</v>
      </c>
    </row>
    <row r="632" spans="1:7" ht="22.5" customHeight="1">
      <c r="A632" s="4">
        <v>45975</v>
      </c>
      <c r="B632" s="10" t="s">
        <v>102</v>
      </c>
      <c r="C632" s="14" t="s">
        <v>1906</v>
      </c>
      <c r="D632" s="7">
        <v>126000</v>
      </c>
      <c r="E632" s="8"/>
      <c r="F632" s="9" t="s">
        <v>7</v>
      </c>
      <c r="G632" s="18" t="s">
        <v>371</v>
      </c>
    </row>
    <row r="633" spans="1:7" ht="22.5" customHeight="1">
      <c r="A633" s="4">
        <v>45975</v>
      </c>
      <c r="B633" s="10" t="s">
        <v>60</v>
      </c>
      <c r="C633" s="14" t="s">
        <v>1907</v>
      </c>
      <c r="D633" s="7">
        <v>239000</v>
      </c>
      <c r="E633" s="8"/>
      <c r="F633" s="9" t="s">
        <v>7</v>
      </c>
      <c r="G633" s="18" t="s">
        <v>371</v>
      </c>
    </row>
    <row r="634" spans="1:7" ht="22.5" customHeight="1">
      <c r="A634" s="4">
        <v>45975</v>
      </c>
      <c r="B634" s="5" t="s">
        <v>12</v>
      </c>
      <c r="C634" s="14" t="s">
        <v>1908</v>
      </c>
      <c r="D634" s="7">
        <v>268900</v>
      </c>
      <c r="E634" s="8"/>
      <c r="F634" s="9" t="s">
        <v>10</v>
      </c>
      <c r="G634" s="18" t="s">
        <v>371</v>
      </c>
    </row>
    <row r="635" spans="1:7" ht="26.25" customHeight="1">
      <c r="A635" s="4">
        <v>45975</v>
      </c>
      <c r="B635" s="5" t="s">
        <v>1909</v>
      </c>
      <c r="C635" s="14" t="s">
        <v>1910</v>
      </c>
      <c r="D635" s="7">
        <v>195400</v>
      </c>
      <c r="E635" s="8"/>
      <c r="F635" s="9" t="s">
        <v>7</v>
      </c>
      <c r="G635" s="18" t="s">
        <v>942</v>
      </c>
    </row>
    <row r="636" spans="1:7" ht="22.5" customHeight="1">
      <c r="A636" s="4">
        <v>45975</v>
      </c>
      <c r="B636" s="10" t="s">
        <v>1375</v>
      </c>
      <c r="C636" s="14" t="s">
        <v>1911</v>
      </c>
      <c r="D636" s="7">
        <v>111500</v>
      </c>
      <c r="E636" s="8"/>
      <c r="F636" s="9" t="s">
        <v>10</v>
      </c>
      <c r="G636" s="18" t="s">
        <v>371</v>
      </c>
    </row>
    <row r="637" spans="1:7" ht="18.75" customHeight="1">
      <c r="A637" s="4">
        <v>45975</v>
      </c>
      <c r="B637" s="5" t="s">
        <v>1912</v>
      </c>
      <c r="C637" s="14" t="s">
        <v>1913</v>
      </c>
      <c r="D637" s="7">
        <v>171000</v>
      </c>
      <c r="E637" s="8"/>
      <c r="F637" s="9" t="s">
        <v>10</v>
      </c>
      <c r="G637" s="18" t="s">
        <v>421</v>
      </c>
    </row>
    <row r="638" spans="1:7" ht="19.5" customHeight="1">
      <c r="A638" s="4">
        <v>45975</v>
      </c>
      <c r="B638" s="5" t="s">
        <v>1914</v>
      </c>
      <c r="C638" s="14" t="s">
        <v>1915</v>
      </c>
      <c r="D638" s="7">
        <v>122655</v>
      </c>
      <c r="E638" s="8"/>
      <c r="F638" s="9" t="s">
        <v>16</v>
      </c>
      <c r="G638" s="18" t="s">
        <v>421</v>
      </c>
    </row>
    <row r="639" spans="1:7" ht="18.75" customHeight="1">
      <c r="A639" s="4">
        <v>45975</v>
      </c>
      <c r="B639" s="5" t="s">
        <v>1916</v>
      </c>
      <c r="C639" s="14" t="s">
        <v>1917</v>
      </c>
      <c r="D639" s="7">
        <v>134100</v>
      </c>
      <c r="E639" s="8"/>
      <c r="F639" s="9" t="s">
        <v>10</v>
      </c>
      <c r="G639" s="18" t="s">
        <v>371</v>
      </c>
    </row>
    <row r="640" spans="1:7" ht="18.75" customHeight="1">
      <c r="A640" s="4">
        <v>45975</v>
      </c>
      <c r="B640" s="9" t="s">
        <v>1918</v>
      </c>
      <c r="C640" s="14" t="s">
        <v>1919</v>
      </c>
      <c r="D640" s="7">
        <v>153200</v>
      </c>
      <c r="E640" s="8"/>
      <c r="F640" s="9" t="s">
        <v>10</v>
      </c>
      <c r="G640" s="18" t="s">
        <v>371</v>
      </c>
    </row>
    <row r="641" spans="1:7" ht="21.75" customHeight="1">
      <c r="A641" s="4">
        <v>45975</v>
      </c>
      <c r="B641" s="5" t="s">
        <v>1920</v>
      </c>
      <c r="C641" s="14" t="s">
        <v>1921</v>
      </c>
      <c r="D641" s="7">
        <v>88300</v>
      </c>
      <c r="E641" s="8"/>
      <c r="F641" s="9" t="s">
        <v>10</v>
      </c>
      <c r="G641" s="18" t="s">
        <v>421</v>
      </c>
    </row>
    <row r="642" spans="1:7" ht="21" customHeight="1">
      <c r="A642" s="4">
        <v>45975</v>
      </c>
      <c r="B642" s="5" t="s">
        <v>1922</v>
      </c>
      <c r="C642" s="14" t="s">
        <v>1923</v>
      </c>
      <c r="D642" s="7">
        <v>155100</v>
      </c>
      <c r="E642" s="8"/>
      <c r="F642" s="9" t="s">
        <v>10</v>
      </c>
      <c r="G642" s="18" t="s">
        <v>421</v>
      </c>
    </row>
    <row r="643" spans="1:7" ht="20.25" customHeight="1">
      <c r="A643" s="4">
        <v>45975</v>
      </c>
      <c r="B643" s="5" t="s">
        <v>1924</v>
      </c>
      <c r="C643" s="14" t="s">
        <v>1925</v>
      </c>
      <c r="D643" s="7">
        <v>137900</v>
      </c>
      <c r="E643" s="8"/>
      <c r="F643" s="9" t="s">
        <v>10</v>
      </c>
      <c r="G643" s="18" t="s">
        <v>421</v>
      </c>
    </row>
    <row r="644" spans="1:7" ht="21" customHeight="1">
      <c r="A644" s="4">
        <v>45975</v>
      </c>
      <c r="B644" s="5" t="s">
        <v>1926</v>
      </c>
      <c r="C644" s="14" t="s">
        <v>1927</v>
      </c>
      <c r="D644" s="7">
        <v>72500</v>
      </c>
      <c r="E644" s="8"/>
      <c r="F644" s="9" t="s">
        <v>10</v>
      </c>
      <c r="G644" s="18" t="s">
        <v>421</v>
      </c>
    </row>
    <row r="645" spans="1:7" ht="20.25" customHeight="1">
      <c r="A645" s="4">
        <v>45975</v>
      </c>
      <c r="B645" s="5" t="s">
        <v>1928</v>
      </c>
      <c r="C645" s="14" t="s">
        <v>1929</v>
      </c>
      <c r="D645" s="7">
        <v>118170</v>
      </c>
      <c r="E645" s="8"/>
      <c r="F645" s="9" t="s">
        <v>10</v>
      </c>
      <c r="G645" s="18" t="s">
        <v>421</v>
      </c>
    </row>
    <row r="646" spans="1:7" ht="22.5" customHeight="1">
      <c r="A646" s="4">
        <v>45975</v>
      </c>
      <c r="B646" s="9" t="s">
        <v>1063</v>
      </c>
      <c r="C646" s="14" t="s">
        <v>1930</v>
      </c>
      <c r="D646" s="7">
        <v>156600</v>
      </c>
      <c r="E646" s="8"/>
      <c r="F646" s="9" t="s">
        <v>10</v>
      </c>
      <c r="G646" s="18" t="s">
        <v>371</v>
      </c>
    </row>
    <row r="647" spans="1:7" ht="22.5" customHeight="1">
      <c r="A647" s="4">
        <v>45975</v>
      </c>
      <c r="B647" s="10" t="s">
        <v>1931</v>
      </c>
      <c r="C647" s="14" t="s">
        <v>1932</v>
      </c>
      <c r="D647" s="7">
        <v>151500</v>
      </c>
      <c r="E647" s="8"/>
      <c r="F647" s="9" t="s">
        <v>10</v>
      </c>
      <c r="G647" s="18" t="s">
        <v>371</v>
      </c>
    </row>
    <row r="648" spans="1:7" ht="22.5" customHeight="1">
      <c r="A648" s="4">
        <v>45975</v>
      </c>
      <c r="B648" s="5" t="s">
        <v>153</v>
      </c>
      <c r="C648" s="14" t="s">
        <v>1933</v>
      </c>
      <c r="D648" s="7">
        <v>124000</v>
      </c>
      <c r="E648" s="8"/>
      <c r="F648" s="9" t="s">
        <v>10</v>
      </c>
      <c r="G648" s="18" t="s">
        <v>371</v>
      </c>
    </row>
    <row r="649" spans="1:7" ht="22.5" customHeight="1">
      <c r="A649" s="4">
        <v>45975</v>
      </c>
      <c r="B649" s="10" t="s">
        <v>1934</v>
      </c>
      <c r="C649" s="14" t="s">
        <v>1935</v>
      </c>
      <c r="D649" s="7">
        <v>125000</v>
      </c>
      <c r="E649" s="8"/>
      <c r="F649" s="9" t="s">
        <v>10</v>
      </c>
      <c r="G649" s="18" t="s">
        <v>371</v>
      </c>
    </row>
    <row r="650" spans="1:7" ht="23.25" customHeight="1">
      <c r="A650" s="4">
        <v>45975</v>
      </c>
      <c r="B650" s="5" t="s">
        <v>1936</v>
      </c>
      <c r="C650" s="14" t="s">
        <v>1937</v>
      </c>
      <c r="D650" s="7">
        <v>202500</v>
      </c>
      <c r="E650" s="8"/>
      <c r="F650" s="9" t="s">
        <v>10</v>
      </c>
      <c r="G650" s="18" t="s">
        <v>421</v>
      </c>
    </row>
    <row r="651" spans="1:7" ht="20.25" customHeight="1">
      <c r="A651" s="4">
        <v>45976</v>
      </c>
      <c r="B651" s="9" t="s">
        <v>1938</v>
      </c>
      <c r="C651" s="14" t="s">
        <v>1939</v>
      </c>
      <c r="D651" s="7">
        <v>142100</v>
      </c>
      <c r="E651" s="8"/>
      <c r="F651" s="9" t="s">
        <v>10</v>
      </c>
      <c r="G651" s="18" t="s">
        <v>371</v>
      </c>
    </row>
    <row r="652" spans="1:7" ht="22.5" customHeight="1">
      <c r="A652" s="4">
        <v>45976</v>
      </c>
      <c r="B652" s="10" t="s">
        <v>1940</v>
      </c>
      <c r="C652" s="14" t="s">
        <v>1941</v>
      </c>
      <c r="D652" s="7">
        <v>164200</v>
      </c>
      <c r="E652" s="8"/>
      <c r="F652" s="9" t="s">
        <v>7</v>
      </c>
      <c r="G652" s="18" t="s">
        <v>371</v>
      </c>
    </row>
    <row r="653" spans="1:7" ht="21" customHeight="1">
      <c r="A653" s="4">
        <v>45976</v>
      </c>
      <c r="B653" s="5" t="s">
        <v>1942</v>
      </c>
      <c r="C653" s="14" t="s">
        <v>1943</v>
      </c>
      <c r="D653" s="7">
        <v>48400</v>
      </c>
      <c r="E653" s="8"/>
      <c r="F653" s="9" t="s">
        <v>10</v>
      </c>
      <c r="G653" s="18" t="s">
        <v>421</v>
      </c>
    </row>
    <row r="654" spans="1:7" ht="26.25" customHeight="1">
      <c r="A654" s="4">
        <v>45976</v>
      </c>
      <c r="B654" s="5" t="s">
        <v>1944</v>
      </c>
      <c r="C654" s="14" t="s">
        <v>1945</v>
      </c>
      <c r="D654" s="7">
        <v>154260</v>
      </c>
      <c r="E654" s="8"/>
      <c r="F654" s="9" t="s">
        <v>10</v>
      </c>
      <c r="G654" s="18" t="s">
        <v>421</v>
      </c>
    </row>
    <row r="655" spans="1:7" ht="22.5" customHeight="1">
      <c r="A655" s="4">
        <v>45976</v>
      </c>
      <c r="B655" s="10" t="s">
        <v>235</v>
      </c>
      <c r="C655" s="14" t="s">
        <v>1946</v>
      </c>
      <c r="D655" s="7">
        <v>209000</v>
      </c>
      <c r="E655" s="8"/>
      <c r="F655" s="9" t="s">
        <v>10</v>
      </c>
      <c r="G655" s="18" t="s">
        <v>371</v>
      </c>
    </row>
    <row r="656" spans="1:7" ht="20.25" customHeight="1">
      <c r="A656" s="4">
        <v>45979</v>
      </c>
      <c r="B656" s="9" t="s">
        <v>1947</v>
      </c>
      <c r="C656" s="14" t="s">
        <v>1948</v>
      </c>
      <c r="D656" s="7">
        <v>130000</v>
      </c>
      <c r="E656" s="8"/>
      <c r="F656" s="9" t="s">
        <v>16</v>
      </c>
      <c r="G656" s="18" t="s">
        <v>421</v>
      </c>
    </row>
    <row r="657" spans="1:7" ht="21.75" customHeight="1">
      <c r="A657" s="4">
        <v>45979</v>
      </c>
      <c r="B657" s="9" t="s">
        <v>1949</v>
      </c>
      <c r="C657" s="14" t="s">
        <v>1950</v>
      </c>
      <c r="D657" s="7">
        <v>170500</v>
      </c>
      <c r="E657" s="8"/>
      <c r="F657" s="9" t="s">
        <v>10</v>
      </c>
      <c r="G657" s="18" t="s">
        <v>371</v>
      </c>
    </row>
    <row r="658" spans="1:7" ht="22.5" customHeight="1">
      <c r="A658" s="4">
        <v>45979</v>
      </c>
      <c r="B658" s="9" t="s">
        <v>1951</v>
      </c>
      <c r="C658" s="14" t="s">
        <v>1952</v>
      </c>
      <c r="D658" s="7">
        <v>124000</v>
      </c>
      <c r="E658" s="8"/>
      <c r="F658" s="9" t="s">
        <v>10</v>
      </c>
      <c r="G658" s="18" t="s">
        <v>371</v>
      </c>
    </row>
    <row r="659" spans="1:7" ht="20.25" customHeight="1">
      <c r="A659" s="4">
        <v>45979</v>
      </c>
      <c r="B659" s="9" t="s">
        <v>1953</v>
      </c>
      <c r="C659" s="14" t="s">
        <v>1954</v>
      </c>
      <c r="D659" s="7">
        <v>74600</v>
      </c>
      <c r="E659" s="8"/>
      <c r="F659" s="9" t="s">
        <v>10</v>
      </c>
      <c r="G659" s="18" t="s">
        <v>421</v>
      </c>
    </row>
    <row r="660" spans="1:7" ht="21" customHeight="1">
      <c r="A660" s="4">
        <v>45979</v>
      </c>
      <c r="B660" s="9" t="s">
        <v>1955</v>
      </c>
      <c r="C660" s="14" t="s">
        <v>1956</v>
      </c>
      <c r="D660" s="7">
        <v>85100</v>
      </c>
      <c r="E660" s="8"/>
      <c r="F660" s="9" t="s">
        <v>10</v>
      </c>
      <c r="G660" s="18" t="s">
        <v>421</v>
      </c>
    </row>
    <row r="661" spans="1:7" ht="22.5" customHeight="1">
      <c r="A661" s="4">
        <v>45979</v>
      </c>
      <c r="B661" s="9" t="s">
        <v>1957</v>
      </c>
      <c r="C661" s="14" t="s">
        <v>1958</v>
      </c>
      <c r="D661" s="7">
        <v>40500</v>
      </c>
      <c r="E661" s="8"/>
      <c r="F661" s="9" t="s">
        <v>10</v>
      </c>
      <c r="G661" s="18" t="s">
        <v>421</v>
      </c>
    </row>
    <row r="662" spans="1:7" ht="19.5" customHeight="1">
      <c r="A662" s="4">
        <v>45979</v>
      </c>
      <c r="B662" s="9" t="s">
        <v>1959</v>
      </c>
      <c r="C662" s="14" t="s">
        <v>1960</v>
      </c>
      <c r="D662" s="7">
        <v>110500</v>
      </c>
      <c r="E662" s="8"/>
      <c r="F662" s="9" t="s">
        <v>10</v>
      </c>
      <c r="G662" s="18" t="s">
        <v>421</v>
      </c>
    </row>
    <row r="663" spans="1:7" ht="24" customHeight="1">
      <c r="A663" s="4">
        <v>45979</v>
      </c>
      <c r="B663" s="9" t="s">
        <v>1961</v>
      </c>
      <c r="C663" s="14" t="s">
        <v>1962</v>
      </c>
      <c r="D663" s="7">
        <v>113760</v>
      </c>
      <c r="E663" s="8"/>
      <c r="F663" s="9" t="s">
        <v>10</v>
      </c>
      <c r="G663" s="18" t="s">
        <v>371</v>
      </c>
    </row>
    <row r="664" spans="1:7" ht="19.5" customHeight="1">
      <c r="A664" s="4">
        <v>45979</v>
      </c>
      <c r="B664" s="9" t="s">
        <v>605</v>
      </c>
      <c r="C664" s="14" t="s">
        <v>1963</v>
      </c>
      <c r="D664" s="7">
        <v>221600</v>
      </c>
      <c r="E664" s="8"/>
      <c r="F664" s="9" t="s">
        <v>10</v>
      </c>
      <c r="G664" s="18" t="s">
        <v>371</v>
      </c>
    </row>
    <row r="665" spans="1:7" ht="20.25" customHeight="1">
      <c r="A665" s="4">
        <v>45979</v>
      </c>
      <c r="B665" s="9" t="s">
        <v>1964</v>
      </c>
      <c r="C665" s="14" t="s">
        <v>1965</v>
      </c>
      <c r="D665" s="7">
        <v>98150</v>
      </c>
      <c r="E665" s="8"/>
      <c r="F665" s="9" t="s">
        <v>10</v>
      </c>
      <c r="G665" s="18" t="s">
        <v>371</v>
      </c>
    </row>
    <row r="666" spans="1:7" ht="19.5" customHeight="1">
      <c r="A666" s="4">
        <v>45979</v>
      </c>
      <c r="B666" s="9" t="s">
        <v>1966</v>
      </c>
      <c r="C666" s="14" t="s">
        <v>1967</v>
      </c>
      <c r="D666" s="7">
        <v>130000</v>
      </c>
      <c r="E666" s="8"/>
      <c r="F666" s="9" t="s">
        <v>10</v>
      </c>
      <c r="G666" s="18" t="s">
        <v>421</v>
      </c>
    </row>
    <row r="667" spans="1:7" ht="24" customHeight="1">
      <c r="A667" s="4">
        <v>45979</v>
      </c>
      <c r="B667" s="9" t="s">
        <v>1968</v>
      </c>
      <c r="C667" s="14" t="s">
        <v>1969</v>
      </c>
      <c r="D667" s="7">
        <v>51000</v>
      </c>
      <c r="E667" s="8"/>
      <c r="F667" s="9" t="s">
        <v>10</v>
      </c>
      <c r="G667" s="18" t="s">
        <v>421</v>
      </c>
    </row>
    <row r="668" spans="1:7" ht="21.75" customHeight="1">
      <c r="A668" s="4">
        <v>45979</v>
      </c>
      <c r="B668" s="9" t="s">
        <v>1970</v>
      </c>
      <c r="C668" s="14" t="s">
        <v>1971</v>
      </c>
      <c r="D668" s="7">
        <v>127300</v>
      </c>
      <c r="E668" s="8"/>
      <c r="F668" s="9" t="s">
        <v>10</v>
      </c>
      <c r="G668" s="18" t="s">
        <v>371</v>
      </c>
    </row>
    <row r="669" spans="1:7" ht="20.25" customHeight="1">
      <c r="A669" s="4">
        <v>45979</v>
      </c>
      <c r="B669" s="9" t="s">
        <v>1972</v>
      </c>
      <c r="C669" s="14" t="s">
        <v>1973</v>
      </c>
      <c r="D669" s="7">
        <v>148500</v>
      </c>
      <c r="E669" s="8"/>
      <c r="F669" s="9" t="s">
        <v>10</v>
      </c>
      <c r="G669" s="18" t="s">
        <v>421</v>
      </c>
    </row>
    <row r="670" spans="1:7" ht="22.5" customHeight="1">
      <c r="A670" s="4">
        <v>45979</v>
      </c>
      <c r="B670" s="9" t="s">
        <v>1974</v>
      </c>
      <c r="C670" s="14" t="s">
        <v>1975</v>
      </c>
      <c r="D670" s="7">
        <v>117000</v>
      </c>
      <c r="E670" s="8"/>
      <c r="F670" s="9" t="s">
        <v>10</v>
      </c>
      <c r="G670" s="18" t="s">
        <v>421</v>
      </c>
    </row>
    <row r="671" spans="1:7" ht="22.5" customHeight="1">
      <c r="A671" s="4">
        <v>45979</v>
      </c>
      <c r="B671" s="9" t="s">
        <v>1976</v>
      </c>
      <c r="C671" s="14" t="s">
        <v>1977</v>
      </c>
      <c r="D671" s="7">
        <v>119600</v>
      </c>
      <c r="E671" s="8"/>
      <c r="F671" s="9" t="s">
        <v>10</v>
      </c>
      <c r="G671" s="18" t="s">
        <v>421</v>
      </c>
    </row>
    <row r="672" spans="1:7" ht="23.25" customHeight="1">
      <c r="A672" s="4">
        <v>45979</v>
      </c>
      <c r="B672" s="9" t="s">
        <v>1978</v>
      </c>
      <c r="C672" s="14" t="s">
        <v>1979</v>
      </c>
      <c r="D672" s="7">
        <v>275100</v>
      </c>
      <c r="E672" s="8"/>
      <c r="F672" s="9" t="s">
        <v>10</v>
      </c>
      <c r="G672" s="18" t="s">
        <v>421</v>
      </c>
    </row>
    <row r="673" spans="1:7" ht="20.25" customHeight="1">
      <c r="A673" s="4">
        <v>45979</v>
      </c>
      <c r="B673" s="9" t="s">
        <v>1980</v>
      </c>
      <c r="C673" s="14" t="s">
        <v>1981</v>
      </c>
      <c r="D673" s="7">
        <v>185200</v>
      </c>
      <c r="E673" s="8"/>
      <c r="F673" s="9" t="s">
        <v>10</v>
      </c>
      <c r="G673" s="18" t="s">
        <v>421</v>
      </c>
    </row>
    <row r="674" spans="1:7" ht="24" customHeight="1">
      <c r="A674" s="4">
        <v>45979</v>
      </c>
      <c r="B674" s="9" t="s">
        <v>1982</v>
      </c>
      <c r="C674" s="14" t="s">
        <v>1983</v>
      </c>
      <c r="D674" s="7">
        <v>68000</v>
      </c>
      <c r="E674" s="8"/>
      <c r="F674" s="9" t="s">
        <v>10</v>
      </c>
      <c r="G674" s="18" t="s">
        <v>421</v>
      </c>
    </row>
    <row r="675" spans="1:7" ht="20.25" customHeight="1">
      <c r="A675" s="4">
        <v>45979</v>
      </c>
      <c r="B675" s="9" t="s">
        <v>1586</v>
      </c>
      <c r="C675" s="14" t="s">
        <v>1984</v>
      </c>
      <c r="D675" s="7">
        <v>102500</v>
      </c>
      <c r="E675" s="8"/>
      <c r="F675" s="9" t="s">
        <v>10</v>
      </c>
      <c r="G675" s="18" t="s">
        <v>371</v>
      </c>
    </row>
    <row r="676" spans="1:7" ht="22.5" customHeight="1">
      <c r="A676" s="4">
        <v>45979</v>
      </c>
      <c r="B676" s="9" t="s">
        <v>1985</v>
      </c>
      <c r="C676" s="14" t="s">
        <v>1986</v>
      </c>
      <c r="D676" s="7">
        <v>130000</v>
      </c>
      <c r="E676" s="8"/>
      <c r="F676" s="9" t="s">
        <v>10</v>
      </c>
      <c r="G676" s="18" t="s">
        <v>421</v>
      </c>
    </row>
    <row r="677" spans="1:7" ht="23.25" customHeight="1">
      <c r="A677" s="4">
        <v>45979</v>
      </c>
      <c r="B677" s="9" t="s">
        <v>1987</v>
      </c>
      <c r="C677" s="14" t="s">
        <v>1988</v>
      </c>
      <c r="D677" s="7">
        <v>110300</v>
      </c>
      <c r="E677" s="8"/>
      <c r="F677" s="9" t="s">
        <v>10</v>
      </c>
      <c r="G677" s="18" t="s">
        <v>421</v>
      </c>
    </row>
    <row r="678" spans="1:7" ht="22.5" customHeight="1">
      <c r="A678" s="4">
        <v>45980</v>
      </c>
      <c r="B678" s="11" t="s">
        <v>306</v>
      </c>
      <c r="C678" s="14" t="s">
        <v>1989</v>
      </c>
      <c r="D678" s="7">
        <v>65600</v>
      </c>
      <c r="E678" s="8"/>
      <c r="F678" s="9" t="s">
        <v>16</v>
      </c>
      <c r="G678" s="18" t="s">
        <v>371</v>
      </c>
    </row>
    <row r="679" spans="1:7" ht="22.5" customHeight="1">
      <c r="A679" s="4">
        <v>45980</v>
      </c>
      <c r="B679" s="10" t="s">
        <v>1990</v>
      </c>
      <c r="C679" s="14" t="s">
        <v>1991</v>
      </c>
      <c r="D679" s="7">
        <v>82000</v>
      </c>
      <c r="E679" s="8"/>
      <c r="F679" s="9" t="s">
        <v>7</v>
      </c>
      <c r="G679" s="18" t="s">
        <v>371</v>
      </c>
    </row>
    <row r="680" spans="1:7" ht="21.75" customHeight="1">
      <c r="A680" s="4">
        <v>45980</v>
      </c>
      <c r="B680" s="5" t="s">
        <v>1530</v>
      </c>
      <c r="C680" s="14" t="s">
        <v>1992</v>
      </c>
      <c r="D680" s="7">
        <v>156200</v>
      </c>
      <c r="E680" s="8"/>
      <c r="F680" s="9" t="s">
        <v>10</v>
      </c>
      <c r="G680" s="18" t="s">
        <v>371</v>
      </c>
    </row>
    <row r="681" spans="1:7" ht="22.5" customHeight="1">
      <c r="A681" s="4">
        <v>45980</v>
      </c>
      <c r="B681" s="10" t="s">
        <v>898</v>
      </c>
      <c r="C681" s="14" t="s">
        <v>1993</v>
      </c>
      <c r="D681" s="7">
        <v>189000</v>
      </c>
      <c r="E681" s="8"/>
      <c r="F681" s="9" t="s">
        <v>10</v>
      </c>
      <c r="G681" s="18" t="s">
        <v>371</v>
      </c>
    </row>
    <row r="682" spans="1:7" ht="22.5" customHeight="1">
      <c r="A682" s="4">
        <v>45980</v>
      </c>
      <c r="B682" s="10" t="s">
        <v>1994</v>
      </c>
      <c r="C682" s="14" t="s">
        <v>1995</v>
      </c>
      <c r="D682" s="7">
        <v>130000</v>
      </c>
      <c r="E682" s="8"/>
      <c r="F682" s="9" t="s">
        <v>7</v>
      </c>
      <c r="G682" s="18" t="s">
        <v>371</v>
      </c>
    </row>
    <row r="683" spans="1:7" ht="20.25" customHeight="1">
      <c r="A683" s="4">
        <v>45980</v>
      </c>
      <c r="B683" s="5" t="s">
        <v>520</v>
      </c>
      <c r="C683" s="14" t="s">
        <v>1996</v>
      </c>
      <c r="D683" s="7">
        <v>93500</v>
      </c>
      <c r="E683" s="8"/>
      <c r="F683" s="9" t="s">
        <v>21</v>
      </c>
      <c r="G683" s="18" t="s">
        <v>371</v>
      </c>
    </row>
    <row r="684" spans="1:7" ht="22.5" customHeight="1">
      <c r="A684" s="4">
        <v>45980</v>
      </c>
      <c r="B684" s="5" t="s">
        <v>951</v>
      </c>
      <c r="C684" s="14" t="s">
        <v>1997</v>
      </c>
      <c r="D684" s="7">
        <v>143100</v>
      </c>
      <c r="E684" s="8"/>
      <c r="F684" s="9" t="s">
        <v>7</v>
      </c>
      <c r="G684" s="18" t="s">
        <v>371</v>
      </c>
    </row>
    <row r="685" spans="1:7" ht="22.5" customHeight="1">
      <c r="A685" s="4">
        <v>45980</v>
      </c>
      <c r="B685" s="5" t="s">
        <v>1998</v>
      </c>
      <c r="C685" s="14" t="s">
        <v>1999</v>
      </c>
      <c r="D685" s="7">
        <v>72500</v>
      </c>
      <c r="E685" s="8"/>
      <c r="F685" s="9" t="s">
        <v>10</v>
      </c>
      <c r="G685" s="18" t="s">
        <v>371</v>
      </c>
    </row>
    <row r="686" spans="1:7" ht="22.5" customHeight="1">
      <c r="A686" s="4">
        <v>45980</v>
      </c>
      <c r="B686" s="5" t="s">
        <v>46</v>
      </c>
      <c r="C686" s="14" t="s">
        <v>2000</v>
      </c>
      <c r="D686" s="7">
        <v>178100</v>
      </c>
      <c r="E686" s="8"/>
      <c r="F686" s="9" t="s">
        <v>7</v>
      </c>
      <c r="G686" s="18" t="s">
        <v>371</v>
      </c>
    </row>
    <row r="687" spans="1:7" ht="21.75" customHeight="1">
      <c r="A687" s="4">
        <v>45980</v>
      </c>
      <c r="B687" s="9" t="s">
        <v>2001</v>
      </c>
      <c r="C687" s="14" t="s">
        <v>2002</v>
      </c>
      <c r="D687" s="7">
        <v>125500</v>
      </c>
      <c r="E687" s="8"/>
      <c r="F687" s="9" t="s">
        <v>10</v>
      </c>
      <c r="G687" s="18" t="s">
        <v>371</v>
      </c>
    </row>
    <row r="688" spans="1:7" ht="22.5" customHeight="1">
      <c r="A688" s="4">
        <v>45980</v>
      </c>
      <c r="B688" s="9" t="s">
        <v>619</v>
      </c>
      <c r="C688" s="14" t="s">
        <v>2003</v>
      </c>
      <c r="D688" s="7">
        <v>56000</v>
      </c>
      <c r="E688" s="8"/>
      <c r="F688" s="9" t="s">
        <v>10</v>
      </c>
      <c r="G688" s="18" t="s">
        <v>371</v>
      </c>
    </row>
    <row r="689" spans="1:7" ht="19.5" customHeight="1">
      <c r="A689" s="4">
        <v>45980</v>
      </c>
      <c r="B689" s="9" t="s">
        <v>1646</v>
      </c>
      <c r="C689" s="14" t="s">
        <v>2004</v>
      </c>
      <c r="D689" s="7">
        <v>285600</v>
      </c>
      <c r="E689" s="8"/>
      <c r="F689" s="9" t="s">
        <v>10</v>
      </c>
      <c r="G689" s="18" t="s">
        <v>371</v>
      </c>
    </row>
    <row r="690" spans="1:7" ht="22.5" customHeight="1">
      <c r="A690" s="4">
        <v>45980</v>
      </c>
      <c r="B690" s="9" t="s">
        <v>2005</v>
      </c>
      <c r="C690" s="14" t="s">
        <v>2006</v>
      </c>
      <c r="D690" s="7">
        <v>152600</v>
      </c>
      <c r="E690" s="8"/>
      <c r="F690" s="9" t="s">
        <v>10</v>
      </c>
      <c r="G690" s="18" t="s">
        <v>371</v>
      </c>
    </row>
    <row r="691" spans="1:7" ht="23.25" customHeight="1">
      <c r="A691" s="4">
        <v>45980</v>
      </c>
      <c r="B691" s="9" t="s">
        <v>2007</v>
      </c>
      <c r="C691" s="14" t="s">
        <v>2008</v>
      </c>
      <c r="D691" s="7">
        <v>311900</v>
      </c>
      <c r="E691" s="8"/>
      <c r="F691" s="9" t="s">
        <v>16</v>
      </c>
      <c r="G691" s="18" t="s">
        <v>421</v>
      </c>
    </row>
    <row r="692" spans="1:7" ht="21" customHeight="1">
      <c r="A692" s="4">
        <v>45980</v>
      </c>
      <c r="B692" s="9" t="s">
        <v>2009</v>
      </c>
      <c r="C692" s="14" t="s">
        <v>2010</v>
      </c>
      <c r="D692" s="7">
        <v>198500</v>
      </c>
      <c r="E692" s="8"/>
      <c r="F692" s="9" t="s">
        <v>10</v>
      </c>
      <c r="G692" s="18" t="s">
        <v>421</v>
      </c>
    </row>
    <row r="693" spans="1:7" ht="22.5" customHeight="1">
      <c r="A693" s="4">
        <v>45980</v>
      </c>
      <c r="B693" s="197" t="s">
        <v>2011</v>
      </c>
      <c r="C693" s="14" t="s">
        <v>2012</v>
      </c>
      <c r="D693" s="7">
        <v>125500</v>
      </c>
      <c r="E693" s="8"/>
      <c r="F693" s="9" t="s">
        <v>10</v>
      </c>
      <c r="G693" s="18" t="s">
        <v>421</v>
      </c>
    </row>
    <row r="694" spans="1:7" ht="21.75" customHeight="1">
      <c r="A694" s="4">
        <v>45980</v>
      </c>
      <c r="B694" s="9" t="s">
        <v>2013</v>
      </c>
      <c r="C694" s="14" t="s">
        <v>2014</v>
      </c>
      <c r="D694" s="7">
        <v>210000</v>
      </c>
      <c r="E694" s="8"/>
      <c r="F694" s="9" t="s">
        <v>10</v>
      </c>
      <c r="G694" s="18" t="s">
        <v>421</v>
      </c>
    </row>
    <row r="695" spans="1:7" ht="21" customHeight="1">
      <c r="A695" s="4">
        <v>45980</v>
      </c>
      <c r="B695" s="9" t="s">
        <v>2015</v>
      </c>
      <c r="C695" s="14" t="s">
        <v>2016</v>
      </c>
      <c r="D695" s="7">
        <v>83000</v>
      </c>
      <c r="E695" s="8"/>
      <c r="F695" s="9" t="s">
        <v>16</v>
      </c>
      <c r="G695" s="18" t="s">
        <v>371</v>
      </c>
    </row>
    <row r="696" spans="1:7" ht="21" customHeight="1">
      <c r="A696" s="4">
        <v>45980</v>
      </c>
      <c r="B696" s="9" t="s">
        <v>2017</v>
      </c>
      <c r="C696" s="14" t="s">
        <v>2018</v>
      </c>
      <c r="D696" s="7">
        <v>68600</v>
      </c>
      <c r="E696" s="8"/>
      <c r="F696" s="9" t="s">
        <v>10</v>
      </c>
      <c r="G696" s="18" t="s">
        <v>421</v>
      </c>
    </row>
    <row r="697" spans="1:7" ht="22.5" customHeight="1">
      <c r="A697" s="4">
        <v>45980</v>
      </c>
      <c r="B697" s="9" t="s">
        <v>2019</v>
      </c>
      <c r="C697" s="14" t="s">
        <v>2020</v>
      </c>
      <c r="D697" s="7">
        <v>51500</v>
      </c>
      <c r="E697" s="8"/>
      <c r="F697" s="9" t="s">
        <v>10</v>
      </c>
      <c r="G697" s="18" t="s">
        <v>371</v>
      </c>
    </row>
    <row r="698" spans="1:7" ht="22.5" customHeight="1">
      <c r="A698" s="4">
        <v>45980</v>
      </c>
      <c r="B698" s="9" t="s">
        <v>2021</v>
      </c>
      <c r="C698" s="14" t="s">
        <v>2022</v>
      </c>
      <c r="D698" s="7">
        <v>135400</v>
      </c>
      <c r="E698" s="8"/>
      <c r="F698" s="9" t="s">
        <v>10</v>
      </c>
      <c r="G698" s="18" t="s">
        <v>421</v>
      </c>
    </row>
    <row r="699" spans="1:7" ht="22.5" customHeight="1">
      <c r="A699" s="4">
        <v>45981</v>
      </c>
      <c r="B699" s="5" t="s">
        <v>2023</v>
      </c>
      <c r="C699" s="14" t="s">
        <v>2024</v>
      </c>
      <c r="D699" s="7">
        <v>145200</v>
      </c>
      <c r="E699" s="8"/>
      <c r="F699" s="9" t="s">
        <v>7</v>
      </c>
      <c r="G699" s="18" t="s">
        <v>371</v>
      </c>
    </row>
    <row r="700" spans="1:7" ht="22.5" customHeight="1">
      <c r="A700" s="4">
        <v>45981</v>
      </c>
      <c r="B700" s="10" t="s">
        <v>33</v>
      </c>
      <c r="C700" s="14" t="s">
        <v>2025</v>
      </c>
      <c r="D700" s="7">
        <v>281500</v>
      </c>
      <c r="E700" s="8"/>
      <c r="F700" s="9" t="s">
        <v>7</v>
      </c>
      <c r="G700" s="18" t="s">
        <v>371</v>
      </c>
    </row>
    <row r="701" spans="1:7" ht="22.5" customHeight="1">
      <c r="A701" s="4">
        <v>45981</v>
      </c>
      <c r="B701" s="9" t="s">
        <v>2026</v>
      </c>
      <c r="C701" s="14" t="s">
        <v>2027</v>
      </c>
      <c r="D701" s="7">
        <v>32600</v>
      </c>
      <c r="E701" s="8"/>
      <c r="F701" s="9" t="s">
        <v>10</v>
      </c>
      <c r="G701" s="18" t="s">
        <v>942</v>
      </c>
    </row>
    <row r="702" spans="1:7" ht="22.5" customHeight="1">
      <c r="A702" s="4">
        <v>45981</v>
      </c>
      <c r="B702" s="9" t="s">
        <v>2028</v>
      </c>
      <c r="C702" s="14" t="s">
        <v>2029</v>
      </c>
      <c r="D702" s="7">
        <v>190200</v>
      </c>
      <c r="E702" s="8"/>
      <c r="F702" s="9" t="s">
        <v>7</v>
      </c>
      <c r="G702" s="18" t="s">
        <v>1210</v>
      </c>
    </row>
    <row r="703" spans="1:7" ht="22.5" customHeight="1">
      <c r="A703" s="4">
        <v>45981</v>
      </c>
      <c r="B703" s="9" t="s">
        <v>2030</v>
      </c>
      <c r="C703" s="14" t="s">
        <v>2031</v>
      </c>
      <c r="D703" s="7">
        <v>126000</v>
      </c>
      <c r="E703" s="8"/>
      <c r="F703" s="9" t="s">
        <v>7</v>
      </c>
      <c r="G703" s="18" t="s">
        <v>371</v>
      </c>
    </row>
    <row r="704" spans="1:7" ht="22.5" customHeight="1">
      <c r="A704" s="4">
        <v>45981</v>
      </c>
      <c r="B704" s="9" t="s">
        <v>112</v>
      </c>
      <c r="C704" s="14" t="s">
        <v>2032</v>
      </c>
      <c r="D704" s="7">
        <v>409800</v>
      </c>
      <c r="E704" s="8"/>
      <c r="F704" s="9" t="s">
        <v>10</v>
      </c>
      <c r="G704" s="18" t="s">
        <v>371</v>
      </c>
    </row>
    <row r="705" spans="1:7" ht="22.5" customHeight="1">
      <c r="A705" s="4">
        <v>45981</v>
      </c>
      <c r="B705" s="9" t="s">
        <v>2033</v>
      </c>
      <c r="C705" s="14" t="s">
        <v>2034</v>
      </c>
      <c r="D705" s="7">
        <v>107900</v>
      </c>
      <c r="E705" s="8"/>
      <c r="F705" s="9" t="s">
        <v>7</v>
      </c>
      <c r="G705" s="18" t="s">
        <v>942</v>
      </c>
    </row>
    <row r="706" spans="1:7" ht="22.5" customHeight="1">
      <c r="A706" s="4">
        <v>45981</v>
      </c>
      <c r="B706" s="9" t="s">
        <v>2035</v>
      </c>
      <c r="C706" s="14" t="s">
        <v>2036</v>
      </c>
      <c r="D706" s="7">
        <v>177000</v>
      </c>
      <c r="E706" s="8"/>
      <c r="F706" s="9" t="s">
        <v>7</v>
      </c>
      <c r="G706" s="18" t="s">
        <v>371</v>
      </c>
    </row>
    <row r="707" spans="1:7" ht="22.5" customHeight="1">
      <c r="A707" s="4">
        <v>45981</v>
      </c>
      <c r="B707" s="9" t="s">
        <v>2037</v>
      </c>
      <c r="C707" s="14" t="s">
        <v>2038</v>
      </c>
      <c r="D707" s="7">
        <v>131100</v>
      </c>
      <c r="E707" s="8"/>
      <c r="F707" s="9" t="s">
        <v>10</v>
      </c>
      <c r="G707" s="18" t="s">
        <v>421</v>
      </c>
    </row>
    <row r="708" spans="1:7" ht="21" customHeight="1">
      <c r="A708" s="4">
        <v>45981</v>
      </c>
      <c r="B708" s="9" t="s">
        <v>2039</v>
      </c>
      <c r="C708" s="14" t="s">
        <v>2040</v>
      </c>
      <c r="D708" s="7">
        <v>204100</v>
      </c>
      <c r="E708" s="8"/>
      <c r="F708" s="9" t="s">
        <v>10</v>
      </c>
      <c r="G708" s="18" t="s">
        <v>421</v>
      </c>
    </row>
    <row r="709" spans="1:7" ht="22.5" customHeight="1">
      <c r="A709" s="4">
        <v>45981</v>
      </c>
      <c r="B709" s="197" t="s">
        <v>2041</v>
      </c>
      <c r="C709" s="14" t="s">
        <v>2042</v>
      </c>
      <c r="D709" s="7">
        <v>189000</v>
      </c>
      <c r="E709" s="8"/>
      <c r="F709" s="9" t="s">
        <v>10</v>
      </c>
      <c r="G709" s="18" t="s">
        <v>371</v>
      </c>
    </row>
    <row r="710" spans="1:7" ht="21" customHeight="1">
      <c r="A710" s="4">
        <v>45981</v>
      </c>
      <c r="B710" s="9" t="s">
        <v>2043</v>
      </c>
      <c r="C710" s="14" t="s">
        <v>2044</v>
      </c>
      <c r="D710" s="7">
        <v>117500</v>
      </c>
      <c r="E710" s="8"/>
      <c r="F710" s="9" t="s">
        <v>10</v>
      </c>
      <c r="G710" s="18" t="s">
        <v>421</v>
      </c>
    </row>
    <row r="711" spans="1:7" ht="22.5" customHeight="1">
      <c r="A711" s="4">
        <v>45981</v>
      </c>
      <c r="B711" s="10" t="s">
        <v>1994</v>
      </c>
      <c r="C711" s="14" t="s">
        <v>2045</v>
      </c>
      <c r="D711" s="7">
        <v>130000</v>
      </c>
      <c r="E711" s="8"/>
      <c r="F711" s="9" t="s">
        <v>7</v>
      </c>
      <c r="G711" s="18" t="s">
        <v>371</v>
      </c>
    </row>
    <row r="712" spans="1:7" ht="22.5" customHeight="1">
      <c r="A712" s="4">
        <v>45981</v>
      </c>
      <c r="B712" s="5" t="s">
        <v>342</v>
      </c>
      <c r="C712" s="14" t="s">
        <v>2046</v>
      </c>
      <c r="D712" s="7">
        <v>335700</v>
      </c>
      <c r="E712" s="8"/>
      <c r="F712" s="9" t="s">
        <v>16</v>
      </c>
      <c r="G712" s="18" t="s">
        <v>371</v>
      </c>
    </row>
    <row r="713" spans="1:7" ht="24" customHeight="1">
      <c r="A713" s="4">
        <v>45981</v>
      </c>
      <c r="B713" s="9" t="s">
        <v>2047</v>
      </c>
      <c r="C713" s="14" t="s">
        <v>2048</v>
      </c>
      <c r="D713" s="7">
        <v>176420</v>
      </c>
      <c r="E713" s="8"/>
      <c r="F713" s="9" t="s">
        <v>10</v>
      </c>
      <c r="G713" s="18" t="s">
        <v>421</v>
      </c>
    </row>
    <row r="714" spans="1:7" ht="22.5" customHeight="1">
      <c r="A714" s="4">
        <v>45981</v>
      </c>
      <c r="B714" s="10" t="s">
        <v>369</v>
      </c>
      <c r="C714" s="14" t="s">
        <v>2049</v>
      </c>
      <c r="D714" s="7">
        <v>173300</v>
      </c>
      <c r="E714" s="8"/>
      <c r="F714" s="9" t="s">
        <v>7</v>
      </c>
      <c r="G714" s="18" t="s">
        <v>371</v>
      </c>
    </row>
    <row r="715" spans="1:7" ht="22.5" customHeight="1">
      <c r="A715" s="4">
        <v>45981</v>
      </c>
      <c r="B715" s="5" t="s">
        <v>2050</v>
      </c>
      <c r="C715" s="14" t="s">
        <v>2051</v>
      </c>
      <c r="D715" s="7">
        <v>199000</v>
      </c>
      <c r="E715" s="8"/>
      <c r="F715" s="9" t="s">
        <v>10</v>
      </c>
      <c r="G715" s="18" t="s">
        <v>371</v>
      </c>
    </row>
    <row r="716" spans="1:7" ht="21.75" customHeight="1">
      <c r="A716" s="4">
        <v>45981</v>
      </c>
      <c r="B716" s="9" t="s">
        <v>2052</v>
      </c>
      <c r="C716" s="14" t="s">
        <v>2053</v>
      </c>
      <c r="D716" s="7">
        <v>148400</v>
      </c>
      <c r="E716" s="8"/>
      <c r="F716" s="9" t="s">
        <v>10</v>
      </c>
      <c r="G716" s="18" t="s">
        <v>421</v>
      </c>
    </row>
    <row r="717" spans="1:7" ht="21.75" customHeight="1">
      <c r="A717" s="4">
        <v>45981</v>
      </c>
      <c r="B717" s="9" t="s">
        <v>2054</v>
      </c>
      <c r="C717" s="14" t="s">
        <v>2055</v>
      </c>
      <c r="D717" s="7">
        <v>119800</v>
      </c>
      <c r="E717" s="8"/>
      <c r="F717" s="9" t="s">
        <v>10</v>
      </c>
      <c r="G717" s="18" t="s">
        <v>421</v>
      </c>
    </row>
    <row r="718" spans="1:7" ht="21.75" customHeight="1">
      <c r="A718" s="4">
        <v>45981</v>
      </c>
      <c r="B718" s="9" t="s">
        <v>2056</v>
      </c>
      <c r="C718" s="14" t="s">
        <v>2057</v>
      </c>
      <c r="D718" s="7">
        <v>110300</v>
      </c>
      <c r="E718" s="8"/>
      <c r="F718" s="9" t="s">
        <v>10</v>
      </c>
      <c r="G718" s="18" t="s">
        <v>421</v>
      </c>
    </row>
    <row r="719" spans="1:7" ht="21" customHeight="1">
      <c r="A719" s="4">
        <v>45981</v>
      </c>
      <c r="B719" s="9" t="s">
        <v>2058</v>
      </c>
      <c r="C719" s="14" t="s">
        <v>2059</v>
      </c>
      <c r="D719" s="7">
        <v>117500</v>
      </c>
      <c r="E719" s="8"/>
      <c r="F719" s="9" t="s">
        <v>16</v>
      </c>
      <c r="G719" s="18" t="s">
        <v>421</v>
      </c>
    </row>
    <row r="720" spans="1:7" ht="19.5" customHeight="1">
      <c r="A720" s="4">
        <v>45981</v>
      </c>
      <c r="B720" s="9" t="s">
        <v>2060</v>
      </c>
      <c r="C720" s="14" t="s">
        <v>2061</v>
      </c>
      <c r="D720" s="7">
        <v>117450</v>
      </c>
      <c r="E720" s="8"/>
      <c r="F720" s="9" t="s">
        <v>10</v>
      </c>
      <c r="G720" s="18" t="s">
        <v>421</v>
      </c>
    </row>
    <row r="721" spans="1:7" ht="22.5" customHeight="1">
      <c r="A721" s="4">
        <v>45982</v>
      </c>
      <c r="B721" s="10" t="s">
        <v>393</v>
      </c>
      <c r="C721" s="14" t="s">
        <v>2062</v>
      </c>
      <c r="D721" s="7">
        <v>239800</v>
      </c>
      <c r="E721" s="8"/>
      <c r="F721" s="9" t="s">
        <v>7</v>
      </c>
      <c r="G721" s="18" t="s">
        <v>371</v>
      </c>
    </row>
    <row r="722" spans="1:7" ht="22.5" customHeight="1">
      <c r="A722" s="4">
        <v>45982</v>
      </c>
      <c r="B722" s="10" t="s">
        <v>2063</v>
      </c>
      <c r="C722" s="14" t="s">
        <v>2064</v>
      </c>
      <c r="D722" s="7">
        <v>136000</v>
      </c>
      <c r="E722" s="8"/>
      <c r="F722" s="9" t="s">
        <v>10</v>
      </c>
      <c r="G722" s="18" t="s">
        <v>371</v>
      </c>
    </row>
    <row r="723" spans="1:7" ht="22.5" customHeight="1">
      <c r="A723" s="4">
        <v>45982</v>
      </c>
      <c r="B723" s="197" t="s">
        <v>2065</v>
      </c>
      <c r="C723" s="14" t="s">
        <v>2066</v>
      </c>
      <c r="D723" s="7">
        <v>292950</v>
      </c>
      <c r="E723" s="8"/>
      <c r="F723" s="9" t="s">
        <v>10</v>
      </c>
      <c r="G723" s="18" t="s">
        <v>421</v>
      </c>
    </row>
    <row r="724" spans="1:7" ht="21" customHeight="1">
      <c r="A724" s="4">
        <v>45982</v>
      </c>
      <c r="B724" s="9" t="s">
        <v>2067</v>
      </c>
      <c r="C724" s="14" t="s">
        <v>2068</v>
      </c>
      <c r="D724" s="7">
        <v>87500</v>
      </c>
      <c r="E724" s="8"/>
      <c r="F724" s="9" t="s">
        <v>10</v>
      </c>
      <c r="G724" s="18" t="s">
        <v>421</v>
      </c>
    </row>
    <row r="725" spans="1:7" ht="21" customHeight="1">
      <c r="A725" s="4">
        <v>45982</v>
      </c>
      <c r="B725" s="9" t="s">
        <v>2069</v>
      </c>
      <c r="C725" s="14" t="s">
        <v>2070</v>
      </c>
      <c r="D725" s="7">
        <v>189100</v>
      </c>
      <c r="E725" s="8"/>
      <c r="F725" s="9" t="s">
        <v>10</v>
      </c>
      <c r="G725" s="18" t="s">
        <v>421</v>
      </c>
    </row>
    <row r="726" spans="1:7" ht="22.5" customHeight="1">
      <c r="A726" s="4">
        <v>45982</v>
      </c>
      <c r="B726" s="210" t="s">
        <v>2071</v>
      </c>
      <c r="C726" s="14" t="s">
        <v>2072</v>
      </c>
      <c r="D726" s="7">
        <v>113670</v>
      </c>
      <c r="E726" s="8"/>
      <c r="F726" s="9" t="s">
        <v>10</v>
      </c>
      <c r="G726" s="18" t="s">
        <v>421</v>
      </c>
    </row>
    <row r="727" spans="1:7" ht="22.5" customHeight="1">
      <c r="A727" s="4">
        <v>45982</v>
      </c>
      <c r="B727" s="9" t="s">
        <v>2073</v>
      </c>
      <c r="C727" s="14" t="s">
        <v>2074</v>
      </c>
      <c r="D727" s="7">
        <v>71500</v>
      </c>
      <c r="E727" s="8"/>
      <c r="F727" s="9" t="s">
        <v>10</v>
      </c>
      <c r="G727" s="18" t="s">
        <v>421</v>
      </c>
    </row>
    <row r="728" spans="1:7" ht="22.5" customHeight="1">
      <c r="A728" s="4">
        <v>45982</v>
      </c>
      <c r="B728" s="9" t="s">
        <v>2075</v>
      </c>
      <c r="C728" s="14" t="s">
        <v>2076</v>
      </c>
      <c r="D728" s="7">
        <v>71500</v>
      </c>
      <c r="E728" s="8"/>
      <c r="F728" s="9" t="s">
        <v>7</v>
      </c>
      <c r="G728" s="18" t="s">
        <v>942</v>
      </c>
    </row>
    <row r="729" spans="1:7" ht="22.5" customHeight="1">
      <c r="A729" s="4">
        <v>45982</v>
      </c>
      <c r="B729" s="210" t="s">
        <v>2077</v>
      </c>
      <c r="C729" s="14" t="s">
        <v>2078</v>
      </c>
      <c r="D729" s="7">
        <v>260000</v>
      </c>
      <c r="E729" s="8"/>
      <c r="F729" s="9" t="s">
        <v>10</v>
      </c>
      <c r="G729" s="18" t="s">
        <v>371</v>
      </c>
    </row>
    <row r="730" spans="1:7" ht="22.5" customHeight="1">
      <c r="A730" s="4">
        <v>45982</v>
      </c>
      <c r="B730" s="133" t="s">
        <v>2079</v>
      </c>
      <c r="C730" s="14" t="s">
        <v>2080</v>
      </c>
      <c r="D730" s="7">
        <v>108400</v>
      </c>
      <c r="E730" s="8"/>
      <c r="F730" s="9" t="s">
        <v>10</v>
      </c>
      <c r="G730" s="18" t="s">
        <v>421</v>
      </c>
    </row>
    <row r="731" spans="1:7" ht="22.5" customHeight="1">
      <c r="A731" s="4">
        <v>45982</v>
      </c>
      <c r="B731" s="197" t="s">
        <v>1307</v>
      </c>
      <c r="C731" s="14" t="s">
        <v>2081</v>
      </c>
      <c r="D731" s="7">
        <v>115500</v>
      </c>
      <c r="E731" s="8"/>
      <c r="F731" s="9" t="s">
        <v>10</v>
      </c>
      <c r="G731" s="18" t="s">
        <v>371</v>
      </c>
    </row>
    <row r="732" spans="1:7" ht="22.5" customHeight="1">
      <c r="A732" s="4">
        <v>45983</v>
      </c>
      <c r="B732" s="5" t="s">
        <v>12</v>
      </c>
      <c r="C732" s="14" t="s">
        <v>2082</v>
      </c>
      <c r="D732" s="7">
        <v>247230</v>
      </c>
      <c r="E732" s="8"/>
      <c r="F732" s="9" t="s">
        <v>10</v>
      </c>
      <c r="G732" s="18" t="s">
        <v>371</v>
      </c>
    </row>
    <row r="733" spans="1:7" ht="22.5" customHeight="1">
      <c r="A733" s="4">
        <v>45983</v>
      </c>
      <c r="B733" s="10" t="s">
        <v>2083</v>
      </c>
      <c r="C733" s="14" t="s">
        <v>2084</v>
      </c>
      <c r="D733" s="7">
        <v>125000</v>
      </c>
      <c r="E733" s="8"/>
      <c r="F733" s="9" t="s">
        <v>2085</v>
      </c>
      <c r="G733" s="18" t="s">
        <v>371</v>
      </c>
    </row>
    <row r="734" spans="1:7" ht="22.5" customHeight="1">
      <c r="A734" s="4">
        <v>45983</v>
      </c>
      <c r="B734" s="10" t="s">
        <v>2086</v>
      </c>
      <c r="C734" s="14" t="s">
        <v>2087</v>
      </c>
      <c r="D734" s="7">
        <v>72500</v>
      </c>
      <c r="E734" s="8"/>
      <c r="F734" s="9" t="s">
        <v>7</v>
      </c>
      <c r="G734" s="18" t="s">
        <v>371</v>
      </c>
    </row>
    <row r="735" spans="1:7" ht="22.5" customHeight="1">
      <c r="A735" s="4">
        <v>45983</v>
      </c>
      <c r="B735" s="5" t="s">
        <v>2088</v>
      </c>
      <c r="C735" s="14" t="s">
        <v>2089</v>
      </c>
      <c r="D735" s="7">
        <v>105000</v>
      </c>
      <c r="E735" s="8"/>
      <c r="F735" s="9" t="s">
        <v>7</v>
      </c>
      <c r="G735" s="18" t="s">
        <v>983</v>
      </c>
    </row>
    <row r="736" spans="1:7" ht="22.5" customHeight="1">
      <c r="A736" s="4">
        <v>45983</v>
      </c>
      <c r="B736" s="9" t="s">
        <v>812</v>
      </c>
      <c r="C736" s="14" t="s">
        <v>2090</v>
      </c>
      <c r="D736" s="7">
        <v>133100</v>
      </c>
      <c r="E736" s="8"/>
      <c r="F736" s="9" t="s">
        <v>10</v>
      </c>
      <c r="G736" s="18" t="s">
        <v>371</v>
      </c>
    </row>
    <row r="737" spans="1:7" ht="22.5" customHeight="1">
      <c r="A737" s="4">
        <v>45983</v>
      </c>
      <c r="B737" s="197" t="s">
        <v>2091</v>
      </c>
      <c r="C737" s="14" t="s">
        <v>2092</v>
      </c>
      <c r="D737" s="7">
        <v>118400</v>
      </c>
      <c r="E737" s="8"/>
      <c r="F737" s="9" t="s">
        <v>10</v>
      </c>
      <c r="G737" s="18" t="s">
        <v>371</v>
      </c>
    </row>
    <row r="738" spans="1:7" ht="22.5" customHeight="1">
      <c r="A738" s="4">
        <v>45983</v>
      </c>
      <c r="B738" s="210" t="s">
        <v>2093</v>
      </c>
      <c r="C738" s="14" t="s">
        <v>2094</v>
      </c>
      <c r="D738" s="7">
        <v>53800</v>
      </c>
      <c r="E738" s="8"/>
      <c r="F738" s="9" t="s">
        <v>10</v>
      </c>
      <c r="G738" s="18" t="s">
        <v>421</v>
      </c>
    </row>
    <row r="739" spans="1:7" ht="22.5" customHeight="1">
      <c r="A739" s="4">
        <v>45983</v>
      </c>
      <c r="B739" s="210" t="s">
        <v>2095</v>
      </c>
      <c r="C739" s="14" t="s">
        <v>2096</v>
      </c>
      <c r="D739" s="7">
        <v>77000</v>
      </c>
      <c r="E739" s="8"/>
      <c r="F739" s="9" t="s">
        <v>16</v>
      </c>
      <c r="G739" s="18" t="s">
        <v>421</v>
      </c>
    </row>
    <row r="740" spans="1:7" ht="24.75" customHeight="1">
      <c r="A740" s="4">
        <v>45983</v>
      </c>
      <c r="B740" s="9" t="s">
        <v>1959</v>
      </c>
      <c r="C740" s="14" t="s">
        <v>2097</v>
      </c>
      <c r="D740" s="7">
        <v>162200</v>
      </c>
      <c r="E740" s="8"/>
      <c r="F740" s="9" t="s">
        <v>10</v>
      </c>
      <c r="G740" s="18" t="s">
        <v>371</v>
      </c>
    </row>
    <row r="741" spans="1:7" ht="22.5" customHeight="1">
      <c r="A741" s="4">
        <v>45983</v>
      </c>
      <c r="B741" s="9" t="s">
        <v>2098</v>
      </c>
      <c r="C741" s="14" t="s">
        <v>2099</v>
      </c>
      <c r="D741" s="7">
        <v>82850</v>
      </c>
      <c r="E741" s="8"/>
      <c r="F741" s="9" t="s">
        <v>10</v>
      </c>
      <c r="G741" s="18" t="s">
        <v>371</v>
      </c>
    </row>
    <row r="742" spans="1:7" ht="22.5" customHeight="1">
      <c r="A742" s="4">
        <v>45983</v>
      </c>
      <c r="B742" s="197" t="s">
        <v>2100</v>
      </c>
      <c r="C742" s="14" t="s">
        <v>2101</v>
      </c>
      <c r="D742" s="7">
        <v>111900</v>
      </c>
      <c r="E742" s="8"/>
      <c r="F742" s="9" t="s">
        <v>10</v>
      </c>
      <c r="G742" s="18" t="s">
        <v>421</v>
      </c>
    </row>
    <row r="743" spans="1:7" ht="22.5" customHeight="1">
      <c r="A743" s="4">
        <v>45983</v>
      </c>
      <c r="B743" s="10" t="s">
        <v>302</v>
      </c>
      <c r="C743" s="14" t="s">
        <v>2102</v>
      </c>
      <c r="D743" s="7">
        <v>219400</v>
      </c>
      <c r="E743" s="8"/>
      <c r="F743" s="9" t="s">
        <v>7</v>
      </c>
      <c r="G743" s="18" t="s">
        <v>371</v>
      </c>
    </row>
    <row r="744" spans="1:7" ht="22.5" customHeight="1">
      <c r="A744" s="4">
        <v>45983</v>
      </c>
      <c r="B744" s="9" t="s">
        <v>2103</v>
      </c>
      <c r="C744" s="14" t="s">
        <v>2104</v>
      </c>
      <c r="D744" s="7">
        <v>114300</v>
      </c>
      <c r="E744" s="8"/>
      <c r="F744" s="9" t="s">
        <v>7</v>
      </c>
      <c r="G744" s="18" t="s">
        <v>942</v>
      </c>
    </row>
    <row r="745" spans="1:7" ht="22.5" customHeight="1">
      <c r="A745" s="4">
        <v>45985</v>
      </c>
      <c r="B745" s="204" t="s">
        <v>1634</v>
      </c>
      <c r="C745" s="14" t="s">
        <v>2105</v>
      </c>
      <c r="D745" s="7">
        <v>159300</v>
      </c>
      <c r="E745" s="8"/>
      <c r="F745" s="9" t="s">
        <v>16</v>
      </c>
      <c r="G745" s="18" t="s">
        <v>371</v>
      </c>
    </row>
    <row r="746" spans="1:7" ht="22.5" customHeight="1">
      <c r="A746" s="4">
        <v>45985</v>
      </c>
      <c r="B746" s="224" t="s">
        <v>229</v>
      </c>
      <c r="C746" s="14" t="s">
        <v>2106</v>
      </c>
      <c r="D746" s="7">
        <v>113400</v>
      </c>
      <c r="E746" s="8"/>
      <c r="F746" s="9" t="s">
        <v>16</v>
      </c>
      <c r="G746" s="18" t="s">
        <v>371</v>
      </c>
    </row>
    <row r="747" spans="1:7" ht="24.75" customHeight="1">
      <c r="A747" s="4">
        <v>45985</v>
      </c>
      <c r="B747" s="5" t="s">
        <v>1749</v>
      </c>
      <c r="C747" s="14" t="s">
        <v>2107</v>
      </c>
      <c r="D747" s="7">
        <v>120000</v>
      </c>
      <c r="E747" s="8"/>
      <c r="F747" s="9" t="s">
        <v>10</v>
      </c>
      <c r="G747" s="18" t="s">
        <v>371</v>
      </c>
    </row>
    <row r="748" spans="1:7" ht="22.5" customHeight="1">
      <c r="A748" s="4">
        <v>45985</v>
      </c>
      <c r="B748" s="204" t="s">
        <v>65</v>
      </c>
      <c r="C748" s="14" t="s">
        <v>2108</v>
      </c>
      <c r="D748" s="7">
        <v>105000</v>
      </c>
      <c r="E748" s="8"/>
      <c r="F748" s="9" t="s">
        <v>16</v>
      </c>
      <c r="G748" s="18" t="s">
        <v>371</v>
      </c>
    </row>
    <row r="749" spans="1:7" ht="26.25" customHeight="1">
      <c r="A749" s="4">
        <v>45985</v>
      </c>
      <c r="B749" s="5" t="s">
        <v>970</v>
      </c>
      <c r="C749" s="14" t="s">
        <v>2109</v>
      </c>
      <c r="D749" s="7">
        <v>56000</v>
      </c>
      <c r="E749" s="8"/>
      <c r="F749" s="9" t="s">
        <v>7</v>
      </c>
      <c r="G749" s="18" t="s">
        <v>371</v>
      </c>
    </row>
    <row r="750" spans="1:7" ht="22.5" customHeight="1">
      <c r="A750" s="4">
        <v>45985</v>
      </c>
      <c r="B750" s="210" t="s">
        <v>2110</v>
      </c>
      <c r="C750" s="14" t="s">
        <v>2111</v>
      </c>
      <c r="D750" s="7">
        <v>106400</v>
      </c>
      <c r="E750" s="8"/>
      <c r="F750" s="9" t="s">
        <v>10</v>
      </c>
      <c r="G750" s="18" t="s">
        <v>421</v>
      </c>
    </row>
    <row r="751" spans="1:7" ht="22.5" customHeight="1">
      <c r="A751" s="4">
        <v>45985</v>
      </c>
      <c r="B751" s="210" t="s">
        <v>2112</v>
      </c>
      <c r="C751" s="14" t="s">
        <v>2113</v>
      </c>
      <c r="D751" s="7">
        <v>256800</v>
      </c>
      <c r="E751" s="8"/>
      <c r="F751" s="9" t="s">
        <v>10</v>
      </c>
      <c r="G751" s="18" t="s">
        <v>421</v>
      </c>
    </row>
    <row r="752" spans="1:7" ht="22.5" customHeight="1">
      <c r="A752" s="4">
        <v>45985</v>
      </c>
      <c r="B752" s="210" t="s">
        <v>2114</v>
      </c>
      <c r="C752" s="14" t="s">
        <v>2115</v>
      </c>
      <c r="D752" s="7">
        <v>242000</v>
      </c>
      <c r="E752" s="8"/>
      <c r="F752" s="9" t="s">
        <v>10</v>
      </c>
      <c r="G752" s="18" t="s">
        <v>371</v>
      </c>
    </row>
    <row r="753" spans="1:7" ht="22.5" customHeight="1">
      <c r="A753" s="4">
        <v>45985</v>
      </c>
      <c r="B753" s="210" t="s">
        <v>2116</v>
      </c>
      <c r="C753" s="14" t="s">
        <v>2117</v>
      </c>
      <c r="D753" s="7">
        <v>120240</v>
      </c>
      <c r="E753" s="8"/>
      <c r="F753" s="9" t="s">
        <v>10</v>
      </c>
      <c r="G753" s="18" t="s">
        <v>371</v>
      </c>
    </row>
    <row r="754" spans="1:7" ht="22.5" customHeight="1">
      <c r="A754" s="4">
        <v>45985</v>
      </c>
      <c r="B754" s="225" t="s">
        <v>2118</v>
      </c>
      <c r="C754" s="14" t="s">
        <v>2119</v>
      </c>
      <c r="D754" s="7">
        <v>196300</v>
      </c>
      <c r="E754" s="8"/>
      <c r="F754" s="9" t="s">
        <v>16</v>
      </c>
      <c r="G754" s="18" t="s">
        <v>421</v>
      </c>
    </row>
    <row r="755" spans="1:7" ht="22.5" customHeight="1">
      <c r="A755" s="4">
        <v>45985</v>
      </c>
      <c r="B755" s="210" t="s">
        <v>275</v>
      </c>
      <c r="C755" s="14" t="s">
        <v>2120</v>
      </c>
      <c r="D755" s="7">
        <v>340680</v>
      </c>
      <c r="E755" s="8"/>
      <c r="F755" s="9" t="s">
        <v>10</v>
      </c>
      <c r="G755" s="18" t="s">
        <v>371</v>
      </c>
    </row>
    <row r="756" spans="1:7" ht="22.5" customHeight="1">
      <c r="A756" s="4">
        <v>45985</v>
      </c>
      <c r="B756" s="210" t="s">
        <v>2121</v>
      </c>
      <c r="C756" s="14" t="s">
        <v>2122</v>
      </c>
      <c r="D756" s="7">
        <v>118800</v>
      </c>
      <c r="E756" s="8"/>
      <c r="F756" s="9" t="s">
        <v>10</v>
      </c>
      <c r="G756" s="18" t="s">
        <v>371</v>
      </c>
    </row>
    <row r="757" spans="1:7" ht="22.5" customHeight="1">
      <c r="A757" s="4">
        <v>45985</v>
      </c>
      <c r="B757" s="210" t="s">
        <v>2123</v>
      </c>
      <c r="C757" s="14" t="s">
        <v>2124</v>
      </c>
      <c r="D757" s="7">
        <v>106800</v>
      </c>
      <c r="E757" s="8"/>
      <c r="F757" s="9" t="s">
        <v>10</v>
      </c>
      <c r="G757" s="18" t="s">
        <v>421</v>
      </c>
    </row>
    <row r="758" spans="1:7" ht="22.5" customHeight="1">
      <c r="A758" s="4">
        <v>45985</v>
      </c>
      <c r="B758" s="210" t="s">
        <v>2125</v>
      </c>
      <c r="C758" s="14" t="s">
        <v>2126</v>
      </c>
      <c r="D758" s="7">
        <v>112900</v>
      </c>
      <c r="E758" s="8"/>
      <c r="F758" s="9" t="s">
        <v>10</v>
      </c>
      <c r="G758" s="18" t="s">
        <v>421</v>
      </c>
    </row>
    <row r="759" spans="1:7" ht="22.5" customHeight="1">
      <c r="A759" s="4">
        <v>45985</v>
      </c>
      <c r="B759" s="210" t="s">
        <v>2127</v>
      </c>
      <c r="C759" s="14" t="s">
        <v>2128</v>
      </c>
      <c r="D759" s="7">
        <v>52500</v>
      </c>
      <c r="E759" s="8"/>
      <c r="F759" s="9" t="s">
        <v>10</v>
      </c>
      <c r="G759" s="18" t="s">
        <v>421</v>
      </c>
    </row>
    <row r="760" spans="1:7" ht="22.5" customHeight="1">
      <c r="A760" s="4">
        <v>45985</v>
      </c>
      <c r="B760" s="210" t="s">
        <v>2129</v>
      </c>
      <c r="C760" s="14" t="s">
        <v>2130</v>
      </c>
      <c r="D760" s="7">
        <v>117000</v>
      </c>
      <c r="E760" s="8"/>
      <c r="F760" s="9" t="s">
        <v>10</v>
      </c>
      <c r="G760" s="18" t="s">
        <v>421</v>
      </c>
    </row>
    <row r="761" spans="1:7" ht="22.5" customHeight="1">
      <c r="A761" s="4">
        <v>45985</v>
      </c>
      <c r="B761" s="210" t="s">
        <v>2131</v>
      </c>
      <c r="C761" s="14" t="s">
        <v>2132</v>
      </c>
      <c r="D761" s="7">
        <v>241020</v>
      </c>
      <c r="E761" s="8"/>
      <c r="F761" s="9" t="s">
        <v>10</v>
      </c>
      <c r="G761" s="18" t="s">
        <v>371</v>
      </c>
    </row>
    <row r="762" spans="1:7" ht="22.5" customHeight="1">
      <c r="A762" s="4">
        <v>45985</v>
      </c>
      <c r="B762" s="210" t="s">
        <v>2133</v>
      </c>
      <c r="C762" s="14" t="s">
        <v>2134</v>
      </c>
      <c r="D762" s="7">
        <v>130000</v>
      </c>
      <c r="E762" s="8"/>
      <c r="F762" s="9" t="s">
        <v>10</v>
      </c>
      <c r="G762" s="18" t="s">
        <v>371</v>
      </c>
    </row>
    <row r="763" spans="1:7" ht="22.5" customHeight="1">
      <c r="A763" s="4">
        <v>45986</v>
      </c>
      <c r="B763" s="5" t="s">
        <v>2135</v>
      </c>
      <c r="C763" s="14" t="s">
        <v>2136</v>
      </c>
      <c r="D763" s="7">
        <v>204000</v>
      </c>
      <c r="E763" s="8"/>
      <c r="F763" s="9" t="s">
        <v>7</v>
      </c>
      <c r="G763" s="18" t="s">
        <v>983</v>
      </c>
    </row>
    <row r="764" spans="1:7" ht="22.5" customHeight="1">
      <c r="A764" s="4">
        <v>45986</v>
      </c>
      <c r="B764" s="10" t="s">
        <v>103</v>
      </c>
      <c r="C764" s="14" t="s">
        <v>2137</v>
      </c>
      <c r="D764" s="7">
        <v>90000</v>
      </c>
      <c r="E764" s="8"/>
      <c r="F764" s="9" t="s">
        <v>1426</v>
      </c>
      <c r="G764" s="18" t="s">
        <v>371</v>
      </c>
    </row>
    <row r="765" spans="1:7" ht="22.5" customHeight="1">
      <c r="A765" s="4">
        <v>45986</v>
      </c>
      <c r="B765" s="5" t="s">
        <v>63</v>
      </c>
      <c r="C765" s="14" t="s">
        <v>2138</v>
      </c>
      <c r="D765" s="7">
        <v>268500</v>
      </c>
      <c r="E765" s="8"/>
      <c r="F765" s="9" t="s">
        <v>7</v>
      </c>
      <c r="G765" s="18" t="s">
        <v>371</v>
      </c>
    </row>
    <row r="766" spans="1:7" ht="22.5" customHeight="1">
      <c r="A766" s="4">
        <v>45986</v>
      </c>
      <c r="B766" s="10" t="s">
        <v>120</v>
      </c>
      <c r="C766" s="14" t="s">
        <v>2139</v>
      </c>
      <c r="D766" s="7">
        <v>134300</v>
      </c>
      <c r="E766" s="8"/>
      <c r="F766" s="9" t="s">
        <v>7</v>
      </c>
      <c r="G766" s="18" t="s">
        <v>371</v>
      </c>
    </row>
    <row r="767" spans="1:7" ht="22.5" customHeight="1">
      <c r="A767" s="4">
        <v>45986</v>
      </c>
      <c r="B767" s="10" t="s">
        <v>30</v>
      </c>
      <c r="C767" s="14" t="s">
        <v>2140</v>
      </c>
      <c r="D767" s="7">
        <v>164400</v>
      </c>
      <c r="E767" s="8"/>
      <c r="F767" s="9" t="s">
        <v>7</v>
      </c>
      <c r="G767" s="18" t="s">
        <v>371</v>
      </c>
    </row>
    <row r="768" spans="1:7" ht="22.5" customHeight="1">
      <c r="A768" s="4">
        <v>45986</v>
      </c>
      <c r="B768" s="5" t="s">
        <v>1198</v>
      </c>
      <c r="C768" s="14" t="s">
        <v>2141</v>
      </c>
      <c r="D768" s="7">
        <v>249500</v>
      </c>
      <c r="E768" s="8"/>
      <c r="F768" s="9" t="s">
        <v>10</v>
      </c>
      <c r="G768" s="18" t="s">
        <v>371</v>
      </c>
    </row>
    <row r="769" spans="1:7" ht="21.75" customHeight="1">
      <c r="A769" s="4">
        <v>45986</v>
      </c>
      <c r="B769" s="5" t="s">
        <v>151</v>
      </c>
      <c r="C769" s="14" t="s">
        <v>2142</v>
      </c>
      <c r="D769" s="7">
        <v>163400</v>
      </c>
      <c r="E769" s="8"/>
      <c r="F769" s="9" t="s">
        <v>16</v>
      </c>
      <c r="G769" s="18" t="s">
        <v>371</v>
      </c>
    </row>
    <row r="770" spans="1:7" ht="20.25" customHeight="1">
      <c r="A770" s="4">
        <v>45986</v>
      </c>
      <c r="B770" s="5" t="s">
        <v>2143</v>
      </c>
      <c r="C770" s="14" t="s">
        <v>2144</v>
      </c>
      <c r="D770" s="7">
        <v>188600</v>
      </c>
      <c r="E770" s="8"/>
      <c r="F770" s="9" t="s">
        <v>10</v>
      </c>
      <c r="G770" s="18" t="s">
        <v>942</v>
      </c>
    </row>
    <row r="771" spans="1:7" ht="22.5" customHeight="1">
      <c r="A771" s="4">
        <v>45986</v>
      </c>
      <c r="B771" s="9" t="s">
        <v>2145</v>
      </c>
      <c r="C771" s="14" t="s">
        <v>2146</v>
      </c>
      <c r="D771" s="7">
        <v>51500</v>
      </c>
      <c r="E771" s="8"/>
      <c r="F771" s="9" t="s">
        <v>7</v>
      </c>
      <c r="G771" s="18" t="s">
        <v>983</v>
      </c>
    </row>
    <row r="772" spans="1:7" ht="22.5" customHeight="1">
      <c r="A772" s="4">
        <v>45986</v>
      </c>
      <c r="B772" s="5" t="s">
        <v>974</v>
      </c>
      <c r="C772" s="14" t="s">
        <v>2147</v>
      </c>
      <c r="D772" s="7">
        <v>57898</v>
      </c>
      <c r="E772" s="8"/>
      <c r="F772" s="9" t="s">
        <v>10</v>
      </c>
      <c r="G772" s="18" t="s">
        <v>371</v>
      </c>
    </row>
    <row r="773" spans="1:7" ht="24" customHeight="1">
      <c r="A773" s="4">
        <v>45986</v>
      </c>
      <c r="B773" s="5" t="s">
        <v>2148</v>
      </c>
      <c r="C773" s="14" t="s">
        <v>2149</v>
      </c>
      <c r="D773" s="7">
        <v>126500</v>
      </c>
      <c r="E773" s="8"/>
      <c r="F773" s="9" t="s">
        <v>10</v>
      </c>
      <c r="G773" s="18" t="s">
        <v>421</v>
      </c>
    </row>
    <row r="774" spans="1:7" ht="24" customHeight="1">
      <c r="A774" s="4">
        <v>45986</v>
      </c>
      <c r="B774" s="9" t="s">
        <v>2150</v>
      </c>
      <c r="C774" s="14" t="s">
        <v>2151</v>
      </c>
      <c r="D774" s="7">
        <v>115200</v>
      </c>
      <c r="E774" s="8"/>
      <c r="F774" s="9" t="s">
        <v>10</v>
      </c>
      <c r="G774" s="18" t="s">
        <v>371</v>
      </c>
    </row>
    <row r="775" spans="1:7" ht="23.25" customHeight="1">
      <c r="A775" s="4">
        <v>45986</v>
      </c>
      <c r="B775" s="9" t="s">
        <v>2152</v>
      </c>
      <c r="C775" s="14" t="s">
        <v>2153</v>
      </c>
      <c r="D775" s="7">
        <v>148000</v>
      </c>
      <c r="E775" s="8"/>
      <c r="F775" s="9" t="s">
        <v>10</v>
      </c>
      <c r="G775" s="18" t="s">
        <v>421</v>
      </c>
    </row>
    <row r="776" spans="1:7" ht="22.5" customHeight="1">
      <c r="A776" s="4">
        <v>45986</v>
      </c>
      <c r="B776" s="133" t="s">
        <v>2154</v>
      </c>
      <c r="C776" s="14" t="s">
        <v>2155</v>
      </c>
      <c r="D776" s="7">
        <v>311100</v>
      </c>
      <c r="E776" s="8"/>
      <c r="F776" s="9" t="s">
        <v>10</v>
      </c>
      <c r="G776" s="18" t="s">
        <v>371</v>
      </c>
    </row>
    <row r="777" spans="1:7" ht="22.5" customHeight="1">
      <c r="A777" s="4">
        <v>45986</v>
      </c>
      <c r="B777" s="133" t="s">
        <v>2156</v>
      </c>
      <c r="C777" s="14" t="s">
        <v>2157</v>
      </c>
      <c r="D777" s="7">
        <v>137900</v>
      </c>
      <c r="E777" s="8"/>
      <c r="F777" s="9" t="s">
        <v>10</v>
      </c>
      <c r="G777" s="18" t="s">
        <v>421</v>
      </c>
    </row>
    <row r="778" spans="1:7" ht="22.5" customHeight="1">
      <c r="A778" s="4">
        <v>45986</v>
      </c>
      <c r="B778" s="210" t="s">
        <v>762</v>
      </c>
      <c r="C778" s="14" t="s">
        <v>2158</v>
      </c>
      <c r="D778" s="7">
        <v>48200</v>
      </c>
      <c r="E778" s="8"/>
      <c r="F778" s="9" t="s">
        <v>10</v>
      </c>
      <c r="G778" s="18" t="s">
        <v>371</v>
      </c>
    </row>
    <row r="779" spans="1:7" ht="22.5" customHeight="1">
      <c r="A779" s="4">
        <v>45986</v>
      </c>
      <c r="B779" s="133" t="s">
        <v>747</v>
      </c>
      <c r="C779" s="14" t="s">
        <v>2159</v>
      </c>
      <c r="D779" s="7">
        <v>128095</v>
      </c>
      <c r="E779" s="8"/>
      <c r="F779" s="9" t="s">
        <v>10</v>
      </c>
      <c r="G779" s="18" t="s">
        <v>371</v>
      </c>
    </row>
    <row r="780" spans="1:7" ht="21" customHeight="1">
      <c r="A780" s="4">
        <v>45986</v>
      </c>
      <c r="B780" s="9" t="s">
        <v>2160</v>
      </c>
      <c r="C780" s="14" t="s">
        <v>2161</v>
      </c>
      <c r="D780" s="7">
        <v>126000</v>
      </c>
      <c r="E780" s="8"/>
      <c r="F780" s="9" t="s">
        <v>10</v>
      </c>
      <c r="G780" s="18" t="s">
        <v>371</v>
      </c>
    </row>
    <row r="781" spans="1:7" ht="22.5" customHeight="1">
      <c r="A781" s="4">
        <v>45986</v>
      </c>
      <c r="B781" s="210" t="s">
        <v>2162</v>
      </c>
      <c r="C781" s="14" t="s">
        <v>2163</v>
      </c>
      <c r="D781" s="7">
        <v>67100</v>
      </c>
      <c r="E781" s="8"/>
      <c r="F781" s="9" t="s">
        <v>10</v>
      </c>
      <c r="G781" s="18" t="s">
        <v>421</v>
      </c>
    </row>
    <row r="782" spans="1:7" ht="22.5" customHeight="1">
      <c r="A782" s="4">
        <v>45987</v>
      </c>
      <c r="B782" s="193" t="s">
        <v>2164</v>
      </c>
      <c r="C782" s="14" t="s">
        <v>2165</v>
      </c>
      <c r="D782" s="7">
        <v>152410</v>
      </c>
      <c r="E782" s="8"/>
      <c r="F782" s="9" t="s">
        <v>10</v>
      </c>
      <c r="G782" s="18" t="s">
        <v>371</v>
      </c>
    </row>
    <row r="783" spans="1:7" ht="21.75" customHeight="1">
      <c r="A783" s="4">
        <v>45987</v>
      </c>
      <c r="B783" s="9" t="s">
        <v>2166</v>
      </c>
      <c r="C783" s="14" t="s">
        <v>2167</v>
      </c>
      <c r="D783" s="7">
        <v>112100</v>
      </c>
      <c r="E783" s="8"/>
      <c r="F783" s="9" t="s">
        <v>10</v>
      </c>
      <c r="G783" s="18" t="s">
        <v>421</v>
      </c>
    </row>
    <row r="784" spans="1:7" ht="20.25" customHeight="1">
      <c r="A784" s="4">
        <v>45987</v>
      </c>
      <c r="B784" s="5" t="s">
        <v>2168</v>
      </c>
      <c r="C784" s="14" t="s">
        <v>2169</v>
      </c>
      <c r="D784" s="7">
        <v>139500</v>
      </c>
      <c r="E784" s="8"/>
      <c r="F784" s="9" t="s">
        <v>7</v>
      </c>
      <c r="G784" s="18" t="s">
        <v>371</v>
      </c>
    </row>
    <row r="785" spans="1:7" ht="22.5" customHeight="1">
      <c r="A785" s="4">
        <v>45987</v>
      </c>
      <c r="B785" s="10" t="s">
        <v>2170</v>
      </c>
      <c r="C785" s="14" t="s">
        <v>2171</v>
      </c>
      <c r="D785" s="7">
        <v>30500</v>
      </c>
      <c r="E785" s="8"/>
      <c r="F785" s="9" t="s">
        <v>10</v>
      </c>
      <c r="G785" s="18" t="s">
        <v>371</v>
      </c>
    </row>
    <row r="786" spans="1:7" ht="24" customHeight="1">
      <c r="A786" s="4">
        <v>45987</v>
      </c>
      <c r="B786" s="5" t="s">
        <v>1328</v>
      </c>
      <c r="C786" s="14" t="s">
        <v>2172</v>
      </c>
      <c r="D786" s="7">
        <v>161500</v>
      </c>
      <c r="E786" s="8"/>
      <c r="F786" s="9" t="s">
        <v>10</v>
      </c>
      <c r="G786" s="18" t="s">
        <v>371</v>
      </c>
    </row>
    <row r="787" spans="1:7" ht="22.5" customHeight="1">
      <c r="A787" s="9">
        <v>6</v>
      </c>
      <c r="B787" s="10" t="s">
        <v>166</v>
      </c>
      <c r="C787" s="14" t="s">
        <v>2173</v>
      </c>
      <c r="D787" s="7">
        <v>213800</v>
      </c>
      <c r="E787" s="8"/>
      <c r="F787" s="9" t="s">
        <v>16</v>
      </c>
      <c r="G787" s="18" t="s">
        <v>371</v>
      </c>
    </row>
    <row r="788" spans="1:7" ht="22.5" customHeight="1">
      <c r="A788" s="4">
        <v>45987</v>
      </c>
      <c r="B788" s="5" t="s">
        <v>892</v>
      </c>
      <c r="C788" s="14" t="s">
        <v>2174</v>
      </c>
      <c r="D788" s="7">
        <v>146300</v>
      </c>
      <c r="E788" s="8"/>
      <c r="F788" s="9" t="s">
        <v>16</v>
      </c>
      <c r="G788" s="18" t="s">
        <v>371</v>
      </c>
    </row>
    <row r="789" spans="1:7" ht="22.5" customHeight="1">
      <c r="A789" s="4">
        <v>45987</v>
      </c>
      <c r="B789" s="10" t="s">
        <v>2175</v>
      </c>
      <c r="C789" s="14" t="s">
        <v>2176</v>
      </c>
      <c r="D789" s="7">
        <v>108400</v>
      </c>
      <c r="E789" s="8"/>
      <c r="F789" s="9" t="s">
        <v>7</v>
      </c>
      <c r="G789" s="18" t="s">
        <v>371</v>
      </c>
    </row>
    <row r="790" spans="1:7" ht="22.5" customHeight="1">
      <c r="A790" s="4">
        <v>45987</v>
      </c>
      <c r="B790" s="5" t="s">
        <v>632</v>
      </c>
      <c r="C790" s="14" t="s">
        <v>2177</v>
      </c>
      <c r="D790" s="7">
        <v>97500</v>
      </c>
      <c r="E790" s="8"/>
      <c r="F790" s="9" t="s">
        <v>10</v>
      </c>
      <c r="G790" s="18" t="s">
        <v>371</v>
      </c>
    </row>
    <row r="791" spans="1:7" ht="20.25" customHeight="1">
      <c r="A791" s="4">
        <v>45987</v>
      </c>
      <c r="B791" s="133" t="s">
        <v>888</v>
      </c>
      <c r="C791" s="14" t="s">
        <v>2178</v>
      </c>
      <c r="D791" s="7">
        <v>106600</v>
      </c>
      <c r="E791" s="8"/>
      <c r="F791" s="9" t="s">
        <v>7</v>
      </c>
      <c r="G791" s="18" t="s">
        <v>371</v>
      </c>
    </row>
    <row r="792" spans="1:7" ht="21.75" customHeight="1">
      <c r="A792" s="4">
        <v>45987</v>
      </c>
      <c r="B792" s="9" t="s">
        <v>2179</v>
      </c>
      <c r="C792" s="14" t="s">
        <v>2180</v>
      </c>
      <c r="D792" s="7">
        <v>124000</v>
      </c>
      <c r="E792" s="8"/>
      <c r="F792" s="9" t="s">
        <v>10</v>
      </c>
      <c r="G792" s="18" t="s">
        <v>371</v>
      </c>
    </row>
    <row r="793" spans="1:7" ht="22.5" customHeight="1">
      <c r="A793" s="4">
        <v>45987</v>
      </c>
      <c r="B793" s="196" t="s">
        <v>164</v>
      </c>
      <c r="C793" s="14" t="s">
        <v>2181</v>
      </c>
      <c r="D793" s="7">
        <v>225789</v>
      </c>
      <c r="E793" s="8"/>
      <c r="F793" s="9" t="s">
        <v>7</v>
      </c>
      <c r="G793" s="18" t="s">
        <v>371</v>
      </c>
    </row>
    <row r="794" spans="1:7" ht="19.5" customHeight="1">
      <c r="A794" s="4">
        <v>45987</v>
      </c>
      <c r="B794" s="5" t="s">
        <v>293</v>
      </c>
      <c r="C794" s="14" t="s">
        <v>2182</v>
      </c>
      <c r="D794" s="7">
        <v>147000</v>
      </c>
      <c r="E794" s="8"/>
      <c r="F794" s="9" t="s">
        <v>10</v>
      </c>
      <c r="G794" s="18" t="s">
        <v>371</v>
      </c>
    </row>
    <row r="795" spans="1:7" ht="22.5" customHeight="1">
      <c r="A795" s="4">
        <v>45987</v>
      </c>
      <c r="B795" s="5" t="s">
        <v>2183</v>
      </c>
      <c r="C795" s="14" t="s">
        <v>2184</v>
      </c>
      <c r="D795" s="7">
        <v>84500</v>
      </c>
      <c r="E795" s="8"/>
      <c r="F795" s="9" t="s">
        <v>16</v>
      </c>
      <c r="G795" s="18" t="s">
        <v>371</v>
      </c>
    </row>
    <row r="796" spans="1:7" ht="22.5" customHeight="1">
      <c r="A796" s="4">
        <v>45987</v>
      </c>
      <c r="B796" s="133" t="s">
        <v>2185</v>
      </c>
      <c r="C796" s="14" t="s">
        <v>2186</v>
      </c>
      <c r="D796" s="7">
        <v>94330</v>
      </c>
      <c r="E796" s="8"/>
      <c r="F796" s="9" t="s">
        <v>10</v>
      </c>
      <c r="G796" s="18" t="s">
        <v>421</v>
      </c>
    </row>
    <row r="797" spans="1:7" ht="22.5" customHeight="1">
      <c r="A797" s="4">
        <v>45987</v>
      </c>
      <c r="B797" s="210" t="s">
        <v>2187</v>
      </c>
      <c r="C797" s="14" t="s">
        <v>2188</v>
      </c>
      <c r="D797" s="7">
        <v>110500</v>
      </c>
      <c r="E797" s="8"/>
      <c r="F797" s="9" t="s">
        <v>10</v>
      </c>
      <c r="G797" s="18" t="s">
        <v>421</v>
      </c>
    </row>
    <row r="798" spans="1:7" ht="22.5" customHeight="1">
      <c r="A798" s="4">
        <v>45987</v>
      </c>
      <c r="B798" s="210" t="s">
        <v>2189</v>
      </c>
      <c r="C798" s="14" t="s">
        <v>2190</v>
      </c>
      <c r="D798" s="7">
        <v>117300</v>
      </c>
      <c r="E798" s="8"/>
      <c r="F798" s="9" t="s">
        <v>10</v>
      </c>
      <c r="G798" s="18" t="s">
        <v>371</v>
      </c>
    </row>
    <row r="799" spans="1:7" ht="24" customHeight="1">
      <c r="A799" s="4">
        <v>45987</v>
      </c>
      <c r="B799" s="5" t="s">
        <v>931</v>
      </c>
      <c r="C799" s="14" t="s">
        <v>2191</v>
      </c>
      <c r="D799" s="7">
        <v>102500</v>
      </c>
      <c r="E799" s="8"/>
      <c r="F799" s="9" t="s">
        <v>7</v>
      </c>
      <c r="G799" s="18" t="s">
        <v>371</v>
      </c>
    </row>
    <row r="800" spans="1:7" ht="22.5" customHeight="1">
      <c r="A800" s="4">
        <v>45987</v>
      </c>
      <c r="B800" s="5" t="s">
        <v>1140</v>
      </c>
      <c r="C800" s="14" t="s">
        <v>2192</v>
      </c>
      <c r="D800" s="7">
        <v>139500</v>
      </c>
      <c r="E800" s="8"/>
      <c r="F800" s="9" t="s">
        <v>7</v>
      </c>
      <c r="G800" s="18" t="s">
        <v>371</v>
      </c>
    </row>
    <row r="801" spans="1:7" ht="22.5" customHeight="1">
      <c r="A801" s="4">
        <v>45987</v>
      </c>
      <c r="B801" s="133" t="s">
        <v>996</v>
      </c>
      <c r="C801" s="14" t="s">
        <v>2193</v>
      </c>
      <c r="D801" s="7">
        <v>124600</v>
      </c>
      <c r="E801" s="8"/>
      <c r="F801" s="9" t="s">
        <v>10</v>
      </c>
      <c r="G801" s="18" t="s">
        <v>371</v>
      </c>
    </row>
    <row r="802" spans="1:7" ht="22.5" customHeight="1">
      <c r="A802" s="4">
        <v>45988</v>
      </c>
      <c r="B802" s="10" t="s">
        <v>1313</v>
      </c>
      <c r="C802" s="14" t="s">
        <v>2194</v>
      </c>
      <c r="D802" s="7">
        <v>168800</v>
      </c>
      <c r="E802" s="8"/>
      <c r="F802" s="9" t="s">
        <v>7</v>
      </c>
      <c r="G802" s="18" t="s">
        <v>371</v>
      </c>
    </row>
    <row r="803" spans="1:7" ht="22.5" customHeight="1">
      <c r="A803" s="4">
        <v>45988</v>
      </c>
      <c r="B803" s="10" t="s">
        <v>405</v>
      </c>
      <c r="C803" s="14" t="s">
        <v>2195</v>
      </c>
      <c r="D803" s="7">
        <v>122850</v>
      </c>
      <c r="E803" s="8"/>
      <c r="F803" s="9" t="s">
        <v>7</v>
      </c>
      <c r="G803" s="18" t="s">
        <v>371</v>
      </c>
    </row>
    <row r="804" spans="1:7" ht="22.5" customHeight="1">
      <c r="A804" s="4">
        <v>45988</v>
      </c>
      <c r="B804" s="5" t="s">
        <v>1167</v>
      </c>
      <c r="C804" s="14" t="s">
        <v>2196</v>
      </c>
      <c r="D804" s="7">
        <v>120800</v>
      </c>
      <c r="E804" s="8"/>
      <c r="F804" s="9" t="s">
        <v>10</v>
      </c>
      <c r="G804" s="18" t="s">
        <v>371</v>
      </c>
    </row>
    <row r="805" spans="1:7" ht="22.5" customHeight="1">
      <c r="A805" s="4">
        <v>45988</v>
      </c>
      <c r="B805" s="5" t="s">
        <v>148</v>
      </c>
      <c r="C805" s="14" t="s">
        <v>2197</v>
      </c>
      <c r="D805" s="7">
        <v>94500</v>
      </c>
      <c r="E805" s="8"/>
      <c r="F805" s="9" t="s">
        <v>7</v>
      </c>
      <c r="G805" s="18" t="s">
        <v>371</v>
      </c>
    </row>
    <row r="806" spans="1:7" ht="22.5" customHeight="1">
      <c r="A806" s="4">
        <v>45988</v>
      </c>
      <c r="B806" s="10" t="s">
        <v>71</v>
      </c>
      <c r="C806" s="14" t="s">
        <v>2198</v>
      </c>
      <c r="D806" s="7">
        <v>1559500</v>
      </c>
      <c r="E806" s="8"/>
      <c r="F806" s="9" t="s">
        <v>72</v>
      </c>
      <c r="G806" s="18" t="s">
        <v>371</v>
      </c>
    </row>
    <row r="807" spans="1:7" ht="21.75" customHeight="1">
      <c r="A807" s="4">
        <v>45988</v>
      </c>
      <c r="B807" s="5" t="s">
        <v>2199</v>
      </c>
      <c r="C807" s="14" t="s">
        <v>2200</v>
      </c>
      <c r="D807" s="7">
        <v>200000</v>
      </c>
      <c r="E807" s="8"/>
      <c r="F807" s="9" t="s">
        <v>16</v>
      </c>
      <c r="G807" s="18" t="s">
        <v>874</v>
      </c>
    </row>
    <row r="808" spans="1:7" ht="21" customHeight="1">
      <c r="A808" s="4">
        <v>45988</v>
      </c>
      <c r="B808" s="5" t="s">
        <v>2201</v>
      </c>
      <c r="C808" s="14" t="s">
        <v>2202</v>
      </c>
      <c r="D808" s="7">
        <v>130000</v>
      </c>
      <c r="E808" s="8"/>
      <c r="F808" s="9" t="s">
        <v>7</v>
      </c>
      <c r="G808" s="18" t="s">
        <v>983</v>
      </c>
    </row>
    <row r="809" spans="1:7" ht="22.5" customHeight="1">
      <c r="A809" s="4">
        <v>45988</v>
      </c>
      <c r="B809" s="210" t="s">
        <v>2203</v>
      </c>
      <c r="C809" s="14" t="s">
        <v>2204</v>
      </c>
      <c r="D809" s="7">
        <v>112550</v>
      </c>
      <c r="E809" s="8"/>
      <c r="F809" s="9" t="s">
        <v>10</v>
      </c>
      <c r="G809" s="18" t="s">
        <v>371</v>
      </c>
    </row>
    <row r="810" spans="1:7" ht="22.5" customHeight="1">
      <c r="A810" s="4">
        <v>45988</v>
      </c>
      <c r="B810" s="197" t="s">
        <v>2205</v>
      </c>
      <c r="C810" s="14" t="s">
        <v>2206</v>
      </c>
      <c r="D810" s="7">
        <v>272900</v>
      </c>
      <c r="E810" s="8"/>
      <c r="F810" s="9" t="s">
        <v>10</v>
      </c>
      <c r="G810" s="18" t="s">
        <v>371</v>
      </c>
    </row>
    <row r="811" spans="1:7" ht="20.25" customHeight="1">
      <c r="A811" s="4">
        <v>45988</v>
      </c>
      <c r="B811" s="9" t="s">
        <v>2207</v>
      </c>
      <c r="C811" s="14" t="s">
        <v>2208</v>
      </c>
      <c r="D811" s="7">
        <v>68000</v>
      </c>
      <c r="E811" s="8"/>
      <c r="F811" s="9" t="s">
        <v>10</v>
      </c>
      <c r="G811" s="18" t="s">
        <v>421</v>
      </c>
    </row>
    <row r="812" spans="1:7" ht="22.5" customHeight="1">
      <c r="A812" s="4">
        <v>45988</v>
      </c>
      <c r="B812" s="9" t="s">
        <v>2209</v>
      </c>
      <c r="C812" s="14" t="s">
        <v>2210</v>
      </c>
      <c r="D812" s="7">
        <v>248000</v>
      </c>
      <c r="E812" s="8"/>
      <c r="F812" s="9" t="s">
        <v>10</v>
      </c>
      <c r="G812" s="18" t="s">
        <v>371</v>
      </c>
    </row>
    <row r="813" spans="1:7" ht="19.5" customHeight="1">
      <c r="A813" s="4">
        <v>45988</v>
      </c>
      <c r="B813" s="9" t="s">
        <v>2211</v>
      </c>
      <c r="C813" s="14" t="s">
        <v>2212</v>
      </c>
      <c r="D813" s="7">
        <v>96400</v>
      </c>
      <c r="E813" s="8"/>
      <c r="F813" s="9" t="s">
        <v>10</v>
      </c>
      <c r="G813" s="18" t="s">
        <v>371</v>
      </c>
    </row>
    <row r="814" spans="1:7" ht="22.5" customHeight="1">
      <c r="A814" s="4">
        <v>45988</v>
      </c>
      <c r="B814" s="193" t="s">
        <v>2213</v>
      </c>
      <c r="C814" s="14" t="s">
        <v>2214</v>
      </c>
      <c r="D814" s="7">
        <v>155000</v>
      </c>
      <c r="E814" s="8"/>
      <c r="F814" s="9" t="s">
        <v>10</v>
      </c>
      <c r="G814" s="18" t="s">
        <v>371</v>
      </c>
    </row>
    <row r="815" spans="1:7" ht="19.5" customHeight="1">
      <c r="A815" s="4">
        <v>45988</v>
      </c>
      <c r="B815" s="9" t="s">
        <v>2215</v>
      </c>
      <c r="C815" s="14" t="s">
        <v>2216</v>
      </c>
      <c r="D815" s="7">
        <v>130000</v>
      </c>
      <c r="E815" s="8"/>
      <c r="F815" s="9" t="s">
        <v>10</v>
      </c>
      <c r="G815" s="18" t="s">
        <v>421</v>
      </c>
    </row>
    <row r="816" spans="1:7" ht="22.5" customHeight="1">
      <c r="A816" s="4">
        <v>45988</v>
      </c>
      <c r="B816" s="193" t="s">
        <v>1436</v>
      </c>
      <c r="C816" s="14" t="s">
        <v>2217</v>
      </c>
      <c r="D816" s="7">
        <v>114900</v>
      </c>
      <c r="E816" s="8"/>
      <c r="F816" s="9" t="s">
        <v>10</v>
      </c>
      <c r="G816" s="18" t="s">
        <v>371</v>
      </c>
    </row>
    <row r="817" spans="1:7" ht="22.5" customHeight="1">
      <c r="A817" s="4">
        <v>45988</v>
      </c>
      <c r="B817" s="10" t="s">
        <v>71</v>
      </c>
      <c r="C817" s="14" t="s">
        <v>2218</v>
      </c>
      <c r="D817" s="7">
        <v>578500</v>
      </c>
      <c r="E817" s="8"/>
      <c r="F817" s="9" t="s">
        <v>72</v>
      </c>
      <c r="G817" s="18" t="s">
        <v>371</v>
      </c>
    </row>
    <row r="818" spans="1:7" ht="22.5" customHeight="1">
      <c r="A818" s="4">
        <v>45989</v>
      </c>
      <c r="B818" s="11" t="s">
        <v>2219</v>
      </c>
      <c r="C818" s="14" t="s">
        <v>2220</v>
      </c>
      <c r="D818" s="7">
        <v>117000</v>
      </c>
      <c r="E818" s="8"/>
      <c r="F818" s="9" t="s">
        <v>10</v>
      </c>
      <c r="G818" s="18" t="s">
        <v>371</v>
      </c>
    </row>
    <row r="819" spans="1:7" ht="22.5" customHeight="1">
      <c r="A819" s="4">
        <v>45989</v>
      </c>
      <c r="B819" s="5" t="s">
        <v>2221</v>
      </c>
      <c r="C819" s="14" t="s">
        <v>2222</v>
      </c>
      <c r="D819" s="7">
        <v>83000</v>
      </c>
      <c r="E819" s="8"/>
      <c r="F819" s="9" t="s">
        <v>16</v>
      </c>
      <c r="G819" s="18" t="s">
        <v>983</v>
      </c>
    </row>
    <row r="820" spans="1:7" ht="22.5" customHeight="1">
      <c r="A820" s="4">
        <v>45989</v>
      </c>
      <c r="B820" s="5" t="s">
        <v>2223</v>
      </c>
      <c r="C820" s="14" t="s">
        <v>2224</v>
      </c>
      <c r="D820" s="7">
        <v>222800</v>
      </c>
      <c r="E820" s="8"/>
      <c r="F820" s="9" t="s">
        <v>7</v>
      </c>
      <c r="G820" s="18" t="s">
        <v>942</v>
      </c>
    </row>
    <row r="821" spans="1:7" ht="23.25" customHeight="1">
      <c r="A821" s="4">
        <v>45989</v>
      </c>
      <c r="B821" s="5" t="s">
        <v>1712</v>
      </c>
      <c r="C821" s="14" t="s">
        <v>2225</v>
      </c>
      <c r="D821" s="7">
        <v>164000</v>
      </c>
      <c r="E821" s="8"/>
      <c r="F821" s="9" t="s">
        <v>7</v>
      </c>
      <c r="G821" s="18" t="s">
        <v>371</v>
      </c>
    </row>
    <row r="822" spans="1:7" ht="21" customHeight="1">
      <c r="A822" s="4">
        <v>45989</v>
      </c>
      <c r="B822" s="5" t="s">
        <v>906</v>
      </c>
      <c r="C822" s="14" t="s">
        <v>2226</v>
      </c>
      <c r="D822" s="7">
        <v>139500</v>
      </c>
      <c r="E822" s="8"/>
      <c r="F822" s="9" t="s">
        <v>10</v>
      </c>
      <c r="G822" s="18" t="s">
        <v>371</v>
      </c>
    </row>
    <row r="823" spans="1:7" ht="22.5" customHeight="1">
      <c r="A823" s="4">
        <v>45989</v>
      </c>
      <c r="B823" s="10" t="s">
        <v>2227</v>
      </c>
      <c r="C823" s="14" t="s">
        <v>2228</v>
      </c>
      <c r="D823" s="7">
        <v>225900</v>
      </c>
      <c r="E823" s="8"/>
      <c r="F823" s="9" t="s">
        <v>16</v>
      </c>
      <c r="G823" s="18" t="s">
        <v>371</v>
      </c>
    </row>
    <row r="824" spans="1:7" ht="22.5" customHeight="1">
      <c r="A824" s="4">
        <v>45989</v>
      </c>
      <c r="B824" s="10" t="s">
        <v>71</v>
      </c>
      <c r="C824" s="14" t="s">
        <v>2229</v>
      </c>
      <c r="D824" s="7">
        <v>79850</v>
      </c>
      <c r="E824" s="8"/>
      <c r="F824" s="9" t="s">
        <v>72</v>
      </c>
      <c r="G824" s="18" t="s">
        <v>371</v>
      </c>
    </row>
    <row r="825" spans="1:7" ht="22.5" customHeight="1">
      <c r="A825" s="4">
        <v>45989</v>
      </c>
      <c r="B825" s="197" t="s">
        <v>2230</v>
      </c>
      <c r="C825" s="14" t="s">
        <v>2231</v>
      </c>
      <c r="D825" s="7">
        <v>56000</v>
      </c>
      <c r="E825" s="8"/>
      <c r="F825" s="9" t="s">
        <v>10</v>
      </c>
      <c r="G825" s="18" t="s">
        <v>421</v>
      </c>
    </row>
    <row r="826" spans="1:7" ht="19.5" customHeight="1">
      <c r="A826" s="4">
        <v>45989</v>
      </c>
      <c r="B826" s="9" t="s">
        <v>2232</v>
      </c>
      <c r="C826" s="14" t="s">
        <v>2233</v>
      </c>
      <c r="D826" s="7">
        <v>56000</v>
      </c>
      <c r="E826" s="8"/>
      <c r="F826" s="9" t="s">
        <v>10</v>
      </c>
      <c r="G826" s="18" t="s">
        <v>371</v>
      </c>
    </row>
    <row r="827" spans="1:7" ht="22.5" customHeight="1">
      <c r="A827" s="4">
        <v>45989</v>
      </c>
      <c r="B827" s="197" t="s">
        <v>2077</v>
      </c>
      <c r="C827" s="14" t="s">
        <v>2234</v>
      </c>
      <c r="D827" s="7">
        <v>197000</v>
      </c>
      <c r="E827" s="8"/>
      <c r="F827" s="9" t="s">
        <v>10</v>
      </c>
      <c r="G827" s="18" t="s">
        <v>371</v>
      </c>
    </row>
    <row r="828" spans="1:7" ht="19.5" customHeight="1">
      <c r="A828" s="4">
        <v>45989</v>
      </c>
      <c r="B828" s="9" t="s">
        <v>2235</v>
      </c>
      <c r="C828" s="14" t="s">
        <v>2236</v>
      </c>
      <c r="D828" s="7">
        <v>120000</v>
      </c>
      <c r="E828" s="8"/>
      <c r="F828" s="9" t="s">
        <v>10</v>
      </c>
      <c r="G828" s="18" t="s">
        <v>421</v>
      </c>
    </row>
    <row r="829" spans="1:7" ht="22.5" customHeight="1">
      <c r="A829" s="4">
        <v>45989</v>
      </c>
      <c r="B829" s="197" t="s">
        <v>2237</v>
      </c>
      <c r="C829" s="14" t="s">
        <v>2238</v>
      </c>
      <c r="D829" s="7">
        <v>77600</v>
      </c>
      <c r="E829" s="8"/>
      <c r="F829" s="9" t="s">
        <v>10</v>
      </c>
      <c r="G829" s="18" t="s">
        <v>371</v>
      </c>
    </row>
    <row r="830" spans="1:7" ht="20.25" customHeight="1">
      <c r="A830" s="4">
        <v>45989</v>
      </c>
      <c r="B830" s="9" t="s">
        <v>2239</v>
      </c>
      <c r="C830" s="14" t="s">
        <v>2240</v>
      </c>
      <c r="D830" s="7">
        <v>110500</v>
      </c>
      <c r="E830" s="8"/>
      <c r="F830" s="9" t="s">
        <v>10</v>
      </c>
      <c r="G830" s="18" t="s">
        <v>421</v>
      </c>
    </row>
    <row r="831" spans="1:7" ht="21" customHeight="1">
      <c r="A831" s="4">
        <v>45989</v>
      </c>
      <c r="B831" s="9" t="s">
        <v>2241</v>
      </c>
      <c r="C831" s="14" t="s">
        <v>2242</v>
      </c>
      <c r="D831" s="7">
        <v>120200</v>
      </c>
      <c r="E831" s="8"/>
      <c r="F831" s="9" t="s">
        <v>10</v>
      </c>
      <c r="G831" s="18" t="s">
        <v>421</v>
      </c>
    </row>
    <row r="832" spans="1:7" ht="21.75" customHeight="1">
      <c r="A832" s="4">
        <v>45989</v>
      </c>
      <c r="B832" s="9" t="s">
        <v>2243</v>
      </c>
      <c r="C832" s="14" t="s">
        <v>2244</v>
      </c>
      <c r="D832" s="7">
        <v>71500</v>
      </c>
      <c r="E832" s="8"/>
      <c r="F832" s="9" t="s">
        <v>10</v>
      </c>
      <c r="G832" s="18" t="s">
        <v>421</v>
      </c>
    </row>
    <row r="833" spans="1:7" ht="22.5" customHeight="1">
      <c r="A833" s="4">
        <v>45989</v>
      </c>
      <c r="B833" s="197" t="s">
        <v>2245</v>
      </c>
      <c r="C833" s="14" t="s">
        <v>2246</v>
      </c>
      <c r="D833" s="7">
        <v>119600</v>
      </c>
      <c r="E833" s="8"/>
      <c r="F833" s="9" t="s">
        <v>10</v>
      </c>
      <c r="G833" s="18" t="s">
        <v>371</v>
      </c>
    </row>
    <row r="834" spans="1:7" ht="21" customHeight="1">
      <c r="A834" s="4">
        <v>45989</v>
      </c>
      <c r="B834" s="9" t="s">
        <v>2247</v>
      </c>
      <c r="C834" s="14" t="s">
        <v>2248</v>
      </c>
      <c r="D834" s="7">
        <v>72500</v>
      </c>
      <c r="E834" s="8"/>
      <c r="F834" s="9" t="s">
        <v>10</v>
      </c>
      <c r="G834" s="18" t="s">
        <v>421</v>
      </c>
    </row>
    <row r="835" spans="1:7" ht="22.5" customHeight="1">
      <c r="A835" s="4">
        <v>45989</v>
      </c>
      <c r="B835" s="9" t="s">
        <v>2249</v>
      </c>
      <c r="C835" s="14" t="s">
        <v>2250</v>
      </c>
      <c r="D835" s="7">
        <v>185300</v>
      </c>
      <c r="E835" s="8"/>
      <c r="F835" s="9" t="s">
        <v>10</v>
      </c>
      <c r="G835" s="18" t="s">
        <v>371</v>
      </c>
    </row>
    <row r="836" spans="1:7" ht="22.5" customHeight="1">
      <c r="A836" s="4">
        <v>45989</v>
      </c>
      <c r="B836" s="10" t="s">
        <v>71</v>
      </c>
      <c r="C836" s="14" t="s">
        <v>2251</v>
      </c>
      <c r="D836" s="7">
        <v>290236</v>
      </c>
      <c r="E836" s="8"/>
      <c r="F836" s="9" t="s">
        <v>72</v>
      </c>
      <c r="G836" s="18" t="s">
        <v>371</v>
      </c>
    </row>
    <row r="837" spans="1:7" ht="22.5" customHeight="1">
      <c r="A837" s="4">
        <v>45989</v>
      </c>
      <c r="B837" s="9" t="s">
        <v>2252</v>
      </c>
      <c r="C837" s="14" t="s">
        <v>2253</v>
      </c>
      <c r="D837" s="7">
        <v>211900</v>
      </c>
      <c r="E837" s="8"/>
      <c r="F837" s="9" t="s">
        <v>7</v>
      </c>
      <c r="G837" s="18" t="s">
        <v>371</v>
      </c>
    </row>
    <row r="838" spans="1:7" ht="22.5" customHeight="1">
      <c r="A838" s="4">
        <v>45989</v>
      </c>
      <c r="B838" s="10" t="s">
        <v>71</v>
      </c>
      <c r="C838" s="14" t="s">
        <v>2254</v>
      </c>
      <c r="D838" s="7">
        <v>135000</v>
      </c>
      <c r="E838" s="8"/>
      <c r="F838" s="9" t="s">
        <v>72</v>
      </c>
      <c r="G838" s="18" t="s">
        <v>371</v>
      </c>
    </row>
    <row r="839" spans="1:7" ht="24" customHeight="1">
      <c r="A839" s="4">
        <v>45990</v>
      </c>
      <c r="B839" s="9" t="s">
        <v>2255</v>
      </c>
      <c r="C839" s="14" t="s">
        <v>2256</v>
      </c>
      <c r="D839" s="7">
        <v>307600</v>
      </c>
      <c r="E839" s="8"/>
      <c r="F839" s="9" t="s">
        <v>10</v>
      </c>
      <c r="G839" s="18" t="s">
        <v>371</v>
      </c>
    </row>
    <row r="840" spans="1:7" ht="22.5" customHeight="1">
      <c r="A840" s="4">
        <v>45990</v>
      </c>
      <c r="B840" s="9" t="s">
        <v>2257</v>
      </c>
      <c r="C840" s="14" t="s">
        <v>2258</v>
      </c>
      <c r="D840" s="7">
        <v>122760</v>
      </c>
      <c r="E840" s="8"/>
      <c r="F840" s="9" t="s">
        <v>10</v>
      </c>
      <c r="G840" s="18" t="s">
        <v>371</v>
      </c>
    </row>
    <row r="841" spans="1:7" ht="22.5" customHeight="1">
      <c r="A841" s="4">
        <v>45990</v>
      </c>
      <c r="B841" s="10" t="s">
        <v>78</v>
      </c>
      <c r="C841" s="14" t="s">
        <v>2259</v>
      </c>
      <c r="D841" s="7">
        <v>171000</v>
      </c>
      <c r="E841" s="8"/>
      <c r="F841" s="9" t="s">
        <v>21</v>
      </c>
      <c r="G841" s="18" t="s">
        <v>371</v>
      </c>
    </row>
    <row r="842" spans="1:7" ht="22.5" customHeight="1">
      <c r="A842" s="4">
        <v>45990</v>
      </c>
      <c r="B842" s="10" t="s">
        <v>2260</v>
      </c>
      <c r="C842" s="14" t="s">
        <v>2261</v>
      </c>
      <c r="D842" s="7">
        <v>155000</v>
      </c>
      <c r="E842" s="8"/>
      <c r="F842" s="9" t="s">
        <v>10</v>
      </c>
      <c r="G842" s="18" t="s">
        <v>371</v>
      </c>
    </row>
    <row r="843" spans="1:7" ht="22.5" customHeight="1">
      <c r="A843" s="4">
        <v>45990</v>
      </c>
      <c r="B843" s="5" t="s">
        <v>2262</v>
      </c>
      <c r="C843" s="14" t="s">
        <v>2263</v>
      </c>
      <c r="D843" s="7">
        <v>105000</v>
      </c>
      <c r="E843" s="8"/>
      <c r="F843" s="9" t="s">
        <v>10</v>
      </c>
      <c r="G843" s="18" t="s">
        <v>371</v>
      </c>
    </row>
    <row r="844" spans="1:7" ht="22.5" customHeight="1">
      <c r="A844" s="4">
        <v>45990</v>
      </c>
      <c r="B844" s="193" t="s">
        <v>2264</v>
      </c>
      <c r="C844" s="14" t="s">
        <v>2265</v>
      </c>
      <c r="D844" s="7">
        <v>62000</v>
      </c>
      <c r="E844" s="8"/>
      <c r="F844" s="9" t="s">
        <v>10</v>
      </c>
      <c r="G844" s="18" t="s">
        <v>421</v>
      </c>
    </row>
    <row r="845" spans="1:7" ht="22.5" customHeight="1">
      <c r="A845" s="4">
        <v>45990</v>
      </c>
      <c r="B845" s="9" t="s">
        <v>1103</v>
      </c>
      <c r="C845" s="14" t="s">
        <v>2266</v>
      </c>
      <c r="D845" s="7">
        <v>850000</v>
      </c>
      <c r="E845" s="8"/>
      <c r="F845" s="9" t="s">
        <v>21</v>
      </c>
      <c r="G845" s="18" t="s">
        <v>371</v>
      </c>
    </row>
    <row r="846" spans="1:7" ht="21" customHeight="1">
      <c r="A846" s="4">
        <v>45990</v>
      </c>
      <c r="B846" s="9" t="s">
        <v>2267</v>
      </c>
      <c r="C846" s="14" t="s">
        <v>2268</v>
      </c>
      <c r="D846" s="7">
        <v>138500</v>
      </c>
      <c r="E846" s="8"/>
      <c r="F846" s="9" t="s">
        <v>10</v>
      </c>
      <c r="G846" s="18" t="s">
        <v>371</v>
      </c>
    </row>
    <row r="847" spans="1:7" ht="22.5" customHeight="1">
      <c r="A847" s="226"/>
      <c r="B847" s="227" t="s">
        <v>2269</v>
      </c>
      <c r="C847" s="228"/>
      <c r="D847" s="229"/>
      <c r="E847" s="230"/>
      <c r="F847" s="228"/>
      <c r="G847" s="231"/>
    </row>
    <row r="848" spans="1:7" ht="18.75" customHeight="1">
      <c r="A848" s="4">
        <v>46006</v>
      </c>
      <c r="B848" s="9" t="s">
        <v>2270</v>
      </c>
      <c r="C848" s="14" t="s">
        <v>2271</v>
      </c>
      <c r="D848" s="7">
        <v>146200</v>
      </c>
      <c r="E848" s="8"/>
      <c r="F848" s="9" t="s">
        <v>10</v>
      </c>
      <c r="G848" s="18" t="s">
        <v>371</v>
      </c>
    </row>
    <row r="849" spans="1:7" ht="18.75" customHeight="1">
      <c r="A849" s="4">
        <v>45992</v>
      </c>
      <c r="B849" s="9" t="s">
        <v>2272</v>
      </c>
      <c r="C849" s="14" t="s">
        <v>2273</v>
      </c>
      <c r="D849" s="7">
        <v>144000</v>
      </c>
      <c r="E849" s="8"/>
      <c r="F849" s="9" t="s">
        <v>10</v>
      </c>
      <c r="G849" s="18" t="s">
        <v>371</v>
      </c>
    </row>
    <row r="850" spans="1:7" ht="19.5" customHeight="1">
      <c r="A850" s="4">
        <v>45992</v>
      </c>
      <c r="B850" s="9" t="s">
        <v>2274</v>
      </c>
      <c r="C850" s="14" t="s">
        <v>2275</v>
      </c>
      <c r="D850" s="7">
        <v>187000</v>
      </c>
      <c r="E850" s="8"/>
      <c r="F850" s="9" t="s">
        <v>10</v>
      </c>
      <c r="G850" s="18" t="s">
        <v>421</v>
      </c>
    </row>
    <row r="851" spans="1:7" ht="19.5" customHeight="1">
      <c r="A851" s="4">
        <v>45992</v>
      </c>
      <c r="B851" s="9" t="s">
        <v>2276</v>
      </c>
      <c r="C851" s="14" t="s">
        <v>2277</v>
      </c>
      <c r="D851" s="7">
        <v>274860</v>
      </c>
      <c r="E851" s="8"/>
      <c r="F851" s="9" t="s">
        <v>10</v>
      </c>
      <c r="G851" s="18" t="s">
        <v>371</v>
      </c>
    </row>
    <row r="852" spans="1:7" ht="18.75" customHeight="1">
      <c r="A852" s="4">
        <v>45992</v>
      </c>
      <c r="B852" s="9" t="s">
        <v>2278</v>
      </c>
      <c r="C852" s="14" t="s">
        <v>2279</v>
      </c>
      <c r="D852" s="7">
        <v>153710</v>
      </c>
      <c r="E852" s="8"/>
      <c r="F852" s="9" t="s">
        <v>10</v>
      </c>
      <c r="G852" s="18" t="s">
        <v>421</v>
      </c>
    </row>
    <row r="853" spans="1:7" ht="17.25" customHeight="1">
      <c r="A853" s="4">
        <v>45992</v>
      </c>
      <c r="B853" s="9" t="s">
        <v>2009</v>
      </c>
      <c r="C853" s="14" t="s">
        <v>2279</v>
      </c>
      <c r="D853" s="7">
        <v>200600</v>
      </c>
      <c r="E853" s="8"/>
      <c r="F853" s="9" t="s">
        <v>10</v>
      </c>
      <c r="G853" s="18" t="s">
        <v>371</v>
      </c>
    </row>
    <row r="854" spans="1:7" ht="20.25" customHeight="1">
      <c r="A854" s="4">
        <v>45992</v>
      </c>
      <c r="B854" s="9" t="s">
        <v>2280</v>
      </c>
      <c r="C854" s="14" t="s">
        <v>2281</v>
      </c>
      <c r="D854" s="7">
        <v>98000</v>
      </c>
      <c r="E854" s="8"/>
      <c r="F854" s="9" t="s">
        <v>10</v>
      </c>
      <c r="G854" s="18" t="s">
        <v>421</v>
      </c>
    </row>
    <row r="855" spans="1:7" ht="21" customHeight="1">
      <c r="A855" s="4">
        <v>45992</v>
      </c>
      <c r="B855" s="9" t="s">
        <v>1372</v>
      </c>
      <c r="C855" s="14" t="s">
        <v>2282</v>
      </c>
      <c r="D855" s="7">
        <v>119600</v>
      </c>
      <c r="E855" s="8"/>
      <c r="F855" s="9" t="s">
        <v>10</v>
      </c>
      <c r="G855" s="18" t="s">
        <v>371</v>
      </c>
    </row>
    <row r="856" spans="1:7" ht="20.25" customHeight="1">
      <c r="A856" s="4">
        <v>45992</v>
      </c>
      <c r="B856" s="9" t="s">
        <v>2283</v>
      </c>
      <c r="C856" s="14" t="s">
        <v>2284</v>
      </c>
      <c r="D856" s="7">
        <v>89600</v>
      </c>
      <c r="E856" s="8"/>
      <c r="F856" s="9" t="s">
        <v>10</v>
      </c>
      <c r="G856" s="18" t="s">
        <v>371</v>
      </c>
    </row>
    <row r="857" spans="1:7" ht="19.5" customHeight="1">
      <c r="A857" s="4">
        <v>45992</v>
      </c>
      <c r="B857" s="9" t="s">
        <v>2285</v>
      </c>
      <c r="C857" s="14" t="s">
        <v>2286</v>
      </c>
      <c r="D857" s="7">
        <v>283800</v>
      </c>
      <c r="E857" s="8"/>
      <c r="F857" s="9" t="s">
        <v>10</v>
      </c>
      <c r="G857" s="18" t="s">
        <v>371</v>
      </c>
    </row>
    <row r="858" spans="1:7" ht="20.25" customHeight="1">
      <c r="A858" s="4">
        <v>45992</v>
      </c>
      <c r="B858" s="9" t="s">
        <v>2287</v>
      </c>
      <c r="C858" s="14" t="s">
        <v>2288</v>
      </c>
      <c r="D858" s="7">
        <v>139500</v>
      </c>
      <c r="E858" s="8"/>
      <c r="F858" s="9" t="s">
        <v>10</v>
      </c>
      <c r="G858" s="18" t="s">
        <v>421</v>
      </c>
    </row>
    <row r="859" spans="1:7" ht="20.25" customHeight="1">
      <c r="A859" s="4">
        <v>45992</v>
      </c>
      <c r="B859" s="9" t="s">
        <v>2289</v>
      </c>
      <c r="C859" s="14" t="s">
        <v>2290</v>
      </c>
      <c r="D859" s="7">
        <v>149200</v>
      </c>
      <c r="E859" s="8"/>
      <c r="F859" s="9" t="s">
        <v>10</v>
      </c>
      <c r="G859" s="18" t="s">
        <v>371</v>
      </c>
    </row>
    <row r="860" spans="1:7" ht="22.5" customHeight="1">
      <c r="A860" s="4">
        <v>45992</v>
      </c>
      <c r="B860" s="197" t="s">
        <v>2291</v>
      </c>
      <c r="C860" s="14" t="s">
        <v>2292</v>
      </c>
      <c r="D860" s="7">
        <v>166000</v>
      </c>
      <c r="E860" s="8"/>
      <c r="F860" s="9" t="s">
        <v>10</v>
      </c>
      <c r="G860" s="18" t="s">
        <v>371</v>
      </c>
    </row>
    <row r="861" spans="1:7" ht="20.25" customHeight="1">
      <c r="A861" s="4">
        <v>45992</v>
      </c>
      <c r="B861" s="9" t="s">
        <v>2293</v>
      </c>
      <c r="C861" s="14" t="s">
        <v>2294</v>
      </c>
      <c r="D861" s="7">
        <v>171900</v>
      </c>
      <c r="E861" s="8"/>
      <c r="F861" s="9" t="s">
        <v>10</v>
      </c>
      <c r="G861" s="18" t="s">
        <v>371</v>
      </c>
    </row>
    <row r="862" spans="1:7" ht="20.25" customHeight="1">
      <c r="A862" s="4">
        <v>45992</v>
      </c>
      <c r="B862" s="9" t="s">
        <v>2295</v>
      </c>
      <c r="C862" s="14" t="s">
        <v>2296</v>
      </c>
      <c r="D862" s="7">
        <v>120060</v>
      </c>
      <c r="E862" s="8"/>
      <c r="F862" s="9" t="s">
        <v>10</v>
      </c>
      <c r="G862" s="18" t="s">
        <v>421</v>
      </c>
    </row>
    <row r="863" spans="1:7" ht="22.5" customHeight="1">
      <c r="A863" s="4">
        <v>45992</v>
      </c>
      <c r="B863" s="197" t="s">
        <v>2297</v>
      </c>
      <c r="C863" s="14" t="s">
        <v>2298</v>
      </c>
      <c r="D863" s="7">
        <v>184050</v>
      </c>
      <c r="E863" s="8"/>
      <c r="F863" s="9" t="s">
        <v>10</v>
      </c>
      <c r="G863" s="18" t="s">
        <v>421</v>
      </c>
    </row>
    <row r="864" spans="1:7" ht="22.5" customHeight="1">
      <c r="A864" s="4">
        <v>45992</v>
      </c>
      <c r="B864" s="9" t="s">
        <v>2299</v>
      </c>
      <c r="C864" s="14" t="s">
        <v>2300</v>
      </c>
      <c r="D864" s="7">
        <v>138500</v>
      </c>
      <c r="E864" s="8"/>
      <c r="F864" s="9" t="s">
        <v>10</v>
      </c>
      <c r="G864" s="18" t="s">
        <v>421</v>
      </c>
    </row>
    <row r="865" spans="1:7" ht="25.5" customHeight="1">
      <c r="A865" s="4">
        <v>45992</v>
      </c>
      <c r="B865" s="9" t="s">
        <v>2301</v>
      </c>
      <c r="C865" s="14" t="s">
        <v>2302</v>
      </c>
      <c r="D865" s="7">
        <v>95500</v>
      </c>
      <c r="E865" s="8"/>
      <c r="F865" s="9" t="s">
        <v>10</v>
      </c>
      <c r="G865" s="18" t="s">
        <v>371</v>
      </c>
    </row>
    <row r="866" spans="1:7" ht="24" customHeight="1">
      <c r="A866" s="4">
        <v>45992</v>
      </c>
      <c r="B866" s="9" t="s">
        <v>2303</v>
      </c>
      <c r="C866" s="14" t="s">
        <v>2304</v>
      </c>
      <c r="D866" s="7">
        <v>105800</v>
      </c>
      <c r="E866" s="8"/>
      <c r="F866" s="9" t="s">
        <v>10</v>
      </c>
      <c r="G866" s="18" t="s">
        <v>371</v>
      </c>
    </row>
    <row r="867" spans="1:7" ht="22.5" customHeight="1">
      <c r="A867" s="4">
        <v>45992</v>
      </c>
      <c r="B867" s="5" t="s">
        <v>9</v>
      </c>
      <c r="C867" s="14" t="s">
        <v>2305</v>
      </c>
      <c r="D867" s="7">
        <v>105800</v>
      </c>
      <c r="E867" s="8"/>
      <c r="F867" s="9" t="s">
        <v>10</v>
      </c>
      <c r="G867" s="18" t="s">
        <v>371</v>
      </c>
    </row>
    <row r="868" spans="1:7" ht="22.5" customHeight="1">
      <c r="A868" s="4">
        <v>45992</v>
      </c>
      <c r="B868" s="9" t="s">
        <v>2306</v>
      </c>
      <c r="C868" s="14" t="s">
        <v>2307</v>
      </c>
      <c r="D868" s="7">
        <v>80000</v>
      </c>
      <c r="E868" s="8"/>
      <c r="F868" s="9" t="s">
        <v>10</v>
      </c>
      <c r="G868" s="18" t="s">
        <v>942</v>
      </c>
    </row>
    <row r="869" spans="1:7" ht="22.5" customHeight="1">
      <c r="A869" s="4">
        <v>45993</v>
      </c>
      <c r="B869" s="197" t="s">
        <v>2308</v>
      </c>
      <c r="C869" s="14" t="s">
        <v>2309</v>
      </c>
      <c r="D869" s="7">
        <v>49000</v>
      </c>
      <c r="E869" s="8"/>
      <c r="F869" s="9" t="s">
        <v>10</v>
      </c>
      <c r="G869" s="18" t="s">
        <v>421</v>
      </c>
    </row>
    <row r="870" spans="1:7" ht="22.5" customHeight="1">
      <c r="A870" s="4">
        <v>45993</v>
      </c>
      <c r="B870" s="210" t="s">
        <v>2310</v>
      </c>
      <c r="C870" s="14" t="s">
        <v>2311</v>
      </c>
      <c r="D870" s="7">
        <v>119500</v>
      </c>
      <c r="E870" s="8"/>
      <c r="F870" s="9" t="s">
        <v>10</v>
      </c>
      <c r="G870" s="18" t="s">
        <v>371</v>
      </c>
    </row>
    <row r="871" spans="1:7" ht="22.5" customHeight="1">
      <c r="A871" s="4">
        <v>45993</v>
      </c>
      <c r="B871" s="9" t="s">
        <v>2312</v>
      </c>
      <c r="C871" s="14" t="s">
        <v>2311</v>
      </c>
      <c r="D871" s="7">
        <v>157500</v>
      </c>
      <c r="E871" s="8"/>
      <c r="F871" s="9" t="s">
        <v>10</v>
      </c>
      <c r="G871" s="18" t="s">
        <v>371</v>
      </c>
    </row>
    <row r="872" spans="1:7" ht="22.5" customHeight="1">
      <c r="A872" s="4">
        <v>45993</v>
      </c>
      <c r="B872" s="197" t="s">
        <v>2313</v>
      </c>
      <c r="C872" s="14" t="s">
        <v>2314</v>
      </c>
      <c r="D872" s="7">
        <v>117000</v>
      </c>
      <c r="E872" s="8"/>
      <c r="F872" s="9" t="s">
        <v>10</v>
      </c>
      <c r="G872" s="18" t="s">
        <v>421</v>
      </c>
    </row>
    <row r="873" spans="1:7" ht="22.5" customHeight="1">
      <c r="A873" s="4">
        <v>45993</v>
      </c>
      <c r="B873" s="9" t="s">
        <v>2315</v>
      </c>
      <c r="C873" s="14" t="s">
        <v>2316</v>
      </c>
      <c r="D873" s="7">
        <v>80300</v>
      </c>
      <c r="E873" s="8"/>
      <c r="F873" s="9" t="s">
        <v>10</v>
      </c>
      <c r="G873" s="18" t="s">
        <v>421</v>
      </c>
    </row>
    <row r="874" spans="1:7" ht="21" customHeight="1">
      <c r="A874" s="4">
        <v>45993</v>
      </c>
      <c r="B874" s="9" t="s">
        <v>2317</v>
      </c>
      <c r="C874" s="14" t="s">
        <v>2318</v>
      </c>
      <c r="D874" s="7">
        <v>112900</v>
      </c>
      <c r="E874" s="8"/>
      <c r="F874" s="9" t="s">
        <v>10</v>
      </c>
      <c r="G874" s="18" t="s">
        <v>421</v>
      </c>
    </row>
    <row r="875" spans="1:7" ht="22.5" customHeight="1">
      <c r="A875" s="4">
        <v>45993</v>
      </c>
      <c r="B875" s="9" t="s">
        <v>1153</v>
      </c>
      <c r="C875" s="14" t="s">
        <v>2319</v>
      </c>
      <c r="D875" s="7">
        <v>146500</v>
      </c>
      <c r="E875" s="8"/>
      <c r="F875" s="9" t="s">
        <v>10</v>
      </c>
      <c r="G875" s="18" t="s">
        <v>371</v>
      </c>
    </row>
    <row r="876" spans="1:7" ht="22.5" customHeight="1">
      <c r="A876" s="4">
        <v>45993</v>
      </c>
      <c r="B876" s="193" t="s">
        <v>2320</v>
      </c>
      <c r="C876" s="14" t="s">
        <v>2321</v>
      </c>
      <c r="D876" s="7">
        <v>117000</v>
      </c>
      <c r="E876" s="8"/>
      <c r="F876" s="9" t="s">
        <v>10</v>
      </c>
      <c r="G876" s="18" t="s">
        <v>371</v>
      </c>
    </row>
    <row r="877" spans="1:7" ht="22.5" customHeight="1">
      <c r="A877" s="4">
        <v>45993</v>
      </c>
      <c r="B877" s="10" t="s">
        <v>2322</v>
      </c>
      <c r="C877" s="14" t="s">
        <v>2323</v>
      </c>
      <c r="D877" s="7">
        <v>83000</v>
      </c>
      <c r="E877" s="8"/>
      <c r="F877" s="9" t="s">
        <v>7</v>
      </c>
      <c r="G877" s="18" t="s">
        <v>371</v>
      </c>
    </row>
    <row r="878" spans="1:7" ht="24.75" customHeight="1">
      <c r="A878" s="4">
        <v>45993</v>
      </c>
      <c r="B878" s="5" t="s">
        <v>342</v>
      </c>
      <c r="C878" s="14" t="s">
        <v>2324</v>
      </c>
      <c r="D878" s="7">
        <v>286600</v>
      </c>
      <c r="E878" s="8"/>
      <c r="F878" s="9" t="s">
        <v>16</v>
      </c>
      <c r="G878" s="18" t="s">
        <v>371</v>
      </c>
    </row>
    <row r="879" spans="1:7" ht="22.5" customHeight="1">
      <c r="A879" s="4">
        <v>45993</v>
      </c>
      <c r="B879" s="10" t="s">
        <v>124</v>
      </c>
      <c r="C879" s="14" t="s">
        <v>2325</v>
      </c>
      <c r="D879" s="7">
        <v>158000</v>
      </c>
      <c r="E879" s="8"/>
      <c r="F879" s="9" t="s">
        <v>7</v>
      </c>
      <c r="G879" s="18" t="s">
        <v>371</v>
      </c>
    </row>
    <row r="880" spans="1:7" ht="24.75" customHeight="1">
      <c r="A880" s="4">
        <v>45993</v>
      </c>
      <c r="B880" s="5" t="s">
        <v>957</v>
      </c>
      <c r="C880" s="14" t="s">
        <v>2326</v>
      </c>
      <c r="D880" s="7">
        <v>72500</v>
      </c>
      <c r="E880" s="8"/>
      <c r="F880" s="9" t="s">
        <v>7</v>
      </c>
      <c r="G880" s="18" t="s">
        <v>371</v>
      </c>
    </row>
    <row r="881" spans="1:7" ht="22.5" customHeight="1">
      <c r="A881" s="4">
        <v>45993</v>
      </c>
      <c r="B881" s="10" t="s">
        <v>2327</v>
      </c>
      <c r="C881" s="14" t="s">
        <v>2328</v>
      </c>
      <c r="D881" s="7">
        <v>116700</v>
      </c>
      <c r="E881" s="8"/>
      <c r="F881" s="9" t="s">
        <v>10</v>
      </c>
      <c r="G881" s="18" t="s">
        <v>371</v>
      </c>
    </row>
    <row r="882" spans="1:7" ht="22.5" customHeight="1">
      <c r="A882" s="4">
        <v>45993</v>
      </c>
      <c r="B882" s="10" t="s">
        <v>2329</v>
      </c>
      <c r="C882" s="14" t="s">
        <v>2330</v>
      </c>
      <c r="D882" s="7">
        <v>168000</v>
      </c>
      <c r="E882" s="8"/>
      <c r="F882" s="9" t="s">
        <v>7</v>
      </c>
      <c r="G882" s="18" t="s">
        <v>371</v>
      </c>
    </row>
    <row r="883" spans="1:7" ht="22.5" customHeight="1">
      <c r="A883" s="4">
        <v>45993</v>
      </c>
      <c r="B883" s="5" t="s">
        <v>2331</v>
      </c>
      <c r="C883" s="14" t="s">
        <v>2332</v>
      </c>
      <c r="D883" s="7">
        <v>93500</v>
      </c>
      <c r="E883" s="8"/>
      <c r="F883" s="9" t="s">
        <v>10</v>
      </c>
      <c r="G883" s="18" t="s">
        <v>942</v>
      </c>
    </row>
    <row r="884" spans="1:7" ht="22.5" customHeight="1">
      <c r="A884" s="4">
        <v>45993</v>
      </c>
      <c r="B884" s="10" t="s">
        <v>28</v>
      </c>
      <c r="C884" s="14" t="s">
        <v>2333</v>
      </c>
      <c r="D884" s="7">
        <v>220900</v>
      </c>
      <c r="E884" s="8"/>
      <c r="F884" s="9" t="s">
        <v>7</v>
      </c>
      <c r="G884" s="18" t="s">
        <v>371</v>
      </c>
    </row>
    <row r="885" spans="1:7" ht="22.5" customHeight="1">
      <c r="A885" s="4">
        <v>45993</v>
      </c>
      <c r="B885" s="10" t="s">
        <v>56</v>
      </c>
      <c r="C885" s="14" t="s">
        <v>2334</v>
      </c>
      <c r="D885" s="7">
        <v>237900</v>
      </c>
      <c r="E885" s="8"/>
      <c r="F885" s="9" t="s">
        <v>10</v>
      </c>
      <c r="G885" s="18" t="s">
        <v>371</v>
      </c>
    </row>
    <row r="886" spans="1:7" ht="22.5" customHeight="1">
      <c r="A886" s="4">
        <v>45993</v>
      </c>
      <c r="B886" s="10" t="s">
        <v>789</v>
      </c>
      <c r="C886" s="14" t="s">
        <v>2335</v>
      </c>
      <c r="D886" s="7">
        <v>593100</v>
      </c>
      <c r="E886" s="8"/>
      <c r="F886" s="9" t="s">
        <v>16</v>
      </c>
      <c r="G886" s="18" t="s">
        <v>371</v>
      </c>
    </row>
    <row r="887" spans="1:7" ht="22.5" customHeight="1">
      <c r="A887" s="4">
        <v>45993</v>
      </c>
      <c r="B887" s="10" t="s">
        <v>58</v>
      </c>
      <c r="C887" s="14" t="s">
        <v>2336</v>
      </c>
      <c r="D887" s="7">
        <v>132500</v>
      </c>
      <c r="E887" s="8"/>
      <c r="F887" s="9" t="s">
        <v>7</v>
      </c>
      <c r="G887" s="18" t="s">
        <v>371</v>
      </c>
    </row>
    <row r="888" spans="1:7" ht="22.5" customHeight="1">
      <c r="A888" s="4">
        <v>45993</v>
      </c>
      <c r="B888" s="210" t="s">
        <v>2337</v>
      </c>
      <c r="C888" s="14" t="s">
        <v>2338</v>
      </c>
      <c r="D888" s="7">
        <v>140500</v>
      </c>
      <c r="E888" s="8"/>
      <c r="F888" s="9" t="s">
        <v>10</v>
      </c>
      <c r="G888" s="18" t="s">
        <v>371</v>
      </c>
    </row>
    <row r="889" spans="1:7" ht="22.5" customHeight="1">
      <c r="A889" s="4">
        <v>45993</v>
      </c>
      <c r="B889" s="5" t="s">
        <v>12</v>
      </c>
      <c r="C889" s="14" t="s">
        <v>2339</v>
      </c>
      <c r="D889" s="7">
        <v>205200</v>
      </c>
      <c r="E889" s="8"/>
      <c r="F889" s="9" t="s">
        <v>10</v>
      </c>
      <c r="G889" s="18" t="s">
        <v>371</v>
      </c>
    </row>
    <row r="890" spans="1:7" ht="21" customHeight="1">
      <c r="A890" s="4">
        <v>45994</v>
      </c>
      <c r="B890" s="5" t="s">
        <v>1459</v>
      </c>
      <c r="C890" s="14" t="s">
        <v>2340</v>
      </c>
      <c r="D890" s="7">
        <v>127800</v>
      </c>
      <c r="E890" s="8"/>
      <c r="F890" s="9" t="s">
        <v>10</v>
      </c>
      <c r="G890" s="18" t="s">
        <v>371</v>
      </c>
    </row>
    <row r="891" spans="1:7" ht="22.5" customHeight="1">
      <c r="A891" s="4">
        <v>45994</v>
      </c>
      <c r="B891" s="210" t="s">
        <v>2341</v>
      </c>
      <c r="C891" s="14" t="s">
        <v>2342</v>
      </c>
      <c r="D891" s="7">
        <v>191700</v>
      </c>
      <c r="E891" s="8"/>
      <c r="F891" s="9" t="s">
        <v>2343</v>
      </c>
      <c r="G891" s="18" t="s">
        <v>371</v>
      </c>
    </row>
    <row r="892" spans="1:7" ht="22.5" customHeight="1">
      <c r="A892" s="4">
        <v>45994</v>
      </c>
      <c r="B892" s="210" t="s">
        <v>2344</v>
      </c>
      <c r="C892" s="14" t="s">
        <v>2345</v>
      </c>
      <c r="D892" s="7">
        <v>136300</v>
      </c>
      <c r="E892" s="8"/>
      <c r="F892" s="9" t="s">
        <v>10</v>
      </c>
      <c r="G892" s="18" t="s">
        <v>371</v>
      </c>
    </row>
    <row r="893" spans="1:7" ht="22.5" customHeight="1">
      <c r="A893" s="4">
        <v>45994</v>
      </c>
      <c r="B893" s="210" t="s">
        <v>2346</v>
      </c>
      <c r="C893" s="14" t="s">
        <v>2347</v>
      </c>
      <c r="D893" s="7">
        <v>210000</v>
      </c>
      <c r="E893" s="8"/>
      <c r="F893" s="9" t="s">
        <v>10</v>
      </c>
      <c r="G893" s="18" t="s">
        <v>371</v>
      </c>
    </row>
    <row r="894" spans="1:7" ht="22.5" customHeight="1">
      <c r="A894" s="4">
        <v>45994</v>
      </c>
      <c r="B894" s="133" t="s">
        <v>1113</v>
      </c>
      <c r="C894" s="14" t="s">
        <v>2348</v>
      </c>
      <c r="D894" s="7">
        <v>130000</v>
      </c>
      <c r="E894" s="8"/>
      <c r="F894" s="9" t="s">
        <v>10</v>
      </c>
      <c r="G894" s="18" t="s">
        <v>371</v>
      </c>
    </row>
    <row r="895" spans="1:7" ht="22.5" customHeight="1">
      <c r="A895" s="4">
        <v>45994</v>
      </c>
      <c r="B895" s="210" t="s">
        <v>2349</v>
      </c>
      <c r="C895" s="14" t="s">
        <v>2350</v>
      </c>
      <c r="D895" s="7">
        <v>307800</v>
      </c>
      <c r="E895" s="8"/>
      <c r="F895" s="9" t="s">
        <v>10</v>
      </c>
      <c r="G895" s="18" t="s">
        <v>371</v>
      </c>
    </row>
    <row r="896" spans="1:7" ht="22.5" customHeight="1">
      <c r="A896" s="4">
        <v>45994</v>
      </c>
      <c r="B896" s="210" t="s">
        <v>2351</v>
      </c>
      <c r="C896" s="14" t="s">
        <v>2352</v>
      </c>
      <c r="D896" s="7">
        <v>73000</v>
      </c>
      <c r="E896" s="8"/>
      <c r="F896" s="9" t="s">
        <v>10</v>
      </c>
      <c r="G896" s="18" t="s">
        <v>421</v>
      </c>
    </row>
    <row r="897" spans="1:7" ht="22.5" customHeight="1">
      <c r="A897" s="4">
        <v>45994</v>
      </c>
      <c r="B897" s="210" t="s">
        <v>2353</v>
      </c>
      <c r="C897" s="14" t="s">
        <v>2354</v>
      </c>
      <c r="D897" s="7">
        <v>114000</v>
      </c>
      <c r="E897" s="8"/>
      <c r="F897" s="9" t="s">
        <v>10</v>
      </c>
      <c r="G897" s="18" t="s">
        <v>421</v>
      </c>
    </row>
    <row r="898" spans="1:7" ht="22.5" customHeight="1">
      <c r="A898" s="4">
        <v>45994</v>
      </c>
      <c r="B898" s="210" t="s">
        <v>2355</v>
      </c>
      <c r="C898" s="14" t="s">
        <v>2356</v>
      </c>
      <c r="D898" s="7">
        <v>200450</v>
      </c>
      <c r="E898" s="8"/>
      <c r="F898" s="9" t="s">
        <v>10</v>
      </c>
      <c r="G898" s="18" t="s">
        <v>421</v>
      </c>
    </row>
    <row r="899" spans="1:7" ht="22.5" customHeight="1">
      <c r="A899" s="4">
        <v>45994</v>
      </c>
      <c r="B899" s="210" t="s">
        <v>2357</v>
      </c>
      <c r="C899" s="14" t="s">
        <v>2358</v>
      </c>
      <c r="D899" s="7">
        <v>88439</v>
      </c>
      <c r="E899" s="8"/>
      <c r="F899" s="9" t="s">
        <v>10</v>
      </c>
      <c r="G899" s="18" t="s">
        <v>421</v>
      </c>
    </row>
    <row r="900" spans="1:7" ht="22.5" customHeight="1">
      <c r="A900" s="4">
        <v>45994</v>
      </c>
      <c r="B900" s="210" t="s">
        <v>953</v>
      </c>
      <c r="C900" s="14" t="s">
        <v>2359</v>
      </c>
      <c r="D900" s="7">
        <v>453250</v>
      </c>
      <c r="E900" s="8"/>
      <c r="F900" s="9" t="s">
        <v>10</v>
      </c>
      <c r="G900" s="18" t="s">
        <v>371</v>
      </c>
    </row>
    <row r="901" spans="1:7" ht="22.5" customHeight="1">
      <c r="A901" s="4">
        <v>45994</v>
      </c>
      <c r="B901" s="5" t="s">
        <v>486</v>
      </c>
      <c r="C901" s="14" t="s">
        <v>2360</v>
      </c>
      <c r="D901" s="7">
        <v>201100</v>
      </c>
      <c r="E901" s="8"/>
      <c r="F901" s="9" t="s">
        <v>7</v>
      </c>
      <c r="G901" s="18" t="s">
        <v>371</v>
      </c>
    </row>
    <row r="902" spans="1:7" ht="21" customHeight="1">
      <c r="A902" s="4">
        <v>45994</v>
      </c>
      <c r="B902" s="5" t="s">
        <v>2361</v>
      </c>
      <c r="C902" s="14" t="s">
        <v>2362</v>
      </c>
      <c r="D902" s="7">
        <v>226100</v>
      </c>
      <c r="E902" s="8"/>
      <c r="F902" s="9" t="s">
        <v>7</v>
      </c>
      <c r="G902" s="18" t="s">
        <v>874</v>
      </c>
    </row>
    <row r="903" spans="1:7" ht="22.5" customHeight="1">
      <c r="A903" s="4">
        <v>45994</v>
      </c>
      <c r="B903" s="10" t="s">
        <v>249</v>
      </c>
      <c r="C903" s="14" t="s">
        <v>2363</v>
      </c>
      <c r="D903" s="7">
        <v>105000</v>
      </c>
      <c r="E903" s="8"/>
      <c r="F903" s="9" t="s">
        <v>10</v>
      </c>
      <c r="G903" s="18" t="s">
        <v>371</v>
      </c>
    </row>
    <row r="904" spans="1:7" ht="22.5" customHeight="1">
      <c r="A904" s="4">
        <v>45994</v>
      </c>
      <c r="B904" s="10" t="s">
        <v>33</v>
      </c>
      <c r="C904" s="14" t="s">
        <v>2364</v>
      </c>
      <c r="D904" s="7">
        <v>282000</v>
      </c>
      <c r="E904" s="8"/>
      <c r="F904" s="9" t="s">
        <v>7</v>
      </c>
      <c r="G904" s="18" t="s">
        <v>371</v>
      </c>
    </row>
    <row r="905" spans="1:7" ht="23.25" customHeight="1">
      <c r="A905" s="4">
        <v>45994</v>
      </c>
      <c r="B905" s="5" t="s">
        <v>2365</v>
      </c>
      <c r="C905" s="14" t="s">
        <v>2366</v>
      </c>
      <c r="D905" s="7">
        <v>77200</v>
      </c>
      <c r="E905" s="8"/>
      <c r="F905" s="9" t="s">
        <v>7</v>
      </c>
      <c r="G905" s="18" t="s">
        <v>983</v>
      </c>
    </row>
    <row r="906" spans="1:7" ht="22.5" customHeight="1">
      <c r="A906" s="4">
        <v>45994</v>
      </c>
      <c r="B906" s="10" t="s">
        <v>71</v>
      </c>
      <c r="C906" s="14" t="s">
        <v>2367</v>
      </c>
      <c r="D906" s="7">
        <v>737375</v>
      </c>
      <c r="E906" s="8"/>
      <c r="F906" s="9" t="s">
        <v>72</v>
      </c>
      <c r="G906" s="18" t="s">
        <v>371</v>
      </c>
    </row>
    <row r="907" spans="1:7" ht="22.5" customHeight="1">
      <c r="A907" s="4">
        <v>45995</v>
      </c>
      <c r="B907" s="197" t="s">
        <v>678</v>
      </c>
      <c r="C907" s="14" t="s">
        <v>679</v>
      </c>
      <c r="D907" s="7">
        <v>477500</v>
      </c>
      <c r="E907" s="8"/>
      <c r="F907" s="9" t="s">
        <v>10</v>
      </c>
      <c r="G907" s="18" t="s">
        <v>421</v>
      </c>
    </row>
    <row r="908" spans="1:7" ht="22.5" customHeight="1">
      <c r="A908" s="4">
        <v>45995</v>
      </c>
      <c r="B908" s="210" t="s">
        <v>676</v>
      </c>
      <c r="C908" s="14" t="s">
        <v>677</v>
      </c>
      <c r="D908" s="7">
        <v>253800</v>
      </c>
      <c r="E908" s="8"/>
      <c r="F908" s="9" t="s">
        <v>10</v>
      </c>
      <c r="G908" s="18" t="s">
        <v>421</v>
      </c>
    </row>
    <row r="909" spans="1:7" ht="22.5" customHeight="1">
      <c r="A909" s="4">
        <v>45995</v>
      </c>
      <c r="B909" s="197" t="s">
        <v>2368</v>
      </c>
      <c r="C909" s="14" t="s">
        <v>2369</v>
      </c>
      <c r="D909" s="7">
        <v>119250</v>
      </c>
      <c r="E909" s="8"/>
      <c r="F909" s="9" t="s">
        <v>10</v>
      </c>
      <c r="G909" s="18" t="s">
        <v>421</v>
      </c>
    </row>
    <row r="910" spans="1:7" ht="22.5" customHeight="1">
      <c r="A910" s="4">
        <v>45995</v>
      </c>
      <c r="B910" s="210" t="s">
        <v>2370</v>
      </c>
      <c r="C910" s="14" t="s">
        <v>2371</v>
      </c>
      <c r="D910" s="7">
        <v>82430</v>
      </c>
      <c r="E910" s="8"/>
      <c r="F910" s="9" t="s">
        <v>10</v>
      </c>
      <c r="G910" s="18" t="s">
        <v>421</v>
      </c>
    </row>
    <row r="911" spans="1:7" ht="22.5" customHeight="1">
      <c r="A911" s="4">
        <v>45995</v>
      </c>
      <c r="B911" s="10" t="s">
        <v>311</v>
      </c>
      <c r="C911" s="14" t="s">
        <v>2372</v>
      </c>
      <c r="D911" s="7">
        <v>95900</v>
      </c>
      <c r="E911" s="8"/>
      <c r="F911" s="9" t="s">
        <v>10</v>
      </c>
      <c r="G911" s="18" t="s">
        <v>371</v>
      </c>
    </row>
    <row r="912" spans="1:7" ht="22.5" customHeight="1">
      <c r="A912" s="4">
        <v>45995</v>
      </c>
      <c r="B912" s="5" t="s">
        <v>239</v>
      </c>
      <c r="C912" s="14" t="s">
        <v>2373</v>
      </c>
      <c r="D912" s="7">
        <v>282538</v>
      </c>
      <c r="E912" s="8"/>
      <c r="F912" s="9" t="s">
        <v>7</v>
      </c>
      <c r="G912" s="18" t="s">
        <v>371</v>
      </c>
    </row>
    <row r="913" spans="1:7" ht="22.5" customHeight="1">
      <c r="A913" s="4">
        <v>45995</v>
      </c>
      <c r="B913" s="5" t="s">
        <v>46</v>
      </c>
      <c r="C913" s="14" t="s">
        <v>2374</v>
      </c>
      <c r="D913" s="7">
        <v>125000</v>
      </c>
      <c r="E913" s="8"/>
      <c r="F913" s="9" t="s">
        <v>21</v>
      </c>
      <c r="G913" s="18" t="s">
        <v>371</v>
      </c>
    </row>
    <row r="914" spans="1:7" ht="22.5" customHeight="1">
      <c r="A914" s="4">
        <v>45995</v>
      </c>
      <c r="B914" s="11" t="s">
        <v>2375</v>
      </c>
      <c r="C914" s="14" t="s">
        <v>2376</v>
      </c>
      <c r="D914" s="7">
        <v>296550</v>
      </c>
      <c r="E914" s="8"/>
      <c r="F914" s="9" t="s">
        <v>7</v>
      </c>
      <c r="G914" s="18" t="s">
        <v>371</v>
      </c>
    </row>
    <row r="915" spans="1:7" ht="20.25" customHeight="1">
      <c r="A915" s="4">
        <v>45995</v>
      </c>
      <c r="B915" s="133" t="s">
        <v>2377</v>
      </c>
      <c r="C915" s="14" t="s">
        <v>2378</v>
      </c>
      <c r="D915" s="7">
        <v>251800</v>
      </c>
      <c r="E915" s="8"/>
      <c r="F915" s="9" t="s">
        <v>7</v>
      </c>
      <c r="G915" s="18" t="s">
        <v>371</v>
      </c>
    </row>
    <row r="916" spans="1:7" ht="22.5" customHeight="1">
      <c r="A916" s="4">
        <v>45996</v>
      </c>
      <c r="B916" s="210" t="s">
        <v>2379</v>
      </c>
      <c r="C916" s="14" t="s">
        <v>2380</v>
      </c>
      <c r="D916" s="7">
        <v>109670</v>
      </c>
      <c r="E916" s="8"/>
      <c r="F916" s="9" t="s">
        <v>10</v>
      </c>
      <c r="G916" s="18" t="s">
        <v>421</v>
      </c>
    </row>
    <row r="917" spans="1:7" ht="22.5" customHeight="1">
      <c r="A917" s="4">
        <v>45996</v>
      </c>
      <c r="B917" s="10" t="s">
        <v>2381</v>
      </c>
      <c r="C917" s="14" t="s">
        <v>2382</v>
      </c>
      <c r="D917" s="7">
        <v>133600</v>
      </c>
      <c r="E917" s="8"/>
      <c r="F917" s="9" t="s">
        <v>7</v>
      </c>
      <c r="G917" s="18" t="s">
        <v>371</v>
      </c>
    </row>
    <row r="918" spans="1:7" ht="22.5" customHeight="1">
      <c r="A918" s="4">
        <v>45996</v>
      </c>
      <c r="B918" s="10" t="s">
        <v>170</v>
      </c>
      <c r="C918" s="14" t="s">
        <v>2383</v>
      </c>
      <c r="D918" s="7">
        <v>347000</v>
      </c>
      <c r="E918" s="8"/>
      <c r="F918" s="9" t="s">
        <v>10</v>
      </c>
      <c r="G918" s="18" t="s">
        <v>371</v>
      </c>
    </row>
    <row r="919" spans="1:7" ht="22.5" customHeight="1">
      <c r="A919" s="4">
        <v>45996</v>
      </c>
      <c r="B919" s="5" t="s">
        <v>974</v>
      </c>
      <c r="C919" s="14" t="s">
        <v>2384</v>
      </c>
      <c r="D919" s="7">
        <v>154000</v>
      </c>
      <c r="E919" s="8"/>
      <c r="F919" s="9" t="s">
        <v>7</v>
      </c>
      <c r="G919" s="18" t="s">
        <v>371</v>
      </c>
    </row>
    <row r="920" spans="1:7" ht="21.75" customHeight="1">
      <c r="A920" s="4">
        <v>45996</v>
      </c>
      <c r="B920" s="9" t="s">
        <v>1985</v>
      </c>
      <c r="C920" s="14" t="s">
        <v>2385</v>
      </c>
      <c r="D920" s="7">
        <v>197000</v>
      </c>
      <c r="E920" s="8"/>
      <c r="F920" s="9" t="s">
        <v>10</v>
      </c>
      <c r="G920" s="18" t="s">
        <v>371</v>
      </c>
    </row>
    <row r="921" spans="1:7" ht="22.5" customHeight="1">
      <c r="A921" s="4">
        <v>45996</v>
      </c>
      <c r="B921" s="133" t="s">
        <v>2386</v>
      </c>
      <c r="C921" s="14" t="s">
        <v>2387</v>
      </c>
      <c r="D921" s="7">
        <v>130000</v>
      </c>
      <c r="E921" s="8"/>
      <c r="F921" s="9" t="s">
        <v>10</v>
      </c>
      <c r="G921" s="18" t="s">
        <v>421</v>
      </c>
    </row>
    <row r="922" spans="1:7" ht="22.5" customHeight="1">
      <c r="A922" s="4">
        <v>45997</v>
      </c>
      <c r="B922" s="197" t="s">
        <v>2388</v>
      </c>
      <c r="C922" s="14" t="s">
        <v>2389</v>
      </c>
      <c r="D922" s="7">
        <v>165000</v>
      </c>
      <c r="E922" s="8"/>
      <c r="F922" s="9" t="s">
        <v>10</v>
      </c>
      <c r="G922" s="18" t="s">
        <v>371</v>
      </c>
    </row>
    <row r="923" spans="1:7" ht="22.5" customHeight="1">
      <c r="A923" s="4">
        <v>45997</v>
      </c>
      <c r="B923" s="210" t="s">
        <v>2390</v>
      </c>
      <c r="C923" s="14" t="s">
        <v>2391</v>
      </c>
      <c r="D923" s="7">
        <v>139500</v>
      </c>
      <c r="E923" s="8"/>
      <c r="F923" s="9" t="s">
        <v>10</v>
      </c>
      <c r="G923" s="18" t="s">
        <v>371</v>
      </c>
    </row>
    <row r="924" spans="1:7" ht="22.5" customHeight="1">
      <c r="A924" s="4">
        <v>45997</v>
      </c>
      <c r="B924" s="197" t="s">
        <v>1242</v>
      </c>
      <c r="C924" s="14" t="s">
        <v>2392</v>
      </c>
      <c r="D924" s="7">
        <v>130500</v>
      </c>
      <c r="E924" s="8"/>
      <c r="F924" s="9" t="s">
        <v>10</v>
      </c>
      <c r="G924" s="18" t="s">
        <v>371</v>
      </c>
    </row>
    <row r="925" spans="1:7" ht="22.5" customHeight="1">
      <c r="A925" s="4">
        <v>45997</v>
      </c>
      <c r="B925" s="210" t="s">
        <v>2189</v>
      </c>
      <c r="C925" s="14" t="s">
        <v>2393</v>
      </c>
      <c r="D925" s="7">
        <v>147700</v>
      </c>
      <c r="E925" s="8"/>
      <c r="F925" s="9" t="s">
        <v>10</v>
      </c>
      <c r="G925" s="18" t="s">
        <v>371</v>
      </c>
    </row>
    <row r="926" spans="1:7" ht="22.5" customHeight="1">
      <c r="A926" s="4">
        <v>45997</v>
      </c>
      <c r="B926" s="5" t="s">
        <v>2394</v>
      </c>
      <c r="C926" s="14" t="s">
        <v>2395</v>
      </c>
      <c r="D926" s="7">
        <v>72500</v>
      </c>
      <c r="E926" s="8"/>
      <c r="F926" s="9" t="s">
        <v>16</v>
      </c>
      <c r="G926" s="18" t="s">
        <v>983</v>
      </c>
    </row>
    <row r="927" spans="1:7" ht="22.5" customHeight="1">
      <c r="A927" s="4">
        <v>45997</v>
      </c>
      <c r="B927" s="10" t="s">
        <v>352</v>
      </c>
      <c r="C927" s="14" t="s">
        <v>2396</v>
      </c>
      <c r="D927" s="7">
        <v>117800</v>
      </c>
      <c r="E927" s="8"/>
      <c r="F927" s="9" t="s">
        <v>10</v>
      </c>
      <c r="G927" s="18" t="s">
        <v>371</v>
      </c>
    </row>
    <row r="928" spans="1:7" ht="22.5" customHeight="1">
      <c r="A928" s="4">
        <v>45997</v>
      </c>
      <c r="B928" s="10" t="s">
        <v>149</v>
      </c>
      <c r="C928" s="14" t="s">
        <v>2397</v>
      </c>
      <c r="D928" s="7">
        <v>339100</v>
      </c>
      <c r="E928" s="8"/>
      <c r="F928" s="9" t="s">
        <v>7</v>
      </c>
      <c r="G928" s="18" t="s">
        <v>371</v>
      </c>
    </row>
    <row r="929" spans="1:7" ht="21.75" customHeight="1">
      <c r="A929" s="4">
        <v>45997</v>
      </c>
      <c r="B929" s="5" t="s">
        <v>2398</v>
      </c>
      <c r="C929" s="14" t="s">
        <v>2399</v>
      </c>
      <c r="D929" s="7">
        <v>105500</v>
      </c>
      <c r="E929" s="8"/>
      <c r="F929" s="9" t="s">
        <v>7</v>
      </c>
      <c r="G929" s="18" t="s">
        <v>942</v>
      </c>
    </row>
    <row r="930" spans="1:7" ht="22.5" customHeight="1">
      <c r="A930" s="4">
        <v>45997</v>
      </c>
      <c r="B930" s="210" t="s">
        <v>2400</v>
      </c>
      <c r="C930" s="14" t="s">
        <v>2401</v>
      </c>
      <c r="D930" s="7">
        <v>115700</v>
      </c>
      <c r="E930" s="8"/>
      <c r="F930" s="9" t="s">
        <v>10</v>
      </c>
      <c r="G930" s="18" t="s">
        <v>421</v>
      </c>
    </row>
    <row r="931" spans="1:7" ht="22.5" customHeight="1">
      <c r="A931" s="4">
        <v>45997</v>
      </c>
      <c r="B931" s="210" t="s">
        <v>2402</v>
      </c>
      <c r="C931" s="14" t="s">
        <v>2403</v>
      </c>
      <c r="D931" s="7">
        <v>52500</v>
      </c>
      <c r="E931" s="8"/>
      <c r="F931" s="9" t="s">
        <v>10</v>
      </c>
      <c r="G931" s="18" t="s">
        <v>421</v>
      </c>
    </row>
    <row r="932" spans="1:7" ht="22.5" customHeight="1">
      <c r="A932" s="4">
        <v>45997</v>
      </c>
      <c r="B932" s="5" t="s">
        <v>525</v>
      </c>
      <c r="C932" s="14" t="s">
        <v>2404</v>
      </c>
      <c r="D932" s="7">
        <v>409400</v>
      </c>
      <c r="E932" s="8"/>
      <c r="F932" s="9" t="s">
        <v>10</v>
      </c>
      <c r="G932" s="18" t="s">
        <v>371</v>
      </c>
    </row>
    <row r="933" spans="1:7" ht="22.5" customHeight="1">
      <c r="A933" s="4">
        <v>45997</v>
      </c>
      <c r="B933" s="210" t="s">
        <v>2405</v>
      </c>
      <c r="C933" s="14" t="s">
        <v>2406</v>
      </c>
      <c r="D933" s="7">
        <v>250400</v>
      </c>
      <c r="E933" s="8"/>
      <c r="F933" s="9" t="s">
        <v>10</v>
      </c>
      <c r="G933" s="18" t="s">
        <v>371</v>
      </c>
    </row>
    <row r="934" spans="1:7" ht="22.5" customHeight="1">
      <c r="A934" s="4">
        <v>46000</v>
      </c>
      <c r="B934" s="9" t="s">
        <v>2407</v>
      </c>
      <c r="C934" s="14" t="s">
        <v>2408</v>
      </c>
      <c r="D934" s="7">
        <v>138600</v>
      </c>
      <c r="E934" s="8"/>
      <c r="F934" s="9" t="s">
        <v>10</v>
      </c>
      <c r="G934" s="18" t="s">
        <v>421</v>
      </c>
    </row>
    <row r="935" spans="1:7" ht="22.5" customHeight="1">
      <c r="A935" s="4">
        <v>46000</v>
      </c>
      <c r="B935" s="210" t="s">
        <v>2409</v>
      </c>
      <c r="C935" s="14" t="s">
        <v>2410</v>
      </c>
      <c r="D935" s="7">
        <v>44800</v>
      </c>
      <c r="E935" s="8"/>
      <c r="F935" s="9" t="s">
        <v>10</v>
      </c>
      <c r="G935" s="18" t="s">
        <v>421</v>
      </c>
    </row>
    <row r="936" spans="1:7" ht="22.5" customHeight="1">
      <c r="A936" s="4">
        <v>46000</v>
      </c>
      <c r="B936" s="210" t="s">
        <v>2411</v>
      </c>
      <c r="C936" s="14" t="s">
        <v>2412</v>
      </c>
      <c r="D936" s="7">
        <v>130000</v>
      </c>
      <c r="E936" s="8"/>
      <c r="F936" s="9" t="s">
        <v>10</v>
      </c>
      <c r="G936" s="18" t="s">
        <v>421</v>
      </c>
    </row>
    <row r="937" spans="1:7" ht="21.75" customHeight="1">
      <c r="A937" s="4">
        <v>46000</v>
      </c>
      <c r="B937" s="9" t="s">
        <v>2413</v>
      </c>
      <c r="C937" s="14" t="s">
        <v>2414</v>
      </c>
      <c r="D937" s="7">
        <v>125500</v>
      </c>
      <c r="E937" s="8"/>
      <c r="F937" s="9" t="s">
        <v>10</v>
      </c>
      <c r="G937" s="18" t="s">
        <v>371</v>
      </c>
    </row>
    <row r="938" spans="1:7" ht="22.5" customHeight="1">
      <c r="A938" s="4">
        <v>46000</v>
      </c>
      <c r="B938" s="210" t="s">
        <v>2415</v>
      </c>
      <c r="C938" s="14" t="s">
        <v>2416</v>
      </c>
      <c r="D938" s="7">
        <v>151000</v>
      </c>
      <c r="E938" s="8"/>
      <c r="F938" s="9" t="s">
        <v>10</v>
      </c>
      <c r="G938" s="18" t="s">
        <v>421</v>
      </c>
    </row>
    <row r="939" spans="1:7" ht="22.5" customHeight="1">
      <c r="A939" s="4">
        <v>46000</v>
      </c>
      <c r="B939" s="197" t="s">
        <v>680</v>
      </c>
      <c r="C939" s="14" t="s">
        <v>681</v>
      </c>
      <c r="D939" s="7">
        <v>235200</v>
      </c>
      <c r="E939" s="8"/>
      <c r="F939" s="9" t="s">
        <v>10</v>
      </c>
      <c r="G939" s="18" t="s">
        <v>371</v>
      </c>
    </row>
    <row r="940" spans="1:7" ht="21" customHeight="1">
      <c r="A940" s="4">
        <v>46000</v>
      </c>
      <c r="B940" s="9" t="s">
        <v>2417</v>
      </c>
      <c r="C940" s="14" t="s">
        <v>2418</v>
      </c>
      <c r="D940" s="7">
        <v>54500</v>
      </c>
      <c r="E940" s="8"/>
      <c r="F940" s="9" t="s">
        <v>10</v>
      </c>
      <c r="G940" s="18" t="s">
        <v>421</v>
      </c>
    </row>
    <row r="941" spans="1:7" ht="22.5" customHeight="1">
      <c r="A941" s="4">
        <v>46000</v>
      </c>
      <c r="B941" s="9" t="s">
        <v>2419</v>
      </c>
      <c r="C941" s="14" t="s">
        <v>2420</v>
      </c>
      <c r="D941" s="7">
        <v>90900</v>
      </c>
      <c r="E941" s="8"/>
      <c r="F941" s="9" t="s">
        <v>10</v>
      </c>
      <c r="G941" s="18" t="s">
        <v>421</v>
      </c>
    </row>
    <row r="942" spans="1:7" ht="21.75" customHeight="1">
      <c r="A942" s="4">
        <v>46000</v>
      </c>
      <c r="B942" s="9" t="s">
        <v>2421</v>
      </c>
      <c r="C942" s="14" t="s">
        <v>2422</v>
      </c>
      <c r="D942" s="7">
        <v>171450</v>
      </c>
      <c r="E942" s="8"/>
      <c r="F942" s="9" t="s">
        <v>10</v>
      </c>
      <c r="G942" s="18" t="s">
        <v>421</v>
      </c>
    </row>
    <row r="943" spans="1:7" ht="22.5" customHeight="1">
      <c r="A943" s="4">
        <v>46000</v>
      </c>
      <c r="B943" s="197" t="s">
        <v>2423</v>
      </c>
      <c r="C943" s="14" t="s">
        <v>2424</v>
      </c>
      <c r="D943" s="7">
        <v>142100</v>
      </c>
      <c r="E943" s="8"/>
      <c r="F943" s="9" t="s">
        <v>10</v>
      </c>
      <c r="G943" s="18" t="s">
        <v>421</v>
      </c>
    </row>
    <row r="944" spans="1:7" ht="23.25" customHeight="1">
      <c r="A944" s="4">
        <v>46000</v>
      </c>
      <c r="B944" s="9" t="s">
        <v>2425</v>
      </c>
      <c r="C944" s="14" t="s">
        <v>2426</v>
      </c>
      <c r="D944" s="7">
        <v>93500</v>
      </c>
      <c r="E944" s="8"/>
      <c r="F944" s="9" t="s">
        <v>10</v>
      </c>
      <c r="G944" s="18" t="s">
        <v>371</v>
      </c>
    </row>
    <row r="945" spans="1:7" ht="22.5" customHeight="1">
      <c r="A945" s="4">
        <v>46000</v>
      </c>
      <c r="B945" s="9" t="s">
        <v>2427</v>
      </c>
      <c r="C945" s="14" t="s">
        <v>2428</v>
      </c>
      <c r="D945" s="7">
        <v>410500</v>
      </c>
      <c r="E945" s="8"/>
      <c r="F945" s="9" t="s">
        <v>10</v>
      </c>
      <c r="G945" s="18" t="s">
        <v>371</v>
      </c>
    </row>
    <row r="946" spans="1:7" ht="21.75" customHeight="1">
      <c r="A946" s="4">
        <v>46000</v>
      </c>
      <c r="B946" s="9" t="s">
        <v>1560</v>
      </c>
      <c r="C946" s="14" t="s">
        <v>2429</v>
      </c>
      <c r="D946" s="7">
        <v>130000</v>
      </c>
      <c r="E946" s="8"/>
      <c r="F946" s="9" t="s">
        <v>10</v>
      </c>
      <c r="G946" s="18" t="s">
        <v>371</v>
      </c>
    </row>
    <row r="947" spans="1:7" ht="21.75" customHeight="1">
      <c r="A947" s="4">
        <v>46000</v>
      </c>
      <c r="B947" s="9" t="s">
        <v>1823</v>
      </c>
      <c r="C947" s="14" t="s">
        <v>2430</v>
      </c>
      <c r="D947" s="7">
        <v>127700</v>
      </c>
      <c r="E947" s="8"/>
      <c r="F947" s="9" t="s">
        <v>10</v>
      </c>
      <c r="G947" s="18" t="s">
        <v>371</v>
      </c>
    </row>
    <row r="948" spans="1:7" ht="24.75" customHeight="1">
      <c r="A948" s="4">
        <v>46000</v>
      </c>
      <c r="B948" s="9" t="s">
        <v>2431</v>
      </c>
      <c r="C948" s="14" t="s">
        <v>2432</v>
      </c>
      <c r="D948" s="7">
        <v>154000</v>
      </c>
      <c r="E948" s="8"/>
      <c r="F948" s="9" t="s">
        <v>10</v>
      </c>
      <c r="G948" s="18" t="s">
        <v>421</v>
      </c>
    </row>
    <row r="949" spans="1:7" ht="25.5" customHeight="1">
      <c r="A949" s="4">
        <v>46000</v>
      </c>
      <c r="B949" s="9" t="s">
        <v>2052</v>
      </c>
      <c r="C949" s="14" t="s">
        <v>2433</v>
      </c>
      <c r="D949" s="7">
        <v>127620</v>
      </c>
      <c r="E949" s="8"/>
      <c r="F949" s="9" t="s">
        <v>10</v>
      </c>
      <c r="G949" s="18" t="s">
        <v>371</v>
      </c>
    </row>
    <row r="950" spans="1:7" ht="22.5" customHeight="1">
      <c r="A950" s="4">
        <v>46000</v>
      </c>
      <c r="B950" s="10" t="s">
        <v>1471</v>
      </c>
      <c r="C950" s="14" t="s">
        <v>2434</v>
      </c>
      <c r="D950" s="7">
        <v>106500</v>
      </c>
      <c r="E950" s="8"/>
      <c r="F950" s="9" t="s">
        <v>10</v>
      </c>
      <c r="G950" s="18" t="s">
        <v>371</v>
      </c>
    </row>
    <row r="951" spans="1:7" ht="22.5" customHeight="1">
      <c r="A951" s="4">
        <v>46001</v>
      </c>
      <c r="B951" s="232" t="s">
        <v>254</v>
      </c>
      <c r="C951" s="14" t="s">
        <v>2435</v>
      </c>
      <c r="D951" s="7">
        <v>225000</v>
      </c>
      <c r="E951" s="8"/>
      <c r="F951" s="9" t="s">
        <v>7</v>
      </c>
      <c r="G951" s="18" t="s">
        <v>371</v>
      </c>
    </row>
    <row r="952" spans="1:7" ht="22.5" customHeight="1">
      <c r="A952" s="4">
        <v>46001</v>
      </c>
      <c r="B952" s="5" t="s">
        <v>411</v>
      </c>
      <c r="C952" s="14" t="s">
        <v>2436</v>
      </c>
      <c r="D952" s="7">
        <v>105000</v>
      </c>
      <c r="E952" s="8"/>
      <c r="F952" s="9" t="s">
        <v>16</v>
      </c>
      <c r="G952" s="18" t="s">
        <v>371</v>
      </c>
    </row>
    <row r="953" spans="1:7" ht="22.5" customHeight="1">
      <c r="A953" s="4">
        <v>46001</v>
      </c>
      <c r="B953" s="210" t="s">
        <v>2437</v>
      </c>
      <c r="C953" s="14" t="s">
        <v>2438</v>
      </c>
      <c r="D953" s="7">
        <v>95500</v>
      </c>
      <c r="E953" s="8"/>
      <c r="F953" s="9" t="s">
        <v>7</v>
      </c>
      <c r="G953" s="18" t="s">
        <v>371</v>
      </c>
    </row>
    <row r="954" spans="1:7" ht="21" customHeight="1">
      <c r="A954" s="4">
        <v>46001</v>
      </c>
      <c r="B954" s="9" t="s">
        <v>2439</v>
      </c>
      <c r="C954" s="14" t="s">
        <v>2440</v>
      </c>
      <c r="D954" s="7">
        <v>141300</v>
      </c>
      <c r="E954" s="8"/>
      <c r="F954" s="9" t="s">
        <v>10</v>
      </c>
      <c r="G954" s="18" t="s">
        <v>371</v>
      </c>
    </row>
    <row r="955" spans="1:7" ht="24" customHeight="1">
      <c r="A955" s="4">
        <v>46001</v>
      </c>
      <c r="B955" s="5" t="s">
        <v>136</v>
      </c>
      <c r="C955" s="14" t="s">
        <v>2441</v>
      </c>
      <c r="D955" s="7">
        <v>144000</v>
      </c>
      <c r="E955" s="8"/>
      <c r="F955" s="9" t="s">
        <v>7</v>
      </c>
      <c r="G955" s="18" t="s">
        <v>371</v>
      </c>
    </row>
    <row r="956" spans="1:7" ht="22.5" customHeight="1">
      <c r="A956" s="4">
        <v>46001</v>
      </c>
      <c r="B956" s="10" t="s">
        <v>2442</v>
      </c>
      <c r="C956" s="14" t="s">
        <v>2443</v>
      </c>
      <c r="D956" s="7">
        <v>57500</v>
      </c>
      <c r="E956" s="8"/>
      <c r="F956" s="9" t="s">
        <v>7</v>
      </c>
      <c r="G956" s="18" t="s">
        <v>371</v>
      </c>
    </row>
    <row r="957" spans="1:7" ht="21" customHeight="1">
      <c r="A957" s="4">
        <v>46001</v>
      </c>
      <c r="B957" s="5" t="s">
        <v>2444</v>
      </c>
      <c r="C957" s="14" t="s">
        <v>2445</v>
      </c>
      <c r="D957" s="7">
        <v>212600</v>
      </c>
      <c r="E957" s="8"/>
      <c r="F957" s="9" t="s">
        <v>10</v>
      </c>
      <c r="G957" s="18" t="s">
        <v>983</v>
      </c>
    </row>
    <row r="958" spans="1:7" ht="22.5" customHeight="1">
      <c r="A958" s="4">
        <v>46001</v>
      </c>
      <c r="B958" s="5" t="s">
        <v>1171</v>
      </c>
      <c r="C958" s="14" t="s">
        <v>2446</v>
      </c>
      <c r="D958" s="7">
        <v>189600</v>
      </c>
      <c r="E958" s="8"/>
      <c r="F958" s="9" t="s">
        <v>7</v>
      </c>
      <c r="G958" s="18" t="s">
        <v>371</v>
      </c>
    </row>
    <row r="959" spans="1:7" ht="22.5" customHeight="1">
      <c r="A959" s="4">
        <v>46001</v>
      </c>
      <c r="B959" s="5" t="s">
        <v>1473</v>
      </c>
      <c r="C959" s="14" t="s">
        <v>2447</v>
      </c>
      <c r="D959" s="7">
        <v>105000</v>
      </c>
      <c r="E959" s="8"/>
      <c r="F959" s="9" t="s">
        <v>16</v>
      </c>
      <c r="G959" s="18" t="s">
        <v>371</v>
      </c>
    </row>
    <row r="960" spans="1:7" ht="22.5" customHeight="1">
      <c r="A960" s="4">
        <v>46001</v>
      </c>
      <c r="B960" s="197" t="s">
        <v>2448</v>
      </c>
      <c r="C960" s="14" t="s">
        <v>723</v>
      </c>
      <c r="D960" s="7">
        <v>68000</v>
      </c>
      <c r="E960" s="8"/>
      <c r="F960" s="9" t="s">
        <v>10</v>
      </c>
      <c r="G960" s="18" t="s">
        <v>371</v>
      </c>
    </row>
    <row r="961" spans="1:7" ht="22.5" customHeight="1">
      <c r="A961" s="4">
        <v>46001</v>
      </c>
      <c r="B961" s="210" t="s">
        <v>2449</v>
      </c>
      <c r="C961" s="14" t="s">
        <v>2450</v>
      </c>
      <c r="D961" s="7">
        <v>117540</v>
      </c>
      <c r="E961" s="8"/>
      <c r="F961" s="9" t="s">
        <v>10</v>
      </c>
      <c r="G961" s="18" t="s">
        <v>421</v>
      </c>
    </row>
    <row r="962" spans="1:7" ht="22.5" customHeight="1">
      <c r="A962" s="4">
        <v>46001</v>
      </c>
      <c r="B962" s="197" t="s">
        <v>2451</v>
      </c>
      <c r="C962" s="14" t="s">
        <v>2452</v>
      </c>
      <c r="D962" s="7">
        <v>156100</v>
      </c>
      <c r="E962" s="8"/>
      <c r="F962" s="9" t="s">
        <v>10</v>
      </c>
      <c r="G962" s="18" t="s">
        <v>371</v>
      </c>
    </row>
    <row r="963" spans="1:7" ht="19.5" customHeight="1">
      <c r="A963" s="4">
        <v>46001</v>
      </c>
      <c r="B963" s="9" t="s">
        <v>2453</v>
      </c>
      <c r="C963" s="14" t="s">
        <v>2454</v>
      </c>
      <c r="D963" s="7">
        <v>56000</v>
      </c>
      <c r="E963" s="8"/>
      <c r="F963" s="9" t="s">
        <v>10</v>
      </c>
      <c r="G963" s="18" t="s">
        <v>421</v>
      </c>
    </row>
    <row r="964" spans="1:7" ht="22.5" customHeight="1">
      <c r="A964" s="4">
        <v>46001</v>
      </c>
      <c r="B964" s="197" t="s">
        <v>2455</v>
      </c>
      <c r="C964" s="14" t="s">
        <v>2456</v>
      </c>
      <c r="D964" s="7">
        <v>112950</v>
      </c>
      <c r="E964" s="8"/>
      <c r="F964" s="9" t="s">
        <v>10</v>
      </c>
      <c r="G964" s="18" t="s">
        <v>371</v>
      </c>
    </row>
    <row r="965" spans="1:7" ht="22.5" customHeight="1">
      <c r="A965" s="4">
        <v>46001</v>
      </c>
      <c r="B965" s="210" t="s">
        <v>2112</v>
      </c>
      <c r="C965" s="14" t="s">
        <v>2457</v>
      </c>
      <c r="D965" s="7">
        <v>288010</v>
      </c>
      <c r="E965" s="8"/>
      <c r="F965" s="9" t="s">
        <v>10</v>
      </c>
      <c r="G965" s="18" t="s">
        <v>371</v>
      </c>
    </row>
    <row r="966" spans="1:7" ht="21.75" customHeight="1">
      <c r="A966" s="4">
        <v>46001</v>
      </c>
      <c r="B966" s="9" t="s">
        <v>2458</v>
      </c>
      <c r="C966" s="14" t="s">
        <v>2459</v>
      </c>
      <c r="D966" s="7">
        <v>113625</v>
      </c>
      <c r="E966" s="8"/>
      <c r="F966" s="9" t="s">
        <v>10</v>
      </c>
      <c r="G966" s="18" t="s">
        <v>371</v>
      </c>
    </row>
    <row r="967" spans="1:7" ht="22.5" customHeight="1">
      <c r="A967" s="4">
        <v>46001</v>
      </c>
      <c r="B967" s="197" t="s">
        <v>2460</v>
      </c>
      <c r="C967" s="14" t="s">
        <v>2461</v>
      </c>
      <c r="D967" s="7">
        <v>160650</v>
      </c>
      <c r="E967" s="8"/>
      <c r="F967" s="9" t="s">
        <v>10</v>
      </c>
      <c r="G967" s="18" t="s">
        <v>371</v>
      </c>
    </row>
    <row r="968" spans="1:7" ht="21.75" customHeight="1">
      <c r="A968" s="4">
        <v>46001</v>
      </c>
      <c r="B968" s="9" t="s">
        <v>2462</v>
      </c>
      <c r="C968" s="14" t="s">
        <v>2463</v>
      </c>
      <c r="D968" s="7">
        <v>177480</v>
      </c>
      <c r="E968" s="8"/>
      <c r="F968" s="9" t="s">
        <v>10</v>
      </c>
      <c r="G968" s="18" t="s">
        <v>371</v>
      </c>
    </row>
    <row r="969" spans="1:7" ht="22.5" customHeight="1">
      <c r="A969" s="4">
        <v>46001</v>
      </c>
      <c r="B969" s="210" t="s">
        <v>2437</v>
      </c>
      <c r="C969" s="14" t="s">
        <v>2464</v>
      </c>
      <c r="D969" s="7">
        <v>179780</v>
      </c>
      <c r="E969" s="8"/>
      <c r="F969" s="9" t="s">
        <v>10</v>
      </c>
      <c r="G969" s="18" t="s">
        <v>371</v>
      </c>
    </row>
    <row r="970" spans="1:7" ht="22.5" customHeight="1">
      <c r="A970" s="4">
        <v>46001</v>
      </c>
      <c r="B970" s="210" t="s">
        <v>2465</v>
      </c>
      <c r="C970" s="14" t="s">
        <v>2466</v>
      </c>
      <c r="D970" s="7">
        <v>143700</v>
      </c>
      <c r="E970" s="8"/>
      <c r="F970" s="9" t="s">
        <v>10</v>
      </c>
      <c r="G970" s="18" t="s">
        <v>371</v>
      </c>
    </row>
    <row r="971" spans="1:7" ht="22.5" customHeight="1">
      <c r="A971" s="4">
        <v>46001</v>
      </c>
      <c r="B971" s="210" t="s">
        <v>2467</v>
      </c>
      <c r="C971" s="14" t="s">
        <v>2468</v>
      </c>
      <c r="D971" s="7">
        <v>123000</v>
      </c>
      <c r="E971" s="8"/>
      <c r="F971" s="9" t="s">
        <v>10</v>
      </c>
      <c r="G971" s="18" t="s">
        <v>371</v>
      </c>
    </row>
    <row r="972" spans="1:7" ht="20.25" customHeight="1">
      <c r="A972" s="4">
        <v>46001</v>
      </c>
      <c r="B972" s="9" t="s">
        <v>2232</v>
      </c>
      <c r="C972" s="14" t="s">
        <v>2469</v>
      </c>
      <c r="D972" s="7">
        <v>56000</v>
      </c>
      <c r="E972" s="8"/>
      <c r="F972" s="9" t="s">
        <v>10</v>
      </c>
      <c r="G972" s="18" t="s">
        <v>371</v>
      </c>
    </row>
    <row r="973" spans="1:7" ht="21.75" customHeight="1">
      <c r="A973" s="4">
        <v>46001</v>
      </c>
      <c r="B973" s="9" t="s">
        <v>2470</v>
      </c>
      <c r="C973" s="14" t="s">
        <v>2471</v>
      </c>
      <c r="D973" s="7">
        <v>385200</v>
      </c>
      <c r="E973" s="8"/>
      <c r="F973" s="9" t="s">
        <v>10</v>
      </c>
      <c r="G973" s="18" t="s">
        <v>371</v>
      </c>
    </row>
    <row r="974" spans="1:7" ht="21.75" customHeight="1">
      <c r="A974" s="4">
        <v>46001</v>
      </c>
      <c r="B974" s="9" t="s">
        <v>2472</v>
      </c>
      <c r="C974" s="14" t="s">
        <v>2473</v>
      </c>
      <c r="D974" s="7">
        <v>146100</v>
      </c>
      <c r="E974" s="8"/>
      <c r="F974" s="9" t="s">
        <v>10</v>
      </c>
      <c r="G974" s="18" t="s">
        <v>371</v>
      </c>
    </row>
    <row r="975" spans="1:7" ht="20.25" customHeight="1">
      <c r="A975" s="4">
        <v>46001</v>
      </c>
      <c r="B975" s="9" t="s">
        <v>2474</v>
      </c>
      <c r="C975" s="14" t="s">
        <v>2475</v>
      </c>
      <c r="D975" s="7">
        <v>260400</v>
      </c>
      <c r="E975" s="8"/>
      <c r="F975" s="9" t="s">
        <v>10</v>
      </c>
      <c r="G975" s="18" t="s">
        <v>421</v>
      </c>
    </row>
    <row r="976" spans="1:7" ht="22.5" customHeight="1">
      <c r="A976" s="4">
        <v>46001</v>
      </c>
      <c r="B976" s="197" t="s">
        <v>1757</v>
      </c>
      <c r="C976" s="14" t="s">
        <v>2476</v>
      </c>
      <c r="D976" s="7">
        <v>111500</v>
      </c>
      <c r="E976" s="8"/>
      <c r="F976" s="9" t="s">
        <v>10</v>
      </c>
      <c r="G976" s="18" t="s">
        <v>371</v>
      </c>
    </row>
    <row r="977" spans="1:7" ht="22.5" customHeight="1">
      <c r="A977" s="4">
        <v>46002</v>
      </c>
      <c r="B977" s="9" t="s">
        <v>2477</v>
      </c>
      <c r="C977" s="14" t="s">
        <v>2478</v>
      </c>
      <c r="D977" s="7">
        <v>252300</v>
      </c>
      <c r="E977" s="8"/>
      <c r="F977" s="9" t="s">
        <v>21</v>
      </c>
      <c r="G977" s="18" t="s">
        <v>371</v>
      </c>
    </row>
    <row r="978" spans="1:7" ht="22.5" customHeight="1">
      <c r="A978" s="4">
        <v>46002</v>
      </c>
      <c r="B978" s="10" t="s">
        <v>2479</v>
      </c>
      <c r="C978" s="14" t="s">
        <v>2480</v>
      </c>
      <c r="D978" s="7">
        <v>107300</v>
      </c>
      <c r="E978" s="8"/>
      <c r="F978" s="9" t="s">
        <v>10</v>
      </c>
      <c r="G978" s="18" t="s">
        <v>371</v>
      </c>
    </row>
    <row r="979" spans="1:7" ht="22.5" customHeight="1">
      <c r="A979" s="4">
        <v>46002</v>
      </c>
      <c r="B979" s="9" t="s">
        <v>2481</v>
      </c>
      <c r="C979" s="14" t="s">
        <v>2482</v>
      </c>
      <c r="D979" s="7">
        <v>114300</v>
      </c>
      <c r="E979" s="8"/>
      <c r="F979" s="9" t="s">
        <v>10</v>
      </c>
      <c r="G979" s="18" t="s">
        <v>983</v>
      </c>
    </row>
    <row r="980" spans="1:7" ht="22.5" customHeight="1">
      <c r="A980" s="4">
        <v>46002</v>
      </c>
      <c r="B980" s="9" t="s">
        <v>2483</v>
      </c>
      <c r="C980" s="14" t="s">
        <v>2484</v>
      </c>
      <c r="D980" s="7">
        <v>739000</v>
      </c>
      <c r="E980" s="8"/>
      <c r="F980" s="9" t="s">
        <v>7</v>
      </c>
      <c r="G980" s="18" t="s">
        <v>371</v>
      </c>
    </row>
    <row r="981" spans="1:7" ht="24" customHeight="1">
      <c r="A981" s="4">
        <v>46002</v>
      </c>
      <c r="B981" s="9" t="s">
        <v>2485</v>
      </c>
      <c r="C981" s="14" t="s">
        <v>2486</v>
      </c>
      <c r="D981" s="7">
        <v>71500</v>
      </c>
      <c r="E981" s="8"/>
      <c r="F981" s="9" t="s">
        <v>7</v>
      </c>
      <c r="G981" s="18" t="s">
        <v>983</v>
      </c>
    </row>
    <row r="982" spans="1:7" ht="19.5" customHeight="1">
      <c r="A982" s="4">
        <v>46002</v>
      </c>
      <c r="B982" s="9" t="s">
        <v>2487</v>
      </c>
      <c r="C982" s="14" t="s">
        <v>2488</v>
      </c>
      <c r="D982" s="7">
        <v>130000</v>
      </c>
      <c r="E982" s="8"/>
      <c r="F982" s="9" t="s">
        <v>10</v>
      </c>
      <c r="G982" s="18" t="s">
        <v>421</v>
      </c>
    </row>
    <row r="983" spans="1:7" ht="19.5" customHeight="1">
      <c r="A983" s="4">
        <v>46002</v>
      </c>
      <c r="B983" s="133" t="s">
        <v>2489</v>
      </c>
      <c r="C983" s="14" t="s">
        <v>2490</v>
      </c>
      <c r="D983" s="7">
        <v>130000</v>
      </c>
      <c r="E983" s="8"/>
      <c r="F983" s="9" t="s">
        <v>10</v>
      </c>
      <c r="G983" s="18" t="s">
        <v>371</v>
      </c>
    </row>
    <row r="984" spans="1:7" ht="22.5" customHeight="1">
      <c r="A984" s="4">
        <v>46002</v>
      </c>
      <c r="B984" s="197" t="s">
        <v>1838</v>
      </c>
      <c r="C984" s="14" t="s">
        <v>2491</v>
      </c>
      <c r="D984" s="7">
        <v>62000</v>
      </c>
      <c r="E984" s="8"/>
      <c r="F984" s="9" t="s">
        <v>10</v>
      </c>
      <c r="G984" s="18" t="s">
        <v>371</v>
      </c>
    </row>
    <row r="985" spans="1:7" ht="22.5" customHeight="1">
      <c r="A985" s="4">
        <v>46003</v>
      </c>
      <c r="B985" s="5" t="s">
        <v>12</v>
      </c>
      <c r="C985" s="14" t="s">
        <v>2492</v>
      </c>
      <c r="D985" s="7">
        <v>267200</v>
      </c>
      <c r="E985" s="8"/>
      <c r="F985" s="9" t="s">
        <v>10</v>
      </c>
      <c r="G985" s="18" t="s">
        <v>371</v>
      </c>
    </row>
    <row r="986" spans="1:7" ht="22.5" customHeight="1">
      <c r="A986" s="4">
        <v>46003</v>
      </c>
      <c r="B986" s="5" t="s">
        <v>918</v>
      </c>
      <c r="C986" s="14" t="s">
        <v>2493</v>
      </c>
      <c r="D986" s="7">
        <v>164500</v>
      </c>
      <c r="E986" s="8"/>
      <c r="F986" s="9" t="s">
        <v>16</v>
      </c>
      <c r="G986" s="18" t="s">
        <v>371</v>
      </c>
    </row>
    <row r="987" spans="1:7" ht="22.5" customHeight="1">
      <c r="A987" s="4">
        <v>46003</v>
      </c>
      <c r="B987" s="10" t="s">
        <v>512</v>
      </c>
      <c r="C987" s="14" t="s">
        <v>2494</v>
      </c>
      <c r="D987" s="7">
        <v>73600</v>
      </c>
      <c r="E987" s="8"/>
      <c r="F987" s="9" t="s">
        <v>7</v>
      </c>
      <c r="G987" s="18" t="s">
        <v>371</v>
      </c>
    </row>
    <row r="988" spans="1:7" ht="21.75" customHeight="1">
      <c r="A988" s="4">
        <v>46003</v>
      </c>
      <c r="B988" s="9" t="s">
        <v>2495</v>
      </c>
      <c r="C988" s="14" t="s">
        <v>2496</v>
      </c>
      <c r="D988" s="7">
        <v>84400</v>
      </c>
      <c r="E988" s="8"/>
      <c r="F988" s="9" t="s">
        <v>10</v>
      </c>
      <c r="G988" s="18" t="s">
        <v>421</v>
      </c>
    </row>
    <row r="989" spans="1:7" ht="22.5" customHeight="1">
      <c r="A989" s="4">
        <v>46003</v>
      </c>
      <c r="B989" s="10" t="s">
        <v>127</v>
      </c>
      <c r="C989" s="14" t="s">
        <v>2497</v>
      </c>
      <c r="D989" s="7">
        <v>369000</v>
      </c>
      <c r="E989" s="8"/>
      <c r="F989" s="9" t="s">
        <v>7</v>
      </c>
      <c r="G989" s="18" t="s">
        <v>371</v>
      </c>
    </row>
    <row r="990" spans="1:7" ht="22.5" customHeight="1">
      <c r="A990" s="4">
        <v>46003</v>
      </c>
      <c r="B990" s="233" t="s">
        <v>2498</v>
      </c>
      <c r="C990" s="14" t="s">
        <v>2499</v>
      </c>
      <c r="D990" s="7">
        <v>70950</v>
      </c>
      <c r="E990" s="8"/>
      <c r="F990" s="9" t="s">
        <v>10</v>
      </c>
      <c r="G990" s="18" t="s">
        <v>421</v>
      </c>
    </row>
    <row r="991" spans="1:7" ht="22.5" customHeight="1">
      <c r="A991" s="4">
        <v>46004</v>
      </c>
      <c r="B991" s="5" t="s">
        <v>1942</v>
      </c>
      <c r="C991" s="14" t="s">
        <v>2500</v>
      </c>
      <c r="D991" s="7">
        <v>121800</v>
      </c>
      <c r="E991" s="8"/>
      <c r="F991" s="9" t="s">
        <v>7</v>
      </c>
      <c r="G991" s="18" t="s">
        <v>371</v>
      </c>
    </row>
    <row r="992" spans="1:7" ht="21.75" customHeight="1">
      <c r="A992" s="4">
        <v>46004</v>
      </c>
      <c r="B992" s="5" t="s">
        <v>1202</v>
      </c>
      <c r="C992" s="14" t="s">
        <v>2501</v>
      </c>
      <c r="D992" s="7">
        <v>206800</v>
      </c>
      <c r="E992" s="8"/>
      <c r="F992" s="9" t="s">
        <v>7</v>
      </c>
      <c r="G992" s="18" t="s">
        <v>371</v>
      </c>
    </row>
    <row r="993" spans="1:7" ht="22.5" customHeight="1">
      <c r="A993" s="4">
        <v>46004</v>
      </c>
      <c r="B993" s="169" t="s">
        <v>2502</v>
      </c>
      <c r="C993" s="14" t="s">
        <v>2503</v>
      </c>
      <c r="D993" s="7">
        <v>116100</v>
      </c>
      <c r="E993" s="8"/>
      <c r="F993" s="9" t="s">
        <v>10</v>
      </c>
      <c r="G993" s="18" t="s">
        <v>371</v>
      </c>
    </row>
    <row r="994" spans="1:7" ht="22.5" customHeight="1">
      <c r="A994" s="4">
        <v>46004</v>
      </c>
      <c r="B994" s="233" t="s">
        <v>1599</v>
      </c>
      <c r="C994" s="14" t="s">
        <v>2504</v>
      </c>
      <c r="D994" s="7">
        <v>142800</v>
      </c>
      <c r="E994" s="8"/>
      <c r="F994" s="9" t="s">
        <v>10</v>
      </c>
      <c r="G994" s="18" t="s">
        <v>371</v>
      </c>
    </row>
    <row r="995" spans="1:7" ht="23.25" customHeight="1">
      <c r="A995" s="4">
        <v>46004</v>
      </c>
      <c r="B995" s="9" t="s">
        <v>2505</v>
      </c>
      <c r="C995" s="14" t="s">
        <v>2506</v>
      </c>
      <c r="D995" s="7">
        <v>206000</v>
      </c>
      <c r="E995" s="8"/>
      <c r="F995" s="9" t="s">
        <v>10</v>
      </c>
      <c r="G995" s="18" t="s">
        <v>371</v>
      </c>
    </row>
    <row r="996" spans="1:7" ht="22.5" customHeight="1">
      <c r="A996" s="4">
        <v>46004</v>
      </c>
      <c r="B996" s="233" t="s">
        <v>2507</v>
      </c>
      <c r="C996" s="14" t="s">
        <v>2508</v>
      </c>
      <c r="D996" s="7">
        <v>143300</v>
      </c>
      <c r="E996" s="8"/>
      <c r="F996" s="9" t="s">
        <v>10</v>
      </c>
      <c r="G996" s="18" t="s">
        <v>371</v>
      </c>
    </row>
    <row r="997" spans="1:7" ht="20.25" customHeight="1">
      <c r="A997" s="4">
        <v>46004</v>
      </c>
      <c r="B997" s="9" t="s">
        <v>731</v>
      </c>
      <c r="C997" s="14" t="s">
        <v>2509</v>
      </c>
      <c r="D997" s="7">
        <v>144200</v>
      </c>
      <c r="E997" s="8"/>
      <c r="F997" s="9" t="s">
        <v>10</v>
      </c>
      <c r="G997" s="18" t="s">
        <v>421</v>
      </c>
    </row>
    <row r="998" spans="1:7" ht="22.5" customHeight="1">
      <c r="A998" s="4">
        <v>46006</v>
      </c>
      <c r="B998" s="233" t="s">
        <v>2510</v>
      </c>
      <c r="C998" s="14" t="s">
        <v>2511</v>
      </c>
      <c r="D998" s="7">
        <v>71500</v>
      </c>
      <c r="E998" s="8"/>
      <c r="F998" s="9" t="s">
        <v>10</v>
      </c>
      <c r="G998" s="18" t="s">
        <v>371</v>
      </c>
    </row>
    <row r="999" spans="1:7" ht="22.5" customHeight="1">
      <c r="A999" s="4">
        <v>46006</v>
      </c>
      <c r="B999" s="9" t="s">
        <v>1985</v>
      </c>
      <c r="C999" s="14" t="s">
        <v>2512</v>
      </c>
      <c r="D999" s="7">
        <v>173800</v>
      </c>
      <c r="E999" s="8"/>
      <c r="F999" s="9" t="s">
        <v>10</v>
      </c>
      <c r="G999" s="18" t="s">
        <v>371</v>
      </c>
    </row>
    <row r="1000" spans="1:7" ht="22.5" customHeight="1">
      <c r="A1000" s="4">
        <v>46006</v>
      </c>
      <c r="B1000" s="9" t="s">
        <v>2513</v>
      </c>
      <c r="C1000" s="14" t="s">
        <v>2514</v>
      </c>
      <c r="D1000" s="7">
        <v>373300</v>
      </c>
      <c r="E1000" s="8"/>
      <c r="F1000" s="9" t="s">
        <v>10</v>
      </c>
      <c r="G1000" s="18" t="s">
        <v>371</v>
      </c>
    </row>
    <row r="1001" spans="1:7" ht="22.5" customHeight="1">
      <c r="A1001" s="4">
        <v>46006</v>
      </c>
      <c r="B1001" s="234" t="s">
        <v>2515</v>
      </c>
      <c r="C1001" s="14" t="s">
        <v>2516</v>
      </c>
      <c r="D1001" s="7">
        <v>130000</v>
      </c>
      <c r="E1001" s="8"/>
      <c r="F1001" s="9" t="s">
        <v>10</v>
      </c>
      <c r="G1001" s="18" t="s">
        <v>421</v>
      </c>
    </row>
    <row r="1002" spans="1:7" ht="24.75" customHeight="1">
      <c r="A1002" s="4">
        <v>46006</v>
      </c>
      <c r="B1002" s="9" t="s">
        <v>2517</v>
      </c>
      <c r="C1002" s="14" t="s">
        <v>2518</v>
      </c>
      <c r="D1002" s="7">
        <v>124500</v>
      </c>
      <c r="E1002" s="8"/>
      <c r="F1002" s="9" t="s">
        <v>10</v>
      </c>
      <c r="G1002" s="18" t="s">
        <v>421</v>
      </c>
    </row>
    <row r="1003" spans="1:7" ht="19.5" customHeight="1">
      <c r="A1003" s="4">
        <v>46006</v>
      </c>
      <c r="B1003" s="9" t="s">
        <v>686</v>
      </c>
      <c r="C1003" s="14" t="s">
        <v>752</v>
      </c>
      <c r="D1003" s="7">
        <v>382000</v>
      </c>
      <c r="E1003" s="8"/>
      <c r="F1003" s="9" t="s">
        <v>10</v>
      </c>
      <c r="G1003" s="18" t="s">
        <v>371</v>
      </c>
    </row>
    <row r="1004" spans="1:7" ht="23.25" customHeight="1">
      <c r="A1004" s="4">
        <v>46006</v>
      </c>
      <c r="B1004" s="9" t="s">
        <v>684</v>
      </c>
      <c r="C1004" s="14" t="s">
        <v>2519</v>
      </c>
      <c r="D1004" s="7">
        <v>225760</v>
      </c>
      <c r="E1004" s="8"/>
      <c r="F1004" s="9" t="s">
        <v>10</v>
      </c>
      <c r="G1004" s="18" t="s">
        <v>421</v>
      </c>
    </row>
    <row r="1005" spans="1:7" ht="21.75" customHeight="1">
      <c r="A1005" s="4">
        <v>46006</v>
      </c>
      <c r="B1005" s="9" t="s">
        <v>2520</v>
      </c>
      <c r="C1005" s="14" t="s">
        <v>2521</v>
      </c>
      <c r="D1005" s="7">
        <v>161300</v>
      </c>
      <c r="E1005" s="8"/>
      <c r="F1005" s="9" t="s">
        <v>10</v>
      </c>
      <c r="G1005" s="18" t="s">
        <v>371</v>
      </c>
    </row>
    <row r="1006" spans="1:7" ht="22.5" customHeight="1">
      <c r="A1006" s="4">
        <v>46006</v>
      </c>
      <c r="B1006" s="9" t="s">
        <v>2522</v>
      </c>
      <c r="C1006" s="14" t="s">
        <v>2523</v>
      </c>
      <c r="D1006" s="7">
        <v>222200</v>
      </c>
      <c r="E1006" s="8"/>
      <c r="F1006" s="9" t="s">
        <v>10</v>
      </c>
      <c r="G1006" s="18" t="s">
        <v>421</v>
      </c>
    </row>
    <row r="1007" spans="1:7" ht="21" customHeight="1">
      <c r="A1007" s="4">
        <v>46006</v>
      </c>
      <c r="B1007" s="9" t="s">
        <v>2524</v>
      </c>
      <c r="C1007" s="14" t="s">
        <v>2525</v>
      </c>
      <c r="D1007" s="7">
        <v>117500</v>
      </c>
      <c r="E1007" s="8"/>
      <c r="F1007" s="9" t="s">
        <v>10</v>
      </c>
      <c r="G1007" s="18" t="s">
        <v>371</v>
      </c>
    </row>
    <row r="1008" spans="1:7" ht="22.5" customHeight="1">
      <c r="A1008" s="4">
        <v>46006</v>
      </c>
      <c r="B1008" s="234" t="s">
        <v>1838</v>
      </c>
      <c r="C1008" s="14" t="s">
        <v>2526</v>
      </c>
      <c r="D1008" s="7">
        <v>62600</v>
      </c>
      <c r="E1008" s="8"/>
      <c r="F1008" s="9" t="s">
        <v>10</v>
      </c>
      <c r="G1008" s="18" t="s">
        <v>371</v>
      </c>
    </row>
    <row r="1009" spans="1:7" ht="22.5" customHeight="1">
      <c r="A1009" s="4">
        <v>46006</v>
      </c>
      <c r="B1009" s="10" t="s">
        <v>71</v>
      </c>
      <c r="C1009" s="14" t="s">
        <v>2527</v>
      </c>
      <c r="D1009" s="7">
        <v>876380</v>
      </c>
      <c r="E1009" s="8"/>
      <c r="F1009" s="9" t="s">
        <v>72</v>
      </c>
      <c r="G1009" s="18" t="s">
        <v>371</v>
      </c>
    </row>
    <row r="1010" spans="1:7" ht="22.5" customHeight="1">
      <c r="A1010" s="4">
        <v>46007</v>
      </c>
      <c r="B1010" s="5" t="s">
        <v>35</v>
      </c>
      <c r="C1010" s="14" t="s">
        <v>688</v>
      </c>
      <c r="D1010" s="7">
        <v>202750</v>
      </c>
      <c r="E1010" s="8"/>
      <c r="F1010" s="9" t="s">
        <v>7</v>
      </c>
      <c r="G1010" s="18" t="s">
        <v>371</v>
      </c>
    </row>
    <row r="1011" spans="1:7" ht="22.5" customHeight="1">
      <c r="A1011" s="4">
        <v>46007</v>
      </c>
      <c r="B1011" s="5" t="s">
        <v>12</v>
      </c>
      <c r="C1011" s="14" t="s">
        <v>2528</v>
      </c>
      <c r="D1011" s="7">
        <v>292098</v>
      </c>
      <c r="E1011" s="8"/>
      <c r="F1011" s="9" t="s">
        <v>10</v>
      </c>
      <c r="G1011" s="18" t="s">
        <v>371</v>
      </c>
    </row>
    <row r="1012" spans="1:7" ht="22.5" customHeight="1">
      <c r="A1012" s="4">
        <v>46007</v>
      </c>
      <c r="B1012" s="168" t="s">
        <v>689</v>
      </c>
      <c r="C1012" s="14" t="s">
        <v>690</v>
      </c>
      <c r="D1012" s="7">
        <v>400250</v>
      </c>
      <c r="E1012" s="8"/>
      <c r="F1012" s="9" t="s">
        <v>10</v>
      </c>
      <c r="G1012" s="18" t="s">
        <v>371</v>
      </c>
    </row>
    <row r="1013" spans="1:7" ht="22.5" customHeight="1">
      <c r="A1013" s="4">
        <v>46007</v>
      </c>
      <c r="B1013" s="10" t="s">
        <v>166</v>
      </c>
      <c r="C1013" s="14" t="s">
        <v>2529</v>
      </c>
      <c r="D1013" s="7">
        <v>202300</v>
      </c>
      <c r="E1013" s="8"/>
      <c r="F1013" s="9" t="s">
        <v>10</v>
      </c>
      <c r="G1013" s="18" t="s">
        <v>371</v>
      </c>
    </row>
    <row r="1014" spans="1:7" ht="22.5" customHeight="1">
      <c r="A1014" s="4">
        <v>46007</v>
      </c>
      <c r="B1014" s="9" t="s">
        <v>2530</v>
      </c>
      <c r="C1014" s="14" t="s">
        <v>2531</v>
      </c>
      <c r="D1014" s="7">
        <v>101000</v>
      </c>
      <c r="E1014" s="8"/>
      <c r="F1014" s="9" t="s">
        <v>7</v>
      </c>
      <c r="G1014" s="18" t="s">
        <v>942</v>
      </c>
    </row>
    <row r="1015" spans="1:7" ht="22.5" customHeight="1">
      <c r="A1015" s="4">
        <v>46007</v>
      </c>
      <c r="B1015" s="10" t="s">
        <v>2532</v>
      </c>
      <c r="C1015" s="14" t="s">
        <v>2533</v>
      </c>
      <c r="D1015" s="7">
        <v>64300</v>
      </c>
      <c r="E1015" s="8"/>
      <c r="F1015" s="9" t="s">
        <v>10</v>
      </c>
      <c r="G1015" s="18" t="s">
        <v>371</v>
      </c>
    </row>
    <row r="1016" spans="1:7" ht="22.5" customHeight="1">
      <c r="A1016" s="4">
        <v>46007</v>
      </c>
      <c r="B1016" s="10" t="s">
        <v>88</v>
      </c>
      <c r="C1016" s="14" t="s">
        <v>2534</v>
      </c>
      <c r="D1016" s="7">
        <v>108700</v>
      </c>
      <c r="E1016" s="8"/>
      <c r="F1016" s="9" t="s">
        <v>7</v>
      </c>
      <c r="G1016" s="18" t="s">
        <v>371</v>
      </c>
    </row>
    <row r="1017" spans="1:7" ht="22.5" customHeight="1">
      <c r="A1017" s="4">
        <v>46007</v>
      </c>
      <c r="B1017" s="168" t="s">
        <v>2535</v>
      </c>
      <c r="C1017" s="14" t="s">
        <v>2536</v>
      </c>
      <c r="D1017" s="7">
        <v>233500</v>
      </c>
      <c r="E1017" s="8"/>
      <c r="F1017" s="9" t="s">
        <v>10</v>
      </c>
      <c r="G1017" s="18" t="s">
        <v>421</v>
      </c>
    </row>
    <row r="1018" spans="1:7" ht="22.5" customHeight="1">
      <c r="A1018" s="4">
        <v>46007</v>
      </c>
      <c r="B1018" s="169" t="s">
        <v>2537</v>
      </c>
      <c r="C1018" s="14" t="s">
        <v>2538</v>
      </c>
      <c r="D1018" s="7">
        <v>264000</v>
      </c>
      <c r="E1018" s="8"/>
      <c r="F1018" s="9" t="s">
        <v>10</v>
      </c>
      <c r="G1018" s="18" t="s">
        <v>371</v>
      </c>
    </row>
    <row r="1019" spans="1:7" ht="22.5" customHeight="1">
      <c r="A1019" s="4">
        <v>46007</v>
      </c>
      <c r="B1019" s="233" t="s">
        <v>2539</v>
      </c>
      <c r="C1019" s="14" t="s">
        <v>2540</v>
      </c>
      <c r="D1019" s="7">
        <v>84000</v>
      </c>
      <c r="E1019" s="8"/>
      <c r="F1019" s="9" t="s">
        <v>10</v>
      </c>
      <c r="G1019" s="18" t="s">
        <v>421</v>
      </c>
    </row>
    <row r="1020" spans="1:7" ht="19.5" customHeight="1">
      <c r="A1020" s="4">
        <v>46007</v>
      </c>
      <c r="B1020" s="9" t="s">
        <v>2541</v>
      </c>
      <c r="C1020" s="14" t="s">
        <v>2542</v>
      </c>
      <c r="D1020" s="7">
        <v>104000</v>
      </c>
      <c r="E1020" s="8"/>
      <c r="F1020" s="9" t="s">
        <v>10</v>
      </c>
      <c r="G1020" s="18" t="s">
        <v>421</v>
      </c>
    </row>
    <row r="1021" spans="1:7" ht="22.5" customHeight="1">
      <c r="A1021" s="4">
        <v>46007</v>
      </c>
      <c r="B1021" s="9" t="s">
        <v>1823</v>
      </c>
      <c r="C1021" s="14" t="s">
        <v>2543</v>
      </c>
      <c r="D1021" s="7">
        <v>124000</v>
      </c>
      <c r="E1021" s="8"/>
      <c r="F1021" s="9" t="s">
        <v>10</v>
      </c>
      <c r="G1021" s="18" t="s">
        <v>371</v>
      </c>
    </row>
    <row r="1022" spans="1:7" ht="22.5" customHeight="1">
      <c r="A1022" s="4">
        <v>46007</v>
      </c>
      <c r="B1022" s="169" t="s">
        <v>2544</v>
      </c>
      <c r="C1022" s="14" t="s">
        <v>2545</v>
      </c>
      <c r="D1022" s="7">
        <v>64500</v>
      </c>
      <c r="E1022" s="8"/>
      <c r="F1022" s="9" t="s">
        <v>10</v>
      </c>
      <c r="G1022" s="18" t="s">
        <v>421</v>
      </c>
    </row>
    <row r="1023" spans="1:7" ht="22.5" customHeight="1">
      <c r="A1023" s="4">
        <v>46007</v>
      </c>
      <c r="B1023" s="233" t="s">
        <v>2546</v>
      </c>
      <c r="C1023" s="14" t="s">
        <v>2547</v>
      </c>
      <c r="D1023" s="7">
        <v>63500</v>
      </c>
      <c r="E1023" s="8"/>
      <c r="F1023" s="9" t="s">
        <v>10</v>
      </c>
      <c r="G1023" s="18" t="s">
        <v>371</v>
      </c>
    </row>
    <row r="1024" spans="1:7" ht="22.5" customHeight="1">
      <c r="A1024" s="4">
        <v>46008</v>
      </c>
      <c r="B1024" s="169" t="s">
        <v>2548</v>
      </c>
      <c r="C1024" s="14" t="s">
        <v>694</v>
      </c>
      <c r="D1024" s="7">
        <v>308000</v>
      </c>
      <c r="E1024" s="8"/>
      <c r="F1024" s="9" t="s">
        <v>10</v>
      </c>
      <c r="G1024" s="18" t="s">
        <v>371</v>
      </c>
    </row>
    <row r="1025" spans="1:7" ht="22.5" customHeight="1">
      <c r="A1025" s="4">
        <v>46008</v>
      </c>
      <c r="B1025" s="9" t="s">
        <v>2549</v>
      </c>
      <c r="C1025" s="14" t="s">
        <v>2550</v>
      </c>
      <c r="D1025" s="7">
        <v>124900</v>
      </c>
      <c r="E1025" s="8"/>
      <c r="F1025" s="9" t="s">
        <v>7</v>
      </c>
      <c r="G1025" s="18" t="s">
        <v>371</v>
      </c>
    </row>
    <row r="1026" spans="1:7" ht="22.5" customHeight="1">
      <c r="A1026" s="4">
        <v>46008</v>
      </c>
      <c r="B1026" s="10" t="s">
        <v>512</v>
      </c>
      <c r="C1026" s="14" t="s">
        <v>2551</v>
      </c>
      <c r="D1026" s="7">
        <v>108100</v>
      </c>
      <c r="E1026" s="8"/>
      <c r="F1026" s="9" t="s">
        <v>7</v>
      </c>
      <c r="G1026" s="18" t="s">
        <v>371</v>
      </c>
    </row>
    <row r="1027" spans="1:7" ht="22.5" customHeight="1">
      <c r="A1027" s="4">
        <v>46008</v>
      </c>
      <c r="B1027" s="10" t="s">
        <v>95</v>
      </c>
      <c r="C1027" s="14" t="s">
        <v>2552</v>
      </c>
      <c r="D1027" s="7">
        <v>104000</v>
      </c>
      <c r="E1027" s="8"/>
      <c r="F1027" s="9" t="s">
        <v>7</v>
      </c>
      <c r="G1027" s="18" t="s">
        <v>371</v>
      </c>
    </row>
    <row r="1028" spans="1:7" ht="22.5" customHeight="1">
      <c r="A1028" s="4">
        <v>46008</v>
      </c>
      <c r="B1028" s="10" t="s">
        <v>111</v>
      </c>
      <c r="C1028" s="14" t="s">
        <v>2553</v>
      </c>
      <c r="D1028" s="7">
        <v>93500</v>
      </c>
      <c r="E1028" s="8"/>
      <c r="F1028" s="9" t="s">
        <v>7</v>
      </c>
      <c r="G1028" s="18" t="s">
        <v>371</v>
      </c>
    </row>
    <row r="1029" spans="1:7" ht="22.5" customHeight="1">
      <c r="A1029" s="4">
        <v>46008</v>
      </c>
      <c r="B1029" s="10" t="s">
        <v>77</v>
      </c>
      <c r="C1029" s="14" t="s">
        <v>2554</v>
      </c>
      <c r="D1029" s="7">
        <v>181500</v>
      </c>
      <c r="E1029" s="8"/>
      <c r="F1029" s="9" t="s">
        <v>10</v>
      </c>
      <c r="G1029" s="18" t="s">
        <v>371</v>
      </c>
    </row>
    <row r="1030" spans="1:7" ht="24" customHeight="1">
      <c r="A1030" s="4">
        <v>46008</v>
      </c>
      <c r="B1030" s="9" t="s">
        <v>2487</v>
      </c>
      <c r="C1030" s="14" t="s">
        <v>2555</v>
      </c>
      <c r="D1030" s="7">
        <v>125800</v>
      </c>
      <c r="E1030" s="8"/>
      <c r="F1030" s="9" t="s">
        <v>7</v>
      </c>
      <c r="G1030" s="18" t="s">
        <v>371</v>
      </c>
    </row>
    <row r="1031" spans="1:7" ht="22.5" customHeight="1">
      <c r="A1031" s="4">
        <v>46008</v>
      </c>
      <c r="B1031" s="5" t="s">
        <v>2556</v>
      </c>
      <c r="C1031" s="14" t="s">
        <v>2557</v>
      </c>
      <c r="D1031" s="7">
        <v>51000</v>
      </c>
      <c r="E1031" s="8"/>
      <c r="F1031" s="9" t="s">
        <v>7</v>
      </c>
      <c r="G1031" s="18" t="s">
        <v>874</v>
      </c>
    </row>
    <row r="1032" spans="1:7" ht="19.5" customHeight="1">
      <c r="A1032" s="4">
        <v>46008</v>
      </c>
      <c r="B1032" s="5" t="s">
        <v>2558</v>
      </c>
      <c r="C1032" s="14" t="s">
        <v>2559</v>
      </c>
      <c r="D1032" s="7">
        <v>106500</v>
      </c>
      <c r="E1032" s="8"/>
      <c r="F1032" s="9" t="s">
        <v>7</v>
      </c>
      <c r="G1032" s="18" t="s">
        <v>983</v>
      </c>
    </row>
    <row r="1033" spans="1:7" ht="23.25" customHeight="1">
      <c r="A1033" s="4">
        <v>46008</v>
      </c>
      <c r="B1033" s="5" t="s">
        <v>2560</v>
      </c>
      <c r="C1033" s="14" t="s">
        <v>2561</v>
      </c>
      <c r="D1033" s="7">
        <v>71500</v>
      </c>
      <c r="E1033" s="8"/>
      <c r="F1033" s="9" t="s">
        <v>10</v>
      </c>
      <c r="G1033" s="18" t="s">
        <v>942</v>
      </c>
    </row>
    <row r="1034" spans="1:7" ht="22.5" customHeight="1">
      <c r="A1034" s="4">
        <v>46008</v>
      </c>
      <c r="B1034" s="9" t="s">
        <v>2562</v>
      </c>
      <c r="C1034" s="14" t="s">
        <v>2563</v>
      </c>
      <c r="D1034" s="7">
        <v>114300</v>
      </c>
      <c r="E1034" s="8"/>
      <c r="F1034" s="9" t="s">
        <v>10</v>
      </c>
      <c r="G1034" s="18" t="s">
        <v>371</v>
      </c>
    </row>
    <row r="1035" spans="1:7" ht="20.25" customHeight="1">
      <c r="A1035" s="4">
        <v>46008</v>
      </c>
      <c r="B1035" s="9" t="s">
        <v>2001</v>
      </c>
      <c r="C1035" s="14" t="s">
        <v>2564</v>
      </c>
      <c r="D1035" s="7">
        <v>115500</v>
      </c>
      <c r="E1035" s="8"/>
      <c r="F1035" s="9" t="s">
        <v>10</v>
      </c>
      <c r="G1035" s="18" t="s">
        <v>371</v>
      </c>
    </row>
    <row r="1036" spans="1:7" ht="22.5" customHeight="1">
      <c r="A1036" s="4">
        <v>46008</v>
      </c>
      <c r="B1036" s="9" t="s">
        <v>2021</v>
      </c>
      <c r="C1036" s="14" t="s">
        <v>2565</v>
      </c>
      <c r="D1036" s="7">
        <v>118100</v>
      </c>
      <c r="E1036" s="8"/>
      <c r="F1036" s="9" t="s">
        <v>10</v>
      </c>
      <c r="G1036" s="18" t="s">
        <v>371</v>
      </c>
    </row>
    <row r="1037" spans="1:7" ht="22.5" customHeight="1">
      <c r="A1037" s="4">
        <v>46008</v>
      </c>
      <c r="B1037" s="233" t="s">
        <v>2566</v>
      </c>
      <c r="C1037" s="14" t="s">
        <v>2567</v>
      </c>
      <c r="D1037" s="7">
        <v>161400</v>
      </c>
      <c r="E1037" s="8"/>
      <c r="F1037" s="9" t="s">
        <v>10</v>
      </c>
      <c r="G1037" s="18" t="s">
        <v>371</v>
      </c>
    </row>
    <row r="1038" spans="1:7" ht="22.5" customHeight="1">
      <c r="A1038" s="4">
        <v>46008</v>
      </c>
      <c r="B1038" s="9" t="s">
        <v>2568</v>
      </c>
      <c r="C1038" s="14" t="s">
        <v>2569</v>
      </c>
      <c r="D1038" s="7">
        <v>190200</v>
      </c>
      <c r="E1038" s="8"/>
      <c r="F1038" s="9" t="s">
        <v>10</v>
      </c>
      <c r="G1038" s="18" t="s">
        <v>421</v>
      </c>
    </row>
    <row r="1039" spans="1:7" ht="23.25" customHeight="1">
      <c r="A1039" s="4">
        <v>46008</v>
      </c>
      <c r="B1039" s="9" t="s">
        <v>2570</v>
      </c>
      <c r="C1039" s="14" t="s">
        <v>2571</v>
      </c>
      <c r="D1039" s="7">
        <v>130000</v>
      </c>
      <c r="E1039" s="8"/>
      <c r="F1039" s="9" t="s">
        <v>10</v>
      </c>
      <c r="G1039" s="18" t="s">
        <v>371</v>
      </c>
    </row>
    <row r="1040" spans="1:7" ht="21" customHeight="1">
      <c r="A1040" s="4">
        <v>46008</v>
      </c>
      <c r="B1040" s="9" t="s">
        <v>1646</v>
      </c>
      <c r="C1040" s="14" t="s">
        <v>2572</v>
      </c>
      <c r="D1040" s="7">
        <v>248000</v>
      </c>
      <c r="E1040" s="8"/>
      <c r="F1040" s="9" t="s">
        <v>10</v>
      </c>
      <c r="G1040" s="18" t="s">
        <v>371</v>
      </c>
    </row>
    <row r="1041" spans="1:7" ht="22.5" customHeight="1">
      <c r="A1041" s="4">
        <v>46009</v>
      </c>
      <c r="B1041" s="10" t="s">
        <v>30</v>
      </c>
      <c r="C1041" s="14" t="s">
        <v>2573</v>
      </c>
      <c r="D1041" s="7">
        <v>132800</v>
      </c>
      <c r="E1041" s="8"/>
      <c r="F1041" s="9" t="s">
        <v>7</v>
      </c>
      <c r="G1041" s="18" t="s">
        <v>371</v>
      </c>
    </row>
    <row r="1042" spans="1:7" ht="22.5" customHeight="1">
      <c r="A1042" s="4">
        <v>46009</v>
      </c>
      <c r="B1042" s="10" t="s">
        <v>146</v>
      </c>
      <c r="C1042" s="14" t="s">
        <v>2574</v>
      </c>
      <c r="D1042" s="7">
        <v>152500</v>
      </c>
      <c r="E1042" s="8"/>
      <c r="F1042" s="9" t="s">
        <v>7</v>
      </c>
      <c r="G1042" s="18" t="s">
        <v>371</v>
      </c>
    </row>
    <row r="1043" spans="1:7" ht="22.5" customHeight="1">
      <c r="A1043" s="4">
        <v>46009</v>
      </c>
      <c r="B1043" s="10" t="s">
        <v>60</v>
      </c>
      <c r="C1043" s="14" t="s">
        <v>2575</v>
      </c>
      <c r="D1043" s="7">
        <v>141000</v>
      </c>
      <c r="E1043" s="8"/>
      <c r="F1043" s="9" t="s">
        <v>7</v>
      </c>
      <c r="G1043" s="18" t="s">
        <v>371</v>
      </c>
    </row>
    <row r="1044" spans="1:7" ht="22.5" customHeight="1">
      <c r="A1044" s="4">
        <v>46009</v>
      </c>
      <c r="B1044" s="10" t="s">
        <v>247</v>
      </c>
      <c r="C1044" s="14" t="s">
        <v>2576</v>
      </c>
      <c r="D1044" s="7">
        <v>607900</v>
      </c>
      <c r="E1044" s="8"/>
      <c r="F1044" s="9" t="s">
        <v>7</v>
      </c>
      <c r="G1044" s="18" t="s">
        <v>371</v>
      </c>
    </row>
    <row r="1045" spans="1:7" ht="22.5" customHeight="1">
      <c r="A1045" s="4">
        <v>46009</v>
      </c>
      <c r="B1045" s="10" t="s">
        <v>2577</v>
      </c>
      <c r="C1045" s="14" t="s">
        <v>2578</v>
      </c>
      <c r="D1045" s="7">
        <v>178500</v>
      </c>
      <c r="E1045" s="8"/>
      <c r="F1045" s="9" t="s">
        <v>7</v>
      </c>
      <c r="G1045" s="18" t="s">
        <v>371</v>
      </c>
    </row>
    <row r="1046" spans="1:7" ht="23.25" customHeight="1">
      <c r="A1046" s="4">
        <v>46009</v>
      </c>
      <c r="B1046" s="9" t="s">
        <v>1528</v>
      </c>
      <c r="C1046" s="14" t="s">
        <v>2579</v>
      </c>
      <c r="D1046" s="7">
        <v>130000</v>
      </c>
      <c r="E1046" s="8"/>
      <c r="F1046" s="9" t="s">
        <v>7</v>
      </c>
      <c r="G1046" s="18" t="s">
        <v>371</v>
      </c>
    </row>
    <row r="1047" spans="1:7" ht="22.5" customHeight="1">
      <c r="A1047" s="4">
        <v>46009</v>
      </c>
      <c r="B1047" s="9" t="s">
        <v>2580</v>
      </c>
      <c r="C1047" s="14" t="s">
        <v>2581</v>
      </c>
      <c r="D1047" s="7">
        <v>159200</v>
      </c>
      <c r="E1047" s="8"/>
      <c r="F1047" s="9" t="s">
        <v>7</v>
      </c>
      <c r="G1047" s="18" t="s">
        <v>874</v>
      </c>
    </row>
    <row r="1048" spans="1:7" ht="22.5" customHeight="1">
      <c r="A1048" s="4">
        <v>46009</v>
      </c>
      <c r="B1048" s="233" t="s">
        <v>2582</v>
      </c>
      <c r="C1048" s="14" t="s">
        <v>2583</v>
      </c>
      <c r="D1048" s="7">
        <v>73500</v>
      </c>
      <c r="E1048" s="8"/>
      <c r="F1048" s="9" t="s">
        <v>10</v>
      </c>
      <c r="G1048" s="18" t="s">
        <v>371</v>
      </c>
    </row>
    <row r="1049" spans="1:7" ht="23.25" customHeight="1">
      <c r="A1049" s="4">
        <v>46009</v>
      </c>
      <c r="B1049" s="9" t="s">
        <v>2584</v>
      </c>
      <c r="C1049" s="14" t="s">
        <v>2585</v>
      </c>
      <c r="D1049" s="7">
        <v>241600</v>
      </c>
      <c r="E1049" s="8"/>
      <c r="F1049" s="9" t="s">
        <v>10</v>
      </c>
      <c r="G1049" s="18" t="s">
        <v>371</v>
      </c>
    </row>
    <row r="1050" spans="1:7" ht="24.75" customHeight="1">
      <c r="A1050" s="4">
        <v>46009</v>
      </c>
      <c r="B1050" s="9" t="s">
        <v>2586</v>
      </c>
      <c r="C1050" s="14" t="s">
        <v>2587</v>
      </c>
      <c r="D1050" s="7">
        <v>81300</v>
      </c>
      <c r="E1050" s="8"/>
      <c r="F1050" s="9" t="s">
        <v>10</v>
      </c>
      <c r="G1050" s="18" t="s">
        <v>421</v>
      </c>
    </row>
    <row r="1051" spans="1:7" ht="22.5" customHeight="1">
      <c r="A1051" s="4">
        <v>46009</v>
      </c>
      <c r="B1051" s="169" t="s">
        <v>697</v>
      </c>
      <c r="C1051" s="14" t="s">
        <v>698</v>
      </c>
      <c r="D1051" s="7">
        <v>149800</v>
      </c>
      <c r="E1051" s="8"/>
      <c r="F1051" s="9" t="s">
        <v>10</v>
      </c>
      <c r="G1051" s="18" t="s">
        <v>371</v>
      </c>
    </row>
    <row r="1052" spans="1:7" ht="22.5" customHeight="1">
      <c r="A1052" s="4">
        <v>46009</v>
      </c>
      <c r="B1052" s="234" t="s">
        <v>2588</v>
      </c>
      <c r="C1052" s="14" t="s">
        <v>2589</v>
      </c>
      <c r="D1052" s="7">
        <v>105500</v>
      </c>
      <c r="E1052" s="8"/>
      <c r="F1052" s="9" t="s">
        <v>10</v>
      </c>
      <c r="G1052" s="18" t="s">
        <v>371</v>
      </c>
    </row>
    <row r="1053" spans="1:7" ht="22.5" customHeight="1">
      <c r="A1053" s="4">
        <v>46009</v>
      </c>
      <c r="B1053" s="9" t="s">
        <v>2590</v>
      </c>
      <c r="C1053" s="14" t="s">
        <v>2591</v>
      </c>
      <c r="D1053" s="7">
        <v>71500</v>
      </c>
      <c r="E1053" s="8"/>
      <c r="F1053" s="9" t="s">
        <v>7</v>
      </c>
      <c r="G1053" s="18" t="s">
        <v>371</v>
      </c>
    </row>
    <row r="1054" spans="1:7" ht="22.5" customHeight="1">
      <c r="A1054" s="4">
        <v>46009</v>
      </c>
      <c r="B1054" s="9" t="s">
        <v>2592</v>
      </c>
      <c r="C1054" s="14" t="s">
        <v>2593</v>
      </c>
      <c r="D1054" s="7">
        <v>87300</v>
      </c>
      <c r="E1054" s="8"/>
      <c r="F1054" s="9" t="s">
        <v>10</v>
      </c>
      <c r="G1054" s="18" t="s">
        <v>371</v>
      </c>
    </row>
    <row r="1055" spans="1:7" ht="22.5" customHeight="1">
      <c r="A1055" s="4">
        <v>46009</v>
      </c>
      <c r="B1055" s="196" t="s">
        <v>2594</v>
      </c>
      <c r="C1055" s="14" t="s">
        <v>2595</v>
      </c>
      <c r="D1055" s="7">
        <v>96800</v>
      </c>
      <c r="E1055" s="8"/>
      <c r="F1055" s="9" t="s">
        <v>7</v>
      </c>
      <c r="G1055" s="18" t="s">
        <v>371</v>
      </c>
    </row>
    <row r="1056" spans="1:7" ht="22.5" customHeight="1">
      <c r="A1056" s="4">
        <v>46010</v>
      </c>
      <c r="B1056" s="10" t="s">
        <v>91</v>
      </c>
      <c r="C1056" s="14" t="s">
        <v>2596</v>
      </c>
      <c r="D1056" s="7">
        <v>120600</v>
      </c>
      <c r="E1056" s="8"/>
      <c r="F1056" s="9" t="s">
        <v>10</v>
      </c>
      <c r="G1056" s="18" t="s">
        <v>371</v>
      </c>
    </row>
    <row r="1057" spans="1:7" ht="22.5" customHeight="1">
      <c r="A1057" s="4">
        <v>46010</v>
      </c>
      <c r="B1057" s="169" t="s">
        <v>2597</v>
      </c>
      <c r="C1057" s="14" t="s">
        <v>2598</v>
      </c>
      <c r="D1057" s="7">
        <v>156700</v>
      </c>
      <c r="E1057" s="8"/>
      <c r="F1057" s="9" t="s">
        <v>10</v>
      </c>
      <c r="G1057" s="18" t="s">
        <v>371</v>
      </c>
    </row>
    <row r="1058" spans="1:7" ht="22.5" customHeight="1">
      <c r="A1058" s="4">
        <v>46010</v>
      </c>
      <c r="B1058" s="169" t="s">
        <v>1934</v>
      </c>
      <c r="C1058" s="14" t="s">
        <v>2599</v>
      </c>
      <c r="D1058" s="7">
        <v>106600</v>
      </c>
      <c r="E1058" s="8"/>
      <c r="F1058" s="9" t="s">
        <v>10</v>
      </c>
      <c r="G1058" s="18" t="s">
        <v>371</v>
      </c>
    </row>
    <row r="1059" spans="1:7" ht="22.5" customHeight="1">
      <c r="A1059" s="4">
        <v>46010</v>
      </c>
      <c r="B1059" s="196" t="s">
        <v>1492</v>
      </c>
      <c r="C1059" s="14" t="s">
        <v>2600</v>
      </c>
      <c r="D1059" s="7">
        <v>318000</v>
      </c>
      <c r="E1059" s="8"/>
      <c r="F1059" s="9" t="s">
        <v>7</v>
      </c>
      <c r="G1059" s="18" t="s">
        <v>371</v>
      </c>
    </row>
    <row r="1060" spans="1:7" ht="20.25" customHeight="1">
      <c r="A1060" s="4">
        <v>46010</v>
      </c>
      <c r="B1060" s="9" t="s">
        <v>2487</v>
      </c>
      <c r="C1060" s="14" t="s">
        <v>2601</v>
      </c>
      <c r="D1060" s="7">
        <v>99600</v>
      </c>
      <c r="E1060" s="8"/>
      <c r="F1060" s="9" t="s">
        <v>7</v>
      </c>
      <c r="G1060" s="18" t="s">
        <v>371</v>
      </c>
    </row>
    <row r="1061" spans="1:7" ht="22.5" customHeight="1">
      <c r="A1061" s="4">
        <v>46010</v>
      </c>
      <c r="B1061" s="10" t="s">
        <v>512</v>
      </c>
      <c r="C1061" s="14" t="s">
        <v>2602</v>
      </c>
      <c r="D1061" s="7">
        <v>103000</v>
      </c>
      <c r="E1061" s="8"/>
      <c r="F1061" s="9" t="s">
        <v>7</v>
      </c>
      <c r="G1061" s="18" t="s">
        <v>371</v>
      </c>
    </row>
    <row r="1062" spans="1:7" ht="22.5" customHeight="1">
      <c r="A1062" s="4">
        <v>46010</v>
      </c>
      <c r="B1062" s="5" t="s">
        <v>63</v>
      </c>
      <c r="C1062" s="14" t="s">
        <v>2603</v>
      </c>
      <c r="D1062" s="7">
        <v>268500</v>
      </c>
      <c r="E1062" s="8"/>
      <c r="F1062" s="9" t="s">
        <v>7</v>
      </c>
      <c r="G1062" s="18" t="s">
        <v>371</v>
      </c>
    </row>
    <row r="1063" spans="1:7" ht="21.75" customHeight="1">
      <c r="A1063" s="4">
        <v>46011</v>
      </c>
      <c r="B1063" s="9" t="s">
        <v>2604</v>
      </c>
      <c r="C1063" s="14" t="s">
        <v>2605</v>
      </c>
      <c r="D1063" s="7">
        <v>210400</v>
      </c>
      <c r="E1063" s="8"/>
      <c r="F1063" s="9" t="s">
        <v>10</v>
      </c>
      <c r="G1063" s="18" t="s">
        <v>371</v>
      </c>
    </row>
    <row r="1064" spans="1:7" ht="22.5" customHeight="1">
      <c r="A1064" s="4">
        <v>46011</v>
      </c>
      <c r="B1064" s="10" t="s">
        <v>117</v>
      </c>
      <c r="C1064" s="14" t="s">
        <v>2606</v>
      </c>
      <c r="D1064" s="7">
        <v>147000</v>
      </c>
      <c r="E1064" s="8"/>
      <c r="F1064" s="9" t="s">
        <v>7</v>
      </c>
      <c r="G1064" s="18" t="s">
        <v>371</v>
      </c>
    </row>
    <row r="1065" spans="1:7" ht="22.5" customHeight="1">
      <c r="A1065" s="4">
        <v>46011</v>
      </c>
      <c r="B1065" s="5" t="s">
        <v>2028</v>
      </c>
      <c r="C1065" s="14" t="s">
        <v>2607</v>
      </c>
      <c r="D1065" s="7">
        <v>277100</v>
      </c>
      <c r="E1065" s="8"/>
      <c r="F1065" s="9" t="s">
        <v>7</v>
      </c>
      <c r="G1065" s="18" t="s">
        <v>371</v>
      </c>
    </row>
    <row r="1066" spans="1:7" ht="22.5" customHeight="1">
      <c r="A1066" s="4">
        <v>46011</v>
      </c>
      <c r="B1066" s="9" t="s">
        <v>2608</v>
      </c>
      <c r="C1066" s="14" t="s">
        <v>2609</v>
      </c>
      <c r="D1066" s="7">
        <v>69500</v>
      </c>
      <c r="E1066" s="8"/>
      <c r="F1066" s="9" t="s">
        <v>7</v>
      </c>
      <c r="G1066" s="18" t="s">
        <v>942</v>
      </c>
    </row>
    <row r="1067" spans="1:7" ht="22.5" customHeight="1">
      <c r="A1067" s="4">
        <v>46011</v>
      </c>
      <c r="B1067" s="233" t="s">
        <v>2610</v>
      </c>
      <c r="C1067" s="14" t="s">
        <v>2611</v>
      </c>
      <c r="D1067" s="7">
        <v>49900</v>
      </c>
      <c r="E1067" s="8"/>
      <c r="F1067" s="9" t="s">
        <v>10</v>
      </c>
      <c r="G1067" s="18" t="s">
        <v>421</v>
      </c>
    </row>
    <row r="1068" spans="1:7" ht="22.5" customHeight="1">
      <c r="A1068" s="4">
        <v>46011</v>
      </c>
      <c r="B1068" s="9" t="s">
        <v>695</v>
      </c>
      <c r="C1068" s="14" t="s">
        <v>2612</v>
      </c>
      <c r="D1068" s="7">
        <v>72500</v>
      </c>
      <c r="E1068" s="8"/>
      <c r="F1068" s="9" t="s">
        <v>10</v>
      </c>
      <c r="G1068" s="18" t="s">
        <v>983</v>
      </c>
    </row>
    <row r="1069" spans="1:7" ht="22.5" customHeight="1">
      <c r="A1069" s="4">
        <v>46013</v>
      </c>
      <c r="B1069" s="9" t="s">
        <v>2613</v>
      </c>
      <c r="C1069" s="14" t="s">
        <v>2614</v>
      </c>
      <c r="D1069" s="7">
        <v>360400</v>
      </c>
      <c r="E1069" s="8"/>
      <c r="F1069" s="9" t="s">
        <v>7</v>
      </c>
      <c r="G1069" s="18" t="s">
        <v>371</v>
      </c>
    </row>
    <row r="1070" spans="1:7" ht="22.5" customHeight="1">
      <c r="A1070" s="4">
        <v>46013</v>
      </c>
      <c r="B1070" s="9" t="s">
        <v>2615</v>
      </c>
      <c r="C1070" s="14" t="s">
        <v>2616</v>
      </c>
      <c r="D1070" s="7">
        <v>72000</v>
      </c>
      <c r="E1070" s="8"/>
      <c r="F1070" s="12" t="s">
        <v>16</v>
      </c>
      <c r="G1070" s="18" t="s">
        <v>874</v>
      </c>
    </row>
    <row r="1071" spans="1:7" ht="22.5" customHeight="1">
      <c r="A1071" s="4">
        <v>46013</v>
      </c>
      <c r="B1071" s="10" t="s">
        <v>29</v>
      </c>
      <c r="C1071" s="14" t="s">
        <v>2617</v>
      </c>
      <c r="D1071" s="7">
        <v>90000</v>
      </c>
      <c r="E1071" s="8"/>
      <c r="F1071" s="9" t="s">
        <v>21</v>
      </c>
      <c r="G1071" s="18" t="s">
        <v>371</v>
      </c>
    </row>
    <row r="1072" spans="1:7" ht="22.5" customHeight="1">
      <c r="A1072" s="4">
        <v>46013</v>
      </c>
      <c r="B1072" s="9" t="s">
        <v>2608</v>
      </c>
      <c r="C1072" s="14" t="s">
        <v>2618</v>
      </c>
      <c r="D1072" s="7">
        <v>138800</v>
      </c>
      <c r="E1072" s="8"/>
      <c r="F1072" s="9" t="s">
        <v>7</v>
      </c>
      <c r="G1072" s="18" t="s">
        <v>371</v>
      </c>
    </row>
    <row r="1073" spans="1:7" ht="22.5" customHeight="1">
      <c r="A1073" s="4">
        <v>46013</v>
      </c>
      <c r="B1073" s="196" t="s">
        <v>33</v>
      </c>
      <c r="C1073" s="14" t="s">
        <v>2619</v>
      </c>
      <c r="D1073" s="7">
        <v>220500</v>
      </c>
      <c r="E1073" s="8"/>
      <c r="F1073" s="9" t="s">
        <v>7</v>
      </c>
      <c r="G1073" s="18" t="s">
        <v>371</v>
      </c>
    </row>
    <row r="1074" spans="1:7" ht="22.5" customHeight="1">
      <c r="A1074" s="4">
        <v>46013</v>
      </c>
      <c r="B1074" s="10" t="s">
        <v>2620</v>
      </c>
      <c r="C1074" s="14" t="s">
        <v>2621</v>
      </c>
      <c r="D1074" s="7">
        <v>146500</v>
      </c>
      <c r="E1074" s="8"/>
      <c r="F1074" s="9" t="s">
        <v>10</v>
      </c>
      <c r="G1074" s="18" t="s">
        <v>371</v>
      </c>
    </row>
    <row r="1075" spans="1:7" ht="19.5" customHeight="1">
      <c r="A1075" s="4">
        <v>46013</v>
      </c>
      <c r="B1075" s="196" t="s">
        <v>342</v>
      </c>
      <c r="C1075" s="14" t="s">
        <v>2622</v>
      </c>
      <c r="D1075" s="7">
        <v>279300</v>
      </c>
      <c r="E1075" s="8"/>
      <c r="F1075" s="12" t="s">
        <v>16</v>
      </c>
      <c r="G1075" s="18" t="s">
        <v>371</v>
      </c>
    </row>
    <row r="1076" spans="1:7" ht="22.5" customHeight="1">
      <c r="A1076" s="4">
        <v>46013</v>
      </c>
      <c r="B1076" s="5" t="s">
        <v>2028</v>
      </c>
      <c r="C1076" s="14" t="s">
        <v>2623</v>
      </c>
      <c r="D1076" s="7">
        <v>158800</v>
      </c>
      <c r="E1076" s="8"/>
      <c r="F1076" s="9" t="s">
        <v>7</v>
      </c>
      <c r="G1076" s="18" t="s">
        <v>371</v>
      </c>
    </row>
    <row r="1077" spans="1:7" ht="22.5" customHeight="1">
      <c r="A1077" s="4">
        <v>46013</v>
      </c>
      <c r="B1077" s="10" t="s">
        <v>1807</v>
      </c>
      <c r="C1077" s="14" t="s">
        <v>2624</v>
      </c>
      <c r="D1077" s="7">
        <v>194300</v>
      </c>
      <c r="E1077" s="8"/>
      <c r="F1077" s="9" t="s">
        <v>7</v>
      </c>
      <c r="G1077" s="18" t="s">
        <v>371</v>
      </c>
    </row>
    <row r="1078" spans="1:7" ht="20.25" customHeight="1">
      <c r="A1078" s="4">
        <v>46013</v>
      </c>
      <c r="B1078" s="9" t="s">
        <v>2625</v>
      </c>
      <c r="C1078" s="14" t="s">
        <v>2626</v>
      </c>
      <c r="D1078" s="7">
        <v>219500</v>
      </c>
      <c r="E1078" s="8"/>
      <c r="F1078" s="9" t="s">
        <v>10</v>
      </c>
      <c r="G1078" s="18" t="s">
        <v>421</v>
      </c>
    </row>
    <row r="1079" spans="1:7" ht="22.5" customHeight="1">
      <c r="A1079" s="4">
        <v>46013</v>
      </c>
      <c r="B1079" s="234" t="s">
        <v>2627</v>
      </c>
      <c r="C1079" s="14" t="s">
        <v>2628</v>
      </c>
      <c r="D1079" s="7">
        <v>138240</v>
      </c>
      <c r="E1079" s="8"/>
      <c r="F1079" s="9" t="s">
        <v>10</v>
      </c>
      <c r="G1079" s="18" t="s">
        <v>421</v>
      </c>
    </row>
    <row r="1080" spans="1:7" ht="22.5" customHeight="1">
      <c r="A1080" s="4">
        <v>46013</v>
      </c>
      <c r="B1080" s="169" t="s">
        <v>2629</v>
      </c>
      <c r="C1080" s="14" t="s">
        <v>2630</v>
      </c>
      <c r="D1080" s="7">
        <v>68600</v>
      </c>
      <c r="E1080" s="8"/>
      <c r="F1080" s="9" t="s">
        <v>10</v>
      </c>
      <c r="G1080" s="18" t="s">
        <v>421</v>
      </c>
    </row>
    <row r="1081" spans="1:7" ht="19.5" customHeight="1">
      <c r="A1081" s="4">
        <v>46013</v>
      </c>
      <c r="B1081" s="9" t="s">
        <v>1177</v>
      </c>
      <c r="C1081" s="14" t="s">
        <v>2631</v>
      </c>
      <c r="D1081" s="7">
        <v>281000</v>
      </c>
      <c r="E1081" s="8"/>
      <c r="F1081" s="9" t="s">
        <v>10</v>
      </c>
      <c r="G1081" s="18" t="s">
        <v>371</v>
      </c>
    </row>
    <row r="1082" spans="1:7" ht="22.5" customHeight="1">
      <c r="A1082" s="4">
        <v>46013</v>
      </c>
      <c r="B1082" s="169" t="s">
        <v>2632</v>
      </c>
      <c r="C1082" s="14" t="s">
        <v>2633</v>
      </c>
      <c r="D1082" s="7">
        <v>112500</v>
      </c>
      <c r="E1082" s="8"/>
      <c r="F1082" s="9" t="s">
        <v>10</v>
      </c>
      <c r="G1082" s="18" t="s">
        <v>371</v>
      </c>
    </row>
    <row r="1083" spans="1:7" ht="22.5" customHeight="1">
      <c r="A1083" s="4">
        <v>46013</v>
      </c>
      <c r="B1083" s="233" t="s">
        <v>2634</v>
      </c>
      <c r="C1083" s="14" t="s">
        <v>2635</v>
      </c>
      <c r="D1083" s="7">
        <v>113400</v>
      </c>
      <c r="E1083" s="8"/>
      <c r="F1083" s="9" t="s">
        <v>10</v>
      </c>
      <c r="G1083" s="18" t="s">
        <v>421</v>
      </c>
    </row>
    <row r="1084" spans="1:7" ht="21" customHeight="1">
      <c r="A1084" s="4">
        <v>46013</v>
      </c>
      <c r="B1084" s="9" t="s">
        <v>2636</v>
      </c>
      <c r="C1084" s="14" t="s">
        <v>2637</v>
      </c>
      <c r="D1084" s="7">
        <v>117535</v>
      </c>
      <c r="E1084" s="8"/>
      <c r="F1084" s="9" t="s">
        <v>10</v>
      </c>
      <c r="G1084" s="18" t="s">
        <v>421</v>
      </c>
    </row>
    <row r="1085" spans="1:7" ht="22.5" customHeight="1">
      <c r="A1085" s="4">
        <v>46013</v>
      </c>
      <c r="B1085" s="9" t="s">
        <v>2638</v>
      </c>
      <c r="C1085" s="202" t="s">
        <v>2639</v>
      </c>
      <c r="D1085" s="7">
        <v>156400</v>
      </c>
      <c r="E1085" s="8"/>
      <c r="F1085" s="9" t="s">
        <v>10</v>
      </c>
      <c r="G1085" s="18" t="s">
        <v>371</v>
      </c>
    </row>
    <row r="1086" spans="1:7" ht="22.5" customHeight="1">
      <c r="A1086" s="4">
        <v>46014</v>
      </c>
      <c r="B1086" s="233" t="s">
        <v>2640</v>
      </c>
      <c r="C1086" s="14" t="s">
        <v>2641</v>
      </c>
      <c r="D1086" s="7">
        <v>139500</v>
      </c>
      <c r="E1086" s="8"/>
      <c r="F1086" s="9" t="s">
        <v>10</v>
      </c>
      <c r="G1086" s="18" t="s">
        <v>421</v>
      </c>
    </row>
    <row r="1087" spans="1:7" ht="22.5" customHeight="1">
      <c r="A1087" s="4">
        <v>46014</v>
      </c>
      <c r="B1087" s="169" t="s">
        <v>2642</v>
      </c>
      <c r="C1087" s="14" t="s">
        <v>2643</v>
      </c>
      <c r="D1087" s="7">
        <v>228905</v>
      </c>
      <c r="E1087" s="8"/>
      <c r="F1087" s="9" t="s">
        <v>10</v>
      </c>
      <c r="G1087" s="18" t="s">
        <v>421</v>
      </c>
    </row>
    <row r="1088" spans="1:7" ht="22.5" customHeight="1">
      <c r="A1088" s="4">
        <v>46014</v>
      </c>
      <c r="B1088" s="233" t="s">
        <v>2644</v>
      </c>
      <c r="C1088" s="14" t="s">
        <v>2645</v>
      </c>
      <c r="D1088" s="7">
        <v>116200</v>
      </c>
      <c r="E1088" s="8"/>
      <c r="F1088" s="9" t="s">
        <v>10</v>
      </c>
      <c r="G1088" s="18" t="s">
        <v>421</v>
      </c>
    </row>
    <row r="1089" spans="1:7" ht="22.5" customHeight="1">
      <c r="A1089" s="4">
        <v>46014</v>
      </c>
      <c r="B1089" s="169" t="s">
        <v>2646</v>
      </c>
      <c r="C1089" s="14" t="s">
        <v>2647</v>
      </c>
      <c r="D1089" s="7">
        <v>232500</v>
      </c>
      <c r="E1089" s="8"/>
      <c r="F1089" s="9" t="s">
        <v>10</v>
      </c>
      <c r="G1089" s="18" t="s">
        <v>371</v>
      </c>
    </row>
    <row r="1090" spans="1:7" ht="20.25" customHeight="1">
      <c r="A1090" s="4">
        <v>46014</v>
      </c>
      <c r="B1090" s="9" t="s">
        <v>2648</v>
      </c>
      <c r="C1090" s="14" t="s">
        <v>2649</v>
      </c>
      <c r="D1090" s="7">
        <v>120000</v>
      </c>
      <c r="E1090" s="8"/>
      <c r="F1090" s="9" t="s">
        <v>10</v>
      </c>
      <c r="G1090" s="18" t="s">
        <v>421</v>
      </c>
    </row>
    <row r="1091" spans="1:7" ht="19.5" customHeight="1">
      <c r="A1091" s="4">
        <v>46014</v>
      </c>
      <c r="B1091" s="233" t="s">
        <v>2650</v>
      </c>
      <c r="C1091" s="14" t="s">
        <v>2651</v>
      </c>
      <c r="D1091" s="7">
        <v>53800</v>
      </c>
      <c r="E1091" s="8"/>
      <c r="F1091" s="9" t="s">
        <v>10</v>
      </c>
      <c r="G1091" s="18" t="s">
        <v>421</v>
      </c>
    </row>
    <row r="1092" spans="1:7" ht="22.5" customHeight="1">
      <c r="A1092" s="4">
        <v>46014</v>
      </c>
      <c r="B1092" s="9" t="s">
        <v>2652</v>
      </c>
      <c r="C1092" s="14" t="s">
        <v>2653</v>
      </c>
      <c r="D1092" s="7">
        <v>213300</v>
      </c>
      <c r="E1092" s="8"/>
      <c r="F1092" s="9" t="s">
        <v>10</v>
      </c>
      <c r="G1092" s="18" t="s">
        <v>371</v>
      </c>
    </row>
    <row r="1093" spans="1:7" ht="22.5" customHeight="1">
      <c r="A1093" s="4">
        <v>46014</v>
      </c>
      <c r="B1093" s="5" t="s">
        <v>2654</v>
      </c>
      <c r="C1093" s="14" t="s">
        <v>2655</v>
      </c>
      <c r="D1093" s="7">
        <v>51500</v>
      </c>
      <c r="E1093" s="8"/>
      <c r="F1093" s="9" t="s">
        <v>7</v>
      </c>
      <c r="G1093" s="18" t="s">
        <v>371</v>
      </c>
    </row>
    <row r="1094" spans="1:7" ht="18.75" customHeight="1">
      <c r="A1094" s="4">
        <v>46014</v>
      </c>
      <c r="B1094" s="9" t="s">
        <v>2656</v>
      </c>
      <c r="C1094" s="14" t="s">
        <v>2657</v>
      </c>
      <c r="D1094" s="7">
        <v>49900</v>
      </c>
      <c r="E1094" s="8"/>
      <c r="F1094" s="9" t="s">
        <v>7</v>
      </c>
      <c r="G1094" s="18" t="s">
        <v>371</v>
      </c>
    </row>
    <row r="1095" spans="1:7" ht="22.5" customHeight="1">
      <c r="A1095" s="4">
        <v>46014</v>
      </c>
      <c r="B1095" s="9" t="s">
        <v>2658</v>
      </c>
      <c r="C1095" s="14" t="s">
        <v>2659</v>
      </c>
      <c r="D1095" s="7">
        <v>157500</v>
      </c>
      <c r="E1095" s="8"/>
      <c r="F1095" s="9" t="s">
        <v>7</v>
      </c>
      <c r="G1095" s="18" t="s">
        <v>371</v>
      </c>
    </row>
    <row r="1096" spans="1:7" ht="22.5" customHeight="1">
      <c r="A1096" s="4">
        <v>46014</v>
      </c>
      <c r="B1096" s="9" t="s">
        <v>2660</v>
      </c>
      <c r="C1096" s="14" t="s">
        <v>2661</v>
      </c>
      <c r="D1096" s="7">
        <v>59500</v>
      </c>
      <c r="E1096" s="8"/>
      <c r="F1096" s="9" t="s">
        <v>10</v>
      </c>
      <c r="G1096" s="18" t="s">
        <v>421</v>
      </c>
    </row>
    <row r="1097" spans="1:7" ht="22.5" customHeight="1">
      <c r="A1097" s="4">
        <v>46014</v>
      </c>
      <c r="B1097" s="235" t="s">
        <v>778</v>
      </c>
      <c r="C1097" s="202" t="s">
        <v>2662</v>
      </c>
      <c r="D1097" s="7">
        <v>95900</v>
      </c>
      <c r="E1097" s="8"/>
      <c r="F1097" s="12" t="s">
        <v>16</v>
      </c>
      <c r="G1097" s="18" t="s">
        <v>371</v>
      </c>
    </row>
    <row r="1098" spans="1:7" ht="24.75" customHeight="1">
      <c r="A1098" s="4">
        <v>46015</v>
      </c>
      <c r="B1098" s="196" t="s">
        <v>1856</v>
      </c>
      <c r="C1098" s="14" t="s">
        <v>2663</v>
      </c>
      <c r="D1098" s="7">
        <v>236400</v>
      </c>
      <c r="E1098" s="8"/>
      <c r="F1098" s="9" t="s">
        <v>7</v>
      </c>
      <c r="G1098" s="18" t="s">
        <v>371</v>
      </c>
    </row>
    <row r="1099" spans="1:7" ht="22.5" customHeight="1">
      <c r="A1099" s="4">
        <v>46015</v>
      </c>
      <c r="B1099" s="10" t="s">
        <v>835</v>
      </c>
      <c r="C1099" s="14" t="s">
        <v>2664</v>
      </c>
      <c r="D1099" s="7">
        <v>83000</v>
      </c>
      <c r="E1099" s="8"/>
      <c r="F1099" s="9" t="s">
        <v>7</v>
      </c>
      <c r="G1099" s="18" t="s">
        <v>371</v>
      </c>
    </row>
    <row r="1100" spans="1:7" ht="22.5" customHeight="1">
      <c r="A1100" s="4">
        <v>46015</v>
      </c>
      <c r="B1100" s="233" t="s">
        <v>2665</v>
      </c>
      <c r="C1100" s="14" t="s">
        <v>2666</v>
      </c>
      <c r="D1100" s="7">
        <v>59500</v>
      </c>
      <c r="E1100" s="8"/>
      <c r="F1100" s="9" t="s">
        <v>10</v>
      </c>
      <c r="G1100" s="18" t="s">
        <v>421</v>
      </c>
    </row>
    <row r="1101" spans="1:7" ht="22.5" customHeight="1">
      <c r="A1101" s="4">
        <v>46015</v>
      </c>
      <c r="B1101" s="10" t="s">
        <v>103</v>
      </c>
      <c r="C1101" s="14" t="s">
        <v>2667</v>
      </c>
      <c r="D1101" s="7">
        <v>90000</v>
      </c>
      <c r="E1101" s="8"/>
      <c r="F1101" s="9" t="s">
        <v>1426</v>
      </c>
      <c r="G1101" s="18" t="s">
        <v>371</v>
      </c>
    </row>
    <row r="1102" spans="1:7" ht="22.5" customHeight="1">
      <c r="A1102" s="4">
        <v>46015</v>
      </c>
      <c r="B1102" s="9" t="s">
        <v>2668</v>
      </c>
      <c r="C1102" s="14" t="s">
        <v>2669</v>
      </c>
      <c r="D1102" s="7">
        <v>190500</v>
      </c>
      <c r="E1102" s="8"/>
      <c r="F1102" s="12" t="s">
        <v>16</v>
      </c>
      <c r="G1102" s="18" t="s">
        <v>371</v>
      </c>
    </row>
    <row r="1103" spans="1:7" ht="22.5" customHeight="1">
      <c r="A1103" s="4">
        <v>46015</v>
      </c>
      <c r="B1103" s="233" t="s">
        <v>2670</v>
      </c>
      <c r="C1103" s="14" t="s">
        <v>2671</v>
      </c>
      <c r="D1103" s="7">
        <v>170500</v>
      </c>
      <c r="E1103" s="8"/>
      <c r="F1103" s="9" t="s">
        <v>10</v>
      </c>
      <c r="G1103" s="18" t="s">
        <v>371</v>
      </c>
    </row>
    <row r="1104" spans="1:7" ht="22.5" customHeight="1">
      <c r="A1104" s="4">
        <v>46015</v>
      </c>
      <c r="B1104" s="169" t="s">
        <v>2672</v>
      </c>
      <c r="C1104" s="14" t="s">
        <v>2673</v>
      </c>
      <c r="D1104" s="7">
        <v>180000</v>
      </c>
      <c r="E1104" s="8"/>
      <c r="F1104" s="9" t="s">
        <v>10</v>
      </c>
      <c r="G1104" s="18" t="s">
        <v>371</v>
      </c>
    </row>
    <row r="1105" spans="1:7" ht="22.5" customHeight="1">
      <c r="A1105" s="4">
        <v>46015</v>
      </c>
      <c r="B1105" s="233" t="s">
        <v>2674</v>
      </c>
      <c r="C1105" s="14" t="s">
        <v>2675</v>
      </c>
      <c r="D1105" s="7">
        <v>196500</v>
      </c>
      <c r="E1105" s="8"/>
      <c r="F1105" s="12" t="s">
        <v>16</v>
      </c>
      <c r="G1105" s="18" t="s">
        <v>421</v>
      </c>
    </row>
    <row r="1106" spans="1:7" ht="22.5" customHeight="1">
      <c r="A1106" s="4">
        <v>46015</v>
      </c>
      <c r="B1106" s="169" t="s">
        <v>2676</v>
      </c>
      <c r="C1106" s="14" t="s">
        <v>2677</v>
      </c>
      <c r="D1106" s="7">
        <v>119200</v>
      </c>
      <c r="E1106" s="8"/>
      <c r="F1106" s="9" t="s">
        <v>10</v>
      </c>
      <c r="G1106" s="18" t="s">
        <v>371</v>
      </c>
    </row>
    <row r="1107" spans="1:7" ht="22.5" customHeight="1">
      <c r="A1107" s="4">
        <v>46015</v>
      </c>
      <c r="B1107" s="233" t="s">
        <v>2678</v>
      </c>
      <c r="C1107" s="14" t="s">
        <v>2679</v>
      </c>
      <c r="D1107" s="7">
        <v>116000</v>
      </c>
      <c r="E1107" s="8"/>
      <c r="F1107" s="9" t="s">
        <v>10</v>
      </c>
      <c r="G1107" s="18" t="s">
        <v>421</v>
      </c>
    </row>
    <row r="1108" spans="1:7" ht="22.5" customHeight="1">
      <c r="A1108" s="4">
        <v>46017</v>
      </c>
      <c r="B1108" s="169" t="s">
        <v>2680</v>
      </c>
      <c r="C1108" s="14" t="s">
        <v>2681</v>
      </c>
      <c r="D1108" s="7">
        <v>104000</v>
      </c>
      <c r="E1108" s="8"/>
      <c r="F1108" s="9" t="s">
        <v>10</v>
      </c>
      <c r="G1108" s="18" t="s">
        <v>371</v>
      </c>
    </row>
    <row r="1109" spans="1:7" ht="22.5" customHeight="1">
      <c r="A1109" s="4">
        <v>46017</v>
      </c>
      <c r="B1109" s="9" t="s">
        <v>77</v>
      </c>
      <c r="C1109" s="14" t="s">
        <v>2682</v>
      </c>
      <c r="D1109" s="7">
        <v>126000</v>
      </c>
      <c r="E1109" s="8"/>
      <c r="F1109" s="9" t="s">
        <v>10</v>
      </c>
      <c r="G1109" s="18" t="s">
        <v>371</v>
      </c>
    </row>
    <row r="1110" spans="1:7" ht="22.5" customHeight="1">
      <c r="A1110" s="4">
        <v>46017</v>
      </c>
      <c r="B1110" s="233" t="s">
        <v>2683</v>
      </c>
      <c r="C1110" s="14" t="s">
        <v>2684</v>
      </c>
      <c r="D1110" s="7">
        <v>137300</v>
      </c>
      <c r="E1110" s="8"/>
      <c r="F1110" s="9" t="s">
        <v>10</v>
      </c>
      <c r="G1110" s="18" t="s">
        <v>371</v>
      </c>
    </row>
    <row r="1111" spans="1:7" ht="19.5" customHeight="1">
      <c r="A1111" s="4">
        <v>46017</v>
      </c>
      <c r="B1111" s="9" t="s">
        <v>2685</v>
      </c>
      <c r="C1111" s="14" t="s">
        <v>2686</v>
      </c>
      <c r="D1111" s="7">
        <v>204400</v>
      </c>
      <c r="E1111" s="8"/>
      <c r="F1111" s="9" t="s">
        <v>7</v>
      </c>
      <c r="G1111" s="18" t="s">
        <v>371</v>
      </c>
    </row>
    <row r="1112" spans="1:7" ht="22.5" customHeight="1">
      <c r="A1112" s="4">
        <v>46017</v>
      </c>
      <c r="B1112" s="9" t="s">
        <v>2687</v>
      </c>
      <c r="C1112" s="14" t="s">
        <v>2688</v>
      </c>
      <c r="D1112" s="7">
        <v>63500</v>
      </c>
      <c r="E1112" s="8"/>
      <c r="F1112" s="9" t="s">
        <v>10</v>
      </c>
      <c r="G1112" s="18" t="s">
        <v>371</v>
      </c>
    </row>
    <row r="1113" spans="1:7" ht="22.5" customHeight="1">
      <c r="A1113" s="4">
        <v>46017</v>
      </c>
      <c r="B1113" s="233" t="s">
        <v>2610</v>
      </c>
      <c r="C1113" s="14" t="s">
        <v>2689</v>
      </c>
      <c r="D1113" s="7">
        <v>70900</v>
      </c>
      <c r="E1113" s="8"/>
      <c r="F1113" s="9" t="s">
        <v>10</v>
      </c>
      <c r="G1113" s="18" t="s">
        <v>371</v>
      </c>
    </row>
    <row r="1114" spans="1:7" ht="22.5" customHeight="1">
      <c r="A1114" s="4">
        <v>46017</v>
      </c>
      <c r="B1114" s="169" t="s">
        <v>2690</v>
      </c>
      <c r="C1114" s="14" t="s">
        <v>2691</v>
      </c>
      <c r="D1114" s="7">
        <v>117090</v>
      </c>
      <c r="E1114" s="8"/>
      <c r="F1114" s="9" t="s">
        <v>10</v>
      </c>
      <c r="G1114" s="18" t="s">
        <v>421</v>
      </c>
    </row>
    <row r="1115" spans="1:7" ht="21" customHeight="1">
      <c r="A1115" s="4">
        <v>46017</v>
      </c>
      <c r="B1115" s="9" t="s">
        <v>2692</v>
      </c>
      <c r="C1115" s="14" t="s">
        <v>2693</v>
      </c>
      <c r="D1115" s="7">
        <v>113800</v>
      </c>
      <c r="E1115" s="8"/>
      <c r="F1115" s="9" t="s">
        <v>10</v>
      </c>
      <c r="G1115" s="18" t="s">
        <v>421</v>
      </c>
    </row>
    <row r="1116" spans="1:7" ht="22.5" customHeight="1">
      <c r="A1116" s="4">
        <v>46017</v>
      </c>
      <c r="B1116" s="233" t="s">
        <v>2112</v>
      </c>
      <c r="C1116" s="14" t="s">
        <v>2694</v>
      </c>
      <c r="D1116" s="7">
        <v>256000</v>
      </c>
      <c r="E1116" s="8"/>
      <c r="F1116" s="9" t="s">
        <v>10</v>
      </c>
      <c r="G1116" s="18" t="s">
        <v>421</v>
      </c>
    </row>
    <row r="1117" spans="1:7" ht="22.5" customHeight="1">
      <c r="A1117" s="4">
        <v>46017</v>
      </c>
      <c r="B1117" s="169" t="s">
        <v>2695</v>
      </c>
      <c r="C1117" s="14" t="s">
        <v>2696</v>
      </c>
      <c r="D1117" s="7">
        <v>68000</v>
      </c>
      <c r="E1117" s="8"/>
      <c r="F1117" s="9" t="s">
        <v>10</v>
      </c>
      <c r="G1117" s="18" t="s">
        <v>421</v>
      </c>
    </row>
    <row r="1118" spans="1:7" ht="22.5" customHeight="1">
      <c r="A1118" s="4">
        <v>46018</v>
      </c>
      <c r="B1118" s="5" t="s">
        <v>12</v>
      </c>
      <c r="C1118" s="14" t="s">
        <v>2697</v>
      </c>
      <c r="D1118" s="7">
        <v>26000</v>
      </c>
      <c r="E1118" s="8"/>
      <c r="F1118" s="9" t="s">
        <v>10</v>
      </c>
      <c r="G1118" s="18" t="s">
        <v>371</v>
      </c>
    </row>
    <row r="1119" spans="1:7" ht="24.75" customHeight="1">
      <c r="A1119" s="4">
        <v>46018</v>
      </c>
      <c r="B1119" s="5" t="s">
        <v>1829</v>
      </c>
      <c r="C1119" s="14" t="s">
        <v>2698</v>
      </c>
      <c r="D1119" s="7">
        <v>275300</v>
      </c>
      <c r="E1119" s="8"/>
      <c r="F1119" s="9" t="s">
        <v>10</v>
      </c>
      <c r="G1119" s="18" t="s">
        <v>371</v>
      </c>
    </row>
    <row r="1120" spans="1:7" ht="22.5" customHeight="1">
      <c r="A1120" s="4">
        <v>46018</v>
      </c>
      <c r="B1120" s="9" t="s">
        <v>8</v>
      </c>
      <c r="C1120" s="14" t="s">
        <v>2699</v>
      </c>
      <c r="D1120" s="7">
        <v>294300</v>
      </c>
      <c r="E1120" s="8"/>
      <c r="F1120" s="9" t="s">
        <v>10</v>
      </c>
      <c r="G1120" s="18" t="s">
        <v>371</v>
      </c>
    </row>
    <row r="1121" spans="1:7" ht="22.5" customHeight="1">
      <c r="A1121" s="4">
        <v>46018</v>
      </c>
      <c r="B1121" s="5" t="s">
        <v>1315</v>
      </c>
      <c r="C1121" s="14" t="s">
        <v>2700</v>
      </c>
      <c r="D1121" s="7">
        <v>317500</v>
      </c>
      <c r="E1121" s="8"/>
      <c r="F1121" s="9" t="s">
        <v>7</v>
      </c>
      <c r="G1121" s="18" t="s">
        <v>371</v>
      </c>
    </row>
    <row r="1122" spans="1:7" ht="22.5" customHeight="1">
      <c r="A1122" s="4">
        <v>46018</v>
      </c>
      <c r="B1122" s="10" t="s">
        <v>325</v>
      </c>
      <c r="C1122" s="14" t="s">
        <v>2701</v>
      </c>
      <c r="D1122" s="7">
        <v>105000</v>
      </c>
      <c r="E1122" s="8"/>
      <c r="F1122" s="9" t="s">
        <v>7</v>
      </c>
      <c r="G1122" s="18" t="s">
        <v>371</v>
      </c>
    </row>
    <row r="1123" spans="1:7" ht="22.5" customHeight="1">
      <c r="A1123" s="4">
        <v>46018</v>
      </c>
      <c r="B1123" s="9" t="s">
        <v>2638</v>
      </c>
      <c r="C1123" s="14" t="s">
        <v>2702</v>
      </c>
      <c r="D1123" s="7">
        <v>94700</v>
      </c>
      <c r="E1123" s="8"/>
      <c r="F1123" s="9" t="s">
        <v>7</v>
      </c>
      <c r="G1123" s="18" t="s">
        <v>371</v>
      </c>
    </row>
    <row r="1124" spans="1:7" ht="22.5" customHeight="1">
      <c r="A1124" s="4">
        <v>46018</v>
      </c>
      <c r="B1124" s="233" t="s">
        <v>2507</v>
      </c>
      <c r="C1124" s="14" t="s">
        <v>2703</v>
      </c>
      <c r="D1124" s="7">
        <v>117100</v>
      </c>
      <c r="E1124" s="8"/>
      <c r="F1124" s="9" t="s">
        <v>10</v>
      </c>
      <c r="G1124" s="18" t="s">
        <v>371</v>
      </c>
    </row>
    <row r="1125" spans="1:7" ht="22.5" customHeight="1">
      <c r="A1125" s="4">
        <v>46018</v>
      </c>
      <c r="B1125" s="169" t="s">
        <v>2704</v>
      </c>
      <c r="C1125" s="14" t="s">
        <v>2705</v>
      </c>
      <c r="D1125" s="7">
        <v>121800</v>
      </c>
      <c r="E1125" s="8"/>
      <c r="F1125" s="9" t="s">
        <v>10</v>
      </c>
      <c r="G1125" s="18" t="s">
        <v>371</v>
      </c>
    </row>
    <row r="1126" spans="1:7" ht="22.5" customHeight="1">
      <c r="A1126" s="4">
        <v>46018</v>
      </c>
      <c r="B1126" s="168" t="s">
        <v>2706</v>
      </c>
      <c r="C1126" s="14" t="s">
        <v>2707</v>
      </c>
      <c r="D1126" s="7">
        <v>133500</v>
      </c>
      <c r="E1126" s="8"/>
      <c r="F1126" s="9" t="s">
        <v>10</v>
      </c>
      <c r="G1126" s="18" t="s">
        <v>371</v>
      </c>
    </row>
    <row r="1127" spans="1:7" ht="22.5" customHeight="1">
      <c r="A1127" s="4">
        <v>46018</v>
      </c>
      <c r="B1127" s="234" t="s">
        <v>2708</v>
      </c>
      <c r="C1127" s="14" t="s">
        <v>2709</v>
      </c>
      <c r="D1127" s="7">
        <v>119600</v>
      </c>
      <c r="E1127" s="8"/>
      <c r="F1127" s="9" t="s">
        <v>10</v>
      </c>
      <c r="G1127" s="18" t="s">
        <v>421</v>
      </c>
    </row>
    <row r="1128" spans="1:7" ht="22.5" customHeight="1">
      <c r="A1128" s="4">
        <v>46018</v>
      </c>
      <c r="B1128" s="9" t="s">
        <v>2710</v>
      </c>
      <c r="C1128" s="14" t="s">
        <v>2711</v>
      </c>
      <c r="D1128" s="7">
        <v>488520</v>
      </c>
      <c r="E1128" s="8"/>
      <c r="F1128" s="9" t="s">
        <v>10</v>
      </c>
      <c r="G1128" s="18" t="s">
        <v>421</v>
      </c>
    </row>
    <row r="1129" spans="1:7" ht="22.5" customHeight="1">
      <c r="A1129" s="4">
        <v>46018</v>
      </c>
      <c r="B1129" s="9" t="s">
        <v>2712</v>
      </c>
      <c r="C1129" s="14" t="s">
        <v>2713</v>
      </c>
      <c r="D1129" s="7">
        <v>93500</v>
      </c>
      <c r="E1129" s="8"/>
      <c r="F1129" s="9" t="s">
        <v>7</v>
      </c>
      <c r="G1129" s="18" t="s">
        <v>371</v>
      </c>
    </row>
    <row r="1130" spans="1:7" ht="22.5" customHeight="1">
      <c r="A1130" s="4">
        <v>46018</v>
      </c>
      <c r="B1130" s="9" t="s">
        <v>413</v>
      </c>
      <c r="C1130" s="14" t="s">
        <v>2714</v>
      </c>
      <c r="D1130" s="7">
        <v>98500</v>
      </c>
      <c r="E1130" s="8"/>
      <c r="F1130" s="9" t="s">
        <v>10</v>
      </c>
      <c r="G1130" s="18" t="s">
        <v>371</v>
      </c>
    </row>
    <row r="1131" spans="1:7" ht="22.5" customHeight="1">
      <c r="A1131" s="4"/>
      <c r="B1131" s="9"/>
      <c r="C1131" s="9"/>
      <c r="D1131" s="7"/>
      <c r="E1131" s="8"/>
      <c r="F1131" s="9"/>
      <c r="G1131" s="18"/>
    </row>
    <row r="1132" spans="1:7" ht="22.5" customHeight="1">
      <c r="A1132" s="4"/>
      <c r="B1132" s="9"/>
      <c r="C1132" s="9"/>
      <c r="D1132" s="7"/>
      <c r="E1132" s="8"/>
      <c r="F1132" s="9"/>
      <c r="G1132" s="18"/>
    </row>
    <row r="1133" spans="1:7" ht="22.5" customHeight="1">
      <c r="A1133" s="4"/>
      <c r="B1133" s="9"/>
      <c r="C1133" s="9"/>
      <c r="D1133" s="7"/>
      <c r="E1133" s="8"/>
      <c r="F1133" s="9"/>
      <c r="G1133" s="18"/>
    </row>
    <row r="1134" spans="1:7" ht="22.5" customHeight="1">
      <c r="A1134" s="4"/>
      <c r="B1134" s="9"/>
      <c r="C1134" s="9"/>
      <c r="D1134" s="7"/>
      <c r="E1134" s="8"/>
      <c r="F1134" s="9"/>
      <c r="G1134" s="18"/>
    </row>
    <row r="1135" spans="1:7" ht="22.5" customHeight="1">
      <c r="A1135" s="236"/>
      <c r="B1135" s="18"/>
      <c r="C1135" s="18"/>
      <c r="D1135" s="213"/>
      <c r="E1135" s="237"/>
      <c r="F1135" s="18"/>
      <c r="G1135" s="18"/>
    </row>
    <row r="1136" spans="1:7" ht="22.5" customHeight="1">
      <c r="A1136" s="236"/>
      <c r="B1136" s="18"/>
      <c r="C1136" s="18"/>
      <c r="D1136" s="213"/>
      <c r="E1136" s="237"/>
      <c r="F1136" s="18"/>
      <c r="G1136" s="18"/>
    </row>
    <row r="1137" spans="1:7" ht="22.5" customHeight="1">
      <c r="A1137" s="236"/>
      <c r="B1137" s="18"/>
      <c r="C1137" s="18"/>
      <c r="D1137" s="213"/>
      <c r="E1137" s="237"/>
      <c r="F1137" s="18"/>
      <c r="G1137" s="18"/>
    </row>
    <row r="1138" spans="1:7" ht="22.5" customHeight="1">
      <c r="A1138" s="236"/>
      <c r="B1138" s="18"/>
      <c r="C1138" s="18"/>
      <c r="D1138" s="213"/>
      <c r="E1138" s="237"/>
      <c r="F1138" s="18"/>
      <c r="G1138" s="18"/>
    </row>
    <row r="1139" spans="1:7" ht="22.5" customHeight="1">
      <c r="A1139" s="236"/>
      <c r="B1139" s="18"/>
      <c r="C1139" s="18"/>
      <c r="D1139" s="213"/>
      <c r="E1139" s="237"/>
      <c r="F1139" s="18"/>
      <c r="G1139" s="18"/>
    </row>
    <row r="1140" spans="1:7" ht="22.5" customHeight="1">
      <c r="A1140" s="236"/>
      <c r="B1140" s="18"/>
      <c r="C1140" s="18"/>
      <c r="D1140" s="213"/>
      <c r="E1140" s="237"/>
      <c r="F1140" s="18"/>
      <c r="G1140" s="18"/>
    </row>
    <row r="1141" spans="1:7" ht="22.5" customHeight="1">
      <c r="A1141" s="236"/>
      <c r="B1141" s="18"/>
      <c r="C1141" s="18"/>
      <c r="D1141" s="213"/>
      <c r="E1141" s="237"/>
      <c r="F1141" s="18"/>
      <c r="G1141" s="18"/>
    </row>
    <row r="1142" spans="1:7" ht="22.5" customHeight="1">
      <c r="A1142" s="236"/>
      <c r="B1142" s="18"/>
      <c r="C1142" s="18"/>
      <c r="D1142" s="213"/>
      <c r="E1142" s="237"/>
      <c r="F1142" s="18"/>
      <c r="G1142" s="18"/>
    </row>
    <row r="1143" spans="1:7" ht="22.5" customHeight="1">
      <c r="A1143" s="236"/>
      <c r="B1143" s="18"/>
      <c r="C1143" s="18"/>
      <c r="D1143" s="213"/>
      <c r="E1143" s="237"/>
      <c r="F1143" s="18"/>
      <c r="G1143" s="18"/>
    </row>
    <row r="1144" spans="1:7" ht="22.5" customHeight="1">
      <c r="A1144" s="236"/>
      <c r="B1144" s="18"/>
      <c r="C1144" s="18"/>
      <c r="D1144" s="213"/>
      <c r="E1144" s="237"/>
      <c r="F1144" s="18"/>
      <c r="G1144" s="18"/>
    </row>
    <row r="1145" spans="1:7" ht="22.5" customHeight="1">
      <c r="A1145" s="236"/>
      <c r="B1145" s="18"/>
      <c r="C1145" s="18"/>
      <c r="D1145" s="213"/>
      <c r="E1145" s="237"/>
      <c r="F1145" s="18"/>
      <c r="G1145" s="18"/>
    </row>
    <row r="1146" spans="1:7" ht="22.5" customHeight="1">
      <c r="A1146" s="236"/>
      <c r="B1146" s="18"/>
      <c r="C1146" s="18"/>
      <c r="D1146" s="213"/>
      <c r="E1146" s="237"/>
      <c r="F1146" s="18"/>
      <c r="G1146" s="18"/>
    </row>
    <row r="1147" spans="1:7" ht="22.5" customHeight="1">
      <c r="A1147" s="236"/>
      <c r="B1147" s="18"/>
      <c r="C1147" s="18"/>
      <c r="D1147" s="213"/>
      <c r="E1147" s="237"/>
      <c r="F1147" s="18"/>
      <c r="G1147" s="18"/>
    </row>
    <row r="1148" spans="1:7" ht="22.5" customHeight="1">
      <c r="A1148" s="236"/>
      <c r="B1148" s="18"/>
      <c r="C1148" s="18"/>
      <c r="D1148" s="213"/>
      <c r="E1148" s="237"/>
      <c r="F1148" s="18"/>
      <c r="G1148" s="18"/>
    </row>
    <row r="1149" spans="1:7" ht="22.5" customHeight="1">
      <c r="A1149" s="236"/>
      <c r="B1149" s="18"/>
      <c r="C1149" s="18"/>
      <c r="D1149" s="213"/>
      <c r="E1149" s="237"/>
      <c r="F1149" s="18"/>
      <c r="G1149" s="18"/>
    </row>
    <row r="1150" spans="1:7" ht="22.5" customHeight="1">
      <c r="A1150" s="236"/>
      <c r="B1150" s="18"/>
      <c r="C1150" s="18"/>
      <c r="D1150" s="213"/>
      <c r="E1150" s="237"/>
      <c r="F1150" s="18"/>
      <c r="G1150" s="18"/>
    </row>
    <row r="1151" spans="1:7" ht="22.5" customHeight="1">
      <c r="A1151" s="236"/>
      <c r="B1151" s="18"/>
      <c r="C1151" s="18"/>
      <c r="D1151" s="213"/>
      <c r="E1151" s="237"/>
      <c r="F1151" s="18"/>
      <c r="G1151" s="18"/>
    </row>
    <row r="1152" spans="1:7" ht="22.5" customHeight="1">
      <c r="A1152" s="236"/>
      <c r="B1152" s="18"/>
      <c r="C1152" s="18"/>
      <c r="D1152" s="213"/>
      <c r="E1152" s="237"/>
      <c r="F1152" s="18"/>
      <c r="G1152" s="18"/>
    </row>
    <row r="1153" spans="1:7" ht="22.5" customHeight="1">
      <c r="A1153" s="236"/>
      <c r="B1153" s="18"/>
      <c r="C1153" s="18"/>
      <c r="D1153" s="213"/>
      <c r="E1153" s="237"/>
      <c r="F1153" s="18"/>
      <c r="G1153" s="18"/>
    </row>
    <row r="1154" spans="1:7" ht="22.5" customHeight="1">
      <c r="A1154" s="236"/>
      <c r="B1154" s="18"/>
      <c r="C1154" s="18"/>
      <c r="D1154" s="213"/>
      <c r="E1154" s="237"/>
      <c r="F1154" s="18"/>
      <c r="G1154" s="18"/>
    </row>
    <row r="1155" spans="1:7" ht="22.5" customHeight="1">
      <c r="A1155" s="236"/>
      <c r="B1155" s="18"/>
      <c r="C1155" s="18"/>
      <c r="D1155" s="213"/>
      <c r="E1155" s="237"/>
      <c r="F1155" s="18"/>
      <c r="G1155" s="18"/>
    </row>
    <row r="1156" spans="1:7" ht="22.5" customHeight="1">
      <c r="A1156" s="236"/>
      <c r="B1156" s="18"/>
      <c r="C1156" s="18"/>
      <c r="D1156" s="213"/>
      <c r="E1156" s="237"/>
      <c r="F1156" s="18"/>
      <c r="G1156" s="18"/>
    </row>
    <row r="1157" spans="1:7" ht="22.5" customHeight="1">
      <c r="A1157" s="236"/>
      <c r="B1157" s="18"/>
      <c r="C1157" s="18"/>
      <c r="D1157" s="213"/>
      <c r="E1157" s="237"/>
      <c r="F1157" s="18"/>
      <c r="G1157" s="18"/>
    </row>
    <row r="1158" spans="1:7" ht="22.5" customHeight="1">
      <c r="A1158" s="236"/>
      <c r="B1158" s="18"/>
      <c r="C1158" s="18"/>
      <c r="D1158" s="213"/>
      <c r="E1158" s="237"/>
      <c r="F1158" s="18"/>
      <c r="G1158" s="18"/>
    </row>
    <row r="1159" spans="1:7" ht="22.5" customHeight="1">
      <c r="A1159" s="236"/>
      <c r="B1159" s="18"/>
      <c r="C1159" s="18"/>
      <c r="D1159" s="213"/>
      <c r="E1159" s="237"/>
      <c r="F1159" s="18"/>
      <c r="G1159" s="18"/>
    </row>
    <row r="1160" spans="1:7" ht="22.5" customHeight="1">
      <c r="A1160" s="236"/>
      <c r="B1160" s="18"/>
      <c r="C1160" s="18"/>
      <c r="D1160" s="213"/>
      <c r="E1160" s="237"/>
      <c r="F1160" s="18"/>
      <c r="G1160" s="18"/>
    </row>
    <row r="1161" spans="1:7" ht="22.5" customHeight="1">
      <c r="A1161" s="236"/>
      <c r="B1161" s="18"/>
      <c r="C1161" s="18"/>
      <c r="D1161" s="213"/>
      <c r="E1161" s="237"/>
      <c r="F1161" s="18"/>
      <c r="G1161" s="18"/>
    </row>
    <row r="1162" spans="1:7" ht="22.5" customHeight="1">
      <c r="A1162" s="236"/>
      <c r="B1162" s="18"/>
      <c r="C1162" s="18"/>
      <c r="D1162" s="213"/>
      <c r="E1162" s="237"/>
      <c r="F1162" s="18"/>
      <c r="G1162" s="18"/>
    </row>
    <row r="1163" spans="1:7" ht="22.5" customHeight="1">
      <c r="A1163" s="236"/>
      <c r="B1163" s="18"/>
      <c r="C1163" s="18"/>
      <c r="D1163" s="213"/>
      <c r="E1163" s="237"/>
      <c r="F1163" s="18"/>
      <c r="G1163" s="18"/>
    </row>
    <row r="1164" spans="1:7" ht="22.5" customHeight="1">
      <c r="A1164" s="236"/>
      <c r="B1164" s="18"/>
      <c r="C1164" s="18"/>
      <c r="D1164" s="213"/>
      <c r="E1164" s="237"/>
      <c r="F1164" s="18"/>
      <c r="G1164" s="18"/>
    </row>
    <row r="1165" spans="1:7" ht="22.5" customHeight="1">
      <c r="A1165" s="236"/>
      <c r="B1165" s="18"/>
      <c r="C1165" s="18"/>
      <c r="D1165" s="213"/>
      <c r="E1165" s="237"/>
      <c r="F1165" s="18"/>
      <c r="G1165" s="18"/>
    </row>
    <row r="1166" spans="1:7" ht="22.5" customHeight="1">
      <c r="A1166" s="236"/>
      <c r="B1166" s="18"/>
      <c r="C1166" s="18"/>
      <c r="D1166" s="213"/>
      <c r="E1166" s="237"/>
      <c r="F1166" s="18"/>
      <c r="G1166" s="18"/>
    </row>
    <row r="1167" spans="1:7" ht="22.5" customHeight="1">
      <c r="A1167" s="236"/>
      <c r="B1167" s="18"/>
      <c r="C1167" s="18"/>
      <c r="D1167" s="213"/>
      <c r="E1167" s="237"/>
      <c r="F1167" s="18"/>
      <c r="G1167" s="18"/>
    </row>
    <row r="1168" spans="1:7" ht="22.5" customHeight="1">
      <c r="A1168" s="236"/>
      <c r="B1168" s="18"/>
      <c r="C1168" s="18"/>
      <c r="D1168" s="213"/>
      <c r="E1168" s="237"/>
      <c r="F1168" s="18"/>
      <c r="G1168" s="18"/>
    </row>
    <row r="1169" spans="1:7" ht="22.5" customHeight="1">
      <c r="A1169" s="236"/>
      <c r="B1169" s="18"/>
      <c r="C1169" s="18"/>
      <c r="D1169" s="213"/>
      <c r="E1169" s="237"/>
      <c r="F1169" s="18"/>
      <c r="G1169" s="18"/>
    </row>
    <row r="1170" spans="1:7" ht="22.5" customHeight="1">
      <c r="A1170" s="236"/>
      <c r="B1170" s="18"/>
      <c r="C1170" s="18"/>
      <c r="D1170" s="213"/>
      <c r="E1170" s="237"/>
      <c r="F1170" s="18"/>
      <c r="G1170" s="18"/>
    </row>
    <row r="1171" spans="1:7" ht="22.5" customHeight="1">
      <c r="A1171" s="236"/>
      <c r="B1171" s="18"/>
      <c r="C1171" s="18"/>
      <c r="D1171" s="213"/>
      <c r="E1171" s="237"/>
      <c r="F1171" s="18"/>
      <c r="G1171" s="18"/>
    </row>
    <row r="1172" spans="1:7" ht="22.5" customHeight="1">
      <c r="A1172" s="236"/>
      <c r="B1172" s="18"/>
      <c r="C1172" s="18"/>
      <c r="D1172" s="213"/>
      <c r="E1172" s="237"/>
      <c r="F1172" s="18"/>
      <c r="G1172" s="18"/>
    </row>
    <row r="1173" spans="1:7" ht="22.5" customHeight="1">
      <c r="A1173" s="236"/>
      <c r="B1173" s="18"/>
      <c r="C1173" s="18"/>
      <c r="D1173" s="213"/>
      <c r="E1173" s="237"/>
      <c r="F1173" s="18"/>
      <c r="G1173" s="18"/>
    </row>
    <row r="1174" spans="1:7" ht="22.5" customHeight="1">
      <c r="A1174" s="236"/>
      <c r="B1174" s="18"/>
      <c r="C1174" s="18"/>
      <c r="D1174" s="213"/>
      <c r="E1174" s="237"/>
      <c r="F1174" s="18"/>
      <c r="G1174" s="18"/>
    </row>
    <row r="1175" spans="1:7" ht="22.5" customHeight="1">
      <c r="A1175" s="236"/>
      <c r="B1175" s="18"/>
      <c r="C1175" s="18"/>
      <c r="D1175" s="213"/>
      <c r="E1175" s="237"/>
      <c r="F1175" s="18"/>
      <c r="G1175" s="18"/>
    </row>
    <row r="1176" spans="1:7" ht="22.5" customHeight="1">
      <c r="A1176" s="236"/>
      <c r="B1176" s="18"/>
      <c r="C1176" s="18"/>
      <c r="D1176" s="213"/>
      <c r="E1176" s="237"/>
      <c r="F1176" s="18"/>
      <c r="G1176" s="18"/>
    </row>
    <row r="1177" spans="1:7" ht="22.5" customHeight="1">
      <c r="A1177" s="236"/>
      <c r="B1177" s="18"/>
      <c r="C1177" s="18"/>
      <c r="D1177" s="213"/>
      <c r="E1177" s="237"/>
      <c r="F1177" s="18"/>
      <c r="G1177" s="18"/>
    </row>
    <row r="1178" spans="1:7" ht="22.5" customHeight="1">
      <c r="A1178" s="236"/>
      <c r="B1178" s="18"/>
      <c r="C1178" s="18"/>
      <c r="D1178" s="213"/>
      <c r="E1178" s="237"/>
      <c r="F1178" s="18"/>
      <c r="G1178" s="18"/>
    </row>
    <row r="1179" spans="1:7" ht="22.5" customHeight="1">
      <c r="A1179" s="236"/>
      <c r="B1179" s="18"/>
      <c r="C1179" s="18"/>
      <c r="D1179" s="213"/>
      <c r="E1179" s="237"/>
      <c r="F1179" s="18"/>
      <c r="G1179" s="18"/>
    </row>
    <row r="1180" spans="1:7" ht="22.5" customHeight="1">
      <c r="A1180" s="236"/>
      <c r="B1180" s="18"/>
      <c r="C1180" s="18"/>
      <c r="D1180" s="213"/>
      <c r="E1180" s="237"/>
      <c r="F1180" s="18"/>
      <c r="G1180" s="18"/>
    </row>
    <row r="1181" spans="1:7" ht="22.5" customHeight="1">
      <c r="A1181" s="236"/>
      <c r="B1181" s="18"/>
      <c r="C1181" s="18"/>
      <c r="D1181" s="213"/>
      <c r="E1181" s="237"/>
      <c r="F1181" s="18"/>
      <c r="G1181" s="18"/>
    </row>
    <row r="1182" spans="1:7" ht="22.5" customHeight="1">
      <c r="A1182" s="236"/>
      <c r="B1182" s="18"/>
      <c r="C1182" s="18"/>
      <c r="D1182" s="213"/>
      <c r="E1182" s="237"/>
      <c r="F1182" s="18"/>
      <c r="G1182" s="18"/>
    </row>
    <row r="1183" spans="1:7" ht="22.5" customHeight="1">
      <c r="A1183" s="236"/>
      <c r="B1183" s="18"/>
      <c r="C1183" s="18"/>
      <c r="D1183" s="213"/>
      <c r="E1183" s="237"/>
      <c r="F1183" s="18"/>
      <c r="G1183" s="18"/>
    </row>
    <row r="1184" spans="1:7" ht="22.5" customHeight="1">
      <c r="A1184" s="236"/>
      <c r="B1184" s="18"/>
      <c r="C1184" s="18"/>
      <c r="D1184" s="213"/>
      <c r="E1184" s="237"/>
      <c r="F1184" s="18"/>
      <c r="G1184" s="18"/>
    </row>
    <row r="1185" spans="1:7" ht="22.5" customHeight="1">
      <c r="A1185" s="236"/>
      <c r="B1185" s="18"/>
      <c r="C1185" s="18"/>
      <c r="D1185" s="213"/>
      <c r="E1185" s="237"/>
      <c r="F1185" s="18"/>
      <c r="G1185" s="18"/>
    </row>
    <row r="1186" spans="1:7" ht="22.5" customHeight="1">
      <c r="A1186" s="236"/>
      <c r="B1186" s="18"/>
      <c r="C1186" s="18"/>
      <c r="D1186" s="213"/>
      <c r="E1186" s="237"/>
      <c r="F1186" s="18"/>
      <c r="G1186" s="18"/>
    </row>
    <row r="1187" spans="1:7" ht="22.5" customHeight="1">
      <c r="A1187" s="236"/>
      <c r="B1187" s="18"/>
      <c r="C1187" s="18"/>
      <c r="D1187" s="213"/>
      <c r="E1187" s="237"/>
      <c r="F1187" s="18"/>
      <c r="G1187" s="18"/>
    </row>
    <row r="1188" spans="1:7" ht="22.5" customHeight="1">
      <c r="A1188" s="236"/>
      <c r="B1188" s="18"/>
      <c r="C1188" s="18"/>
      <c r="D1188" s="213"/>
      <c r="E1188" s="237"/>
      <c r="F1188" s="18"/>
      <c r="G1188" s="18"/>
    </row>
    <row r="1189" spans="1:7" ht="22.5" customHeight="1">
      <c r="A1189" s="236"/>
      <c r="B1189" s="18"/>
      <c r="C1189" s="18"/>
      <c r="D1189" s="213"/>
      <c r="E1189" s="237"/>
      <c r="F1189" s="18"/>
      <c r="G1189" s="18"/>
    </row>
    <row r="1190" spans="1:7" ht="22.5" customHeight="1">
      <c r="A1190" s="236"/>
      <c r="B1190" s="18"/>
      <c r="C1190" s="18"/>
      <c r="D1190" s="213"/>
      <c r="E1190" s="237"/>
      <c r="F1190" s="18"/>
      <c r="G1190" s="18"/>
    </row>
    <row r="1191" spans="1:7" ht="22.5" customHeight="1">
      <c r="A1191" s="236"/>
      <c r="B1191" s="18"/>
      <c r="C1191" s="18"/>
      <c r="D1191" s="213"/>
      <c r="E1191" s="237"/>
      <c r="F1191" s="18"/>
      <c r="G1191" s="18"/>
    </row>
    <row r="1192" spans="1:7" ht="22.5" customHeight="1">
      <c r="A1192" s="236"/>
      <c r="B1192" s="18"/>
      <c r="C1192" s="18"/>
      <c r="D1192" s="213"/>
      <c r="E1192" s="237"/>
      <c r="F1192" s="18"/>
      <c r="G1192" s="18"/>
    </row>
    <row r="1193" spans="1:7" ht="22.5" customHeight="1">
      <c r="A1193" s="236"/>
      <c r="B1193" s="18"/>
      <c r="C1193" s="18"/>
      <c r="D1193" s="213"/>
      <c r="E1193" s="237"/>
      <c r="F1193" s="18"/>
      <c r="G1193" s="18"/>
    </row>
    <row r="1194" spans="1:7" ht="22.5" customHeight="1">
      <c r="A1194" s="236"/>
      <c r="B1194" s="18"/>
      <c r="C1194" s="18"/>
      <c r="D1194" s="213"/>
      <c r="E1194" s="237"/>
      <c r="F1194" s="18"/>
      <c r="G1194" s="18"/>
    </row>
    <row r="1195" spans="1:7" ht="22.5" customHeight="1">
      <c r="A1195" s="236"/>
      <c r="B1195" s="18"/>
      <c r="C1195" s="18"/>
      <c r="D1195" s="213"/>
      <c r="E1195" s="237"/>
      <c r="F1195" s="18"/>
      <c r="G1195" s="18"/>
    </row>
    <row r="1196" spans="1:7" ht="22.5" customHeight="1">
      <c r="A1196" s="236"/>
      <c r="B1196" s="18"/>
      <c r="C1196" s="18"/>
      <c r="D1196" s="213"/>
      <c r="E1196" s="237"/>
      <c r="F1196" s="18"/>
      <c r="G1196" s="18"/>
    </row>
    <row r="1197" spans="1:7" ht="22.5" customHeight="1">
      <c r="A1197" s="236"/>
      <c r="B1197" s="18"/>
      <c r="C1197" s="18"/>
      <c r="D1197" s="213"/>
      <c r="E1197" s="237"/>
      <c r="F1197" s="18"/>
      <c r="G1197" s="18"/>
    </row>
    <row r="1198" spans="1:7" ht="22.5" customHeight="1">
      <c r="A1198" s="236"/>
      <c r="B1198" s="18"/>
      <c r="C1198" s="18"/>
      <c r="D1198" s="213"/>
      <c r="E1198" s="237"/>
      <c r="F1198" s="18"/>
      <c r="G1198" s="18"/>
    </row>
    <row r="1199" spans="1:7" ht="22.5" customHeight="1">
      <c r="A1199" s="236"/>
      <c r="B1199" s="18"/>
      <c r="C1199" s="18"/>
      <c r="D1199" s="213"/>
      <c r="E1199" s="237"/>
      <c r="F1199" s="18"/>
      <c r="G1199" s="18"/>
    </row>
    <row r="1200" spans="1:7" ht="22.5" customHeight="1">
      <c r="A1200" s="236"/>
      <c r="B1200" s="18"/>
      <c r="C1200" s="18"/>
      <c r="D1200" s="213"/>
      <c r="E1200" s="237"/>
      <c r="F1200" s="18"/>
      <c r="G1200" s="18"/>
    </row>
    <row r="1201" spans="1:7" ht="22.5" customHeight="1">
      <c r="A1201" s="236"/>
      <c r="B1201" s="18"/>
      <c r="C1201" s="18"/>
      <c r="D1201" s="213"/>
      <c r="E1201" s="237"/>
      <c r="F1201" s="18"/>
      <c r="G1201" s="18"/>
    </row>
    <row r="1202" spans="1:7" ht="22.5" customHeight="1">
      <c r="A1202" s="236"/>
      <c r="B1202" s="18"/>
      <c r="C1202" s="18"/>
      <c r="D1202" s="213"/>
      <c r="E1202" s="237"/>
      <c r="F1202" s="18"/>
      <c r="G1202" s="18"/>
    </row>
    <row r="1203" spans="1:7" ht="22.5" customHeight="1">
      <c r="A1203" s="236"/>
      <c r="B1203" s="18"/>
      <c r="C1203" s="18"/>
      <c r="D1203" s="213"/>
      <c r="E1203" s="237"/>
      <c r="F1203" s="18"/>
      <c r="G1203" s="18"/>
    </row>
    <row r="1204" spans="1:7" ht="22.5" customHeight="1">
      <c r="A1204" s="236"/>
      <c r="B1204" s="18"/>
      <c r="C1204" s="18"/>
      <c r="D1204" s="213"/>
      <c r="E1204" s="237"/>
      <c r="F1204" s="18"/>
      <c r="G1204" s="18"/>
    </row>
    <row r="1205" spans="1:7" ht="22.5" customHeight="1">
      <c r="A1205" s="236"/>
      <c r="B1205" s="18"/>
      <c r="C1205" s="18"/>
      <c r="D1205" s="213"/>
      <c r="E1205" s="237"/>
      <c r="F1205" s="18"/>
      <c r="G1205" s="18"/>
    </row>
    <row r="1206" spans="1:7" ht="22.5" customHeight="1">
      <c r="A1206" s="236"/>
      <c r="B1206" s="18"/>
      <c r="C1206" s="18"/>
      <c r="D1206" s="213"/>
      <c r="E1206" s="237"/>
      <c r="F1206" s="18"/>
      <c r="G1206" s="18"/>
    </row>
    <row r="1207" spans="1:7" ht="22.5" customHeight="1">
      <c r="A1207" s="236"/>
      <c r="B1207" s="18"/>
      <c r="C1207" s="18"/>
      <c r="D1207" s="213"/>
      <c r="E1207" s="237"/>
      <c r="F1207" s="18"/>
      <c r="G1207" s="18"/>
    </row>
    <row r="1208" spans="1:7" ht="22.5" customHeight="1">
      <c r="A1208" s="236"/>
      <c r="B1208" s="18"/>
      <c r="C1208" s="18"/>
      <c r="D1208" s="213"/>
      <c r="E1208" s="237"/>
      <c r="F1208" s="18"/>
      <c r="G1208" s="18"/>
    </row>
    <row r="1209" spans="1:7" ht="22.5" customHeight="1">
      <c r="A1209" s="236"/>
      <c r="B1209" s="18"/>
      <c r="C1209" s="18"/>
      <c r="D1209" s="213"/>
      <c r="E1209" s="237"/>
      <c r="F1209" s="18"/>
      <c r="G1209" s="18"/>
    </row>
    <row r="1210" spans="1:7" ht="22.5" customHeight="1">
      <c r="A1210" s="236"/>
      <c r="B1210" s="18"/>
      <c r="C1210" s="18"/>
      <c r="D1210" s="213"/>
      <c r="E1210" s="237"/>
      <c r="F1210" s="18"/>
      <c r="G1210" s="18"/>
    </row>
    <row r="1211" spans="1:7" ht="22.5" customHeight="1">
      <c r="A1211" s="236"/>
      <c r="B1211" s="18"/>
      <c r="C1211" s="18"/>
      <c r="D1211" s="213"/>
      <c r="E1211" s="237"/>
      <c r="F1211" s="18"/>
      <c r="G1211" s="18"/>
    </row>
    <row r="1212" spans="1:7" ht="22.5" customHeight="1">
      <c r="A1212" s="236"/>
      <c r="B1212" s="18"/>
      <c r="C1212" s="18"/>
      <c r="D1212" s="213"/>
      <c r="E1212" s="237"/>
      <c r="F1212" s="18"/>
      <c r="G1212" s="18"/>
    </row>
    <row r="1213" spans="1:7" ht="22.5" customHeight="1">
      <c r="A1213" s="236"/>
      <c r="B1213" s="18"/>
      <c r="C1213" s="18"/>
      <c r="D1213" s="213"/>
      <c r="E1213" s="237"/>
      <c r="F1213" s="18"/>
      <c r="G1213" s="18"/>
    </row>
    <row r="1214" spans="1:7" ht="22.5" customHeight="1">
      <c r="A1214" s="236"/>
      <c r="B1214" s="18"/>
      <c r="C1214" s="18"/>
      <c r="D1214" s="213"/>
      <c r="E1214" s="237"/>
      <c r="F1214" s="18"/>
      <c r="G1214" s="18"/>
    </row>
    <row r="1215" spans="1:7" ht="22.5" customHeight="1">
      <c r="A1215" s="236"/>
      <c r="B1215" s="18"/>
      <c r="C1215" s="18"/>
      <c r="D1215" s="213"/>
      <c r="E1215" s="237"/>
      <c r="F1215" s="18"/>
      <c r="G1215" s="18"/>
    </row>
    <row r="1216" spans="1:7" ht="22.5" customHeight="1">
      <c r="A1216" s="236"/>
      <c r="B1216" s="18"/>
      <c r="C1216" s="18"/>
      <c r="D1216" s="213"/>
      <c r="E1216" s="237"/>
      <c r="F1216" s="18"/>
      <c r="G1216" s="18"/>
    </row>
    <row r="1217" spans="1:7" ht="22.5" customHeight="1">
      <c r="A1217" s="236"/>
      <c r="B1217" s="18"/>
      <c r="C1217" s="18"/>
      <c r="D1217" s="213"/>
      <c r="E1217" s="237"/>
      <c r="F1217" s="18"/>
      <c r="G1217" s="18"/>
    </row>
    <row r="1218" spans="1:7" ht="22.5" customHeight="1">
      <c r="A1218" s="236"/>
      <c r="B1218" s="18"/>
      <c r="C1218" s="18"/>
      <c r="D1218" s="213"/>
      <c r="E1218" s="237"/>
      <c r="F1218" s="18"/>
      <c r="G1218" s="18"/>
    </row>
    <row r="1219" spans="1:7" ht="22.5" customHeight="1">
      <c r="A1219" s="236"/>
      <c r="B1219" s="18"/>
      <c r="C1219" s="18"/>
      <c r="D1219" s="213"/>
      <c r="E1219" s="237"/>
      <c r="F1219" s="18"/>
      <c r="G1219" s="18"/>
    </row>
    <row r="1220" spans="1:7" ht="22.5" customHeight="1">
      <c r="A1220" s="236"/>
      <c r="B1220" s="18"/>
      <c r="C1220" s="18"/>
      <c r="D1220" s="213"/>
      <c r="E1220" s="237"/>
      <c r="F1220" s="18"/>
      <c r="G1220" s="18"/>
    </row>
    <row r="1221" spans="1:7" ht="22.5" customHeight="1">
      <c r="A1221" s="236"/>
      <c r="B1221" s="18"/>
      <c r="C1221" s="18"/>
      <c r="D1221" s="213"/>
      <c r="E1221" s="237"/>
      <c r="F1221" s="18"/>
      <c r="G1221" s="18"/>
    </row>
    <row r="1222" spans="1:7" ht="22.5" customHeight="1">
      <c r="A1222" s="236"/>
      <c r="B1222" s="18"/>
      <c r="C1222" s="18"/>
      <c r="D1222" s="213"/>
      <c r="E1222" s="237"/>
      <c r="F1222" s="18"/>
      <c r="G1222" s="18"/>
    </row>
    <row r="1223" spans="1:7" ht="22.5" customHeight="1">
      <c r="A1223" s="236"/>
      <c r="B1223" s="18"/>
      <c r="C1223" s="18"/>
      <c r="D1223" s="213"/>
      <c r="E1223" s="237"/>
      <c r="F1223" s="18"/>
      <c r="G1223" s="18"/>
    </row>
    <row r="1224" spans="1:7" ht="22.5" customHeight="1">
      <c r="A1224" s="236"/>
      <c r="B1224" s="18"/>
      <c r="C1224" s="18"/>
      <c r="D1224" s="213"/>
      <c r="E1224" s="237"/>
      <c r="F1224" s="18"/>
      <c r="G1224" s="18"/>
    </row>
    <row r="1225" spans="1:7" ht="22.5" customHeight="1">
      <c r="A1225" s="236"/>
      <c r="B1225" s="18"/>
      <c r="C1225" s="18"/>
      <c r="D1225" s="213"/>
      <c r="E1225" s="237"/>
      <c r="F1225" s="18"/>
      <c r="G1225" s="18"/>
    </row>
    <row r="1226" spans="1:7" ht="22.5" customHeight="1">
      <c r="A1226" s="236"/>
      <c r="B1226" s="18"/>
      <c r="C1226" s="18"/>
      <c r="D1226" s="213"/>
      <c r="E1226" s="237"/>
      <c r="F1226" s="18"/>
      <c r="G1226" s="18"/>
    </row>
    <row r="1227" spans="1:7" ht="22.5" customHeight="1">
      <c r="A1227" s="236"/>
      <c r="B1227" s="18"/>
      <c r="C1227" s="18"/>
      <c r="D1227" s="213"/>
      <c r="E1227" s="237"/>
      <c r="F1227" s="18"/>
      <c r="G1227" s="18"/>
    </row>
    <row r="1228" spans="1:7" ht="22.5" customHeight="1">
      <c r="A1228" s="236"/>
      <c r="B1228" s="18"/>
      <c r="C1228" s="18"/>
      <c r="D1228" s="213"/>
      <c r="E1228" s="237"/>
      <c r="F1228" s="18"/>
      <c r="G1228" s="18"/>
    </row>
    <row r="1229" spans="1:7" ht="22.5" customHeight="1">
      <c r="A1229" s="236"/>
      <c r="B1229" s="18"/>
      <c r="C1229" s="18"/>
      <c r="D1229" s="213"/>
      <c r="E1229" s="237"/>
      <c r="F1229" s="18"/>
      <c r="G1229" s="18"/>
    </row>
    <row r="1230" spans="1:7" ht="22.5" customHeight="1">
      <c r="A1230" s="236"/>
      <c r="B1230" s="18"/>
      <c r="C1230" s="18"/>
      <c r="D1230" s="213"/>
      <c r="E1230" s="237"/>
      <c r="F1230" s="18"/>
      <c r="G1230" s="18"/>
    </row>
    <row r="1231" spans="1:7" ht="22.5" customHeight="1">
      <c r="A1231" s="236"/>
      <c r="B1231" s="18"/>
      <c r="C1231" s="18"/>
      <c r="D1231" s="213"/>
      <c r="E1231" s="237"/>
      <c r="F1231" s="18"/>
      <c r="G1231" s="18"/>
    </row>
    <row r="1232" spans="1:7" ht="22.5" customHeight="1">
      <c r="A1232" s="236"/>
      <c r="B1232" s="18"/>
      <c r="C1232" s="18"/>
      <c r="D1232" s="213"/>
      <c r="E1232" s="237"/>
      <c r="F1232" s="18"/>
      <c r="G1232" s="18"/>
    </row>
    <row r="1233" spans="1:7" ht="22.5" customHeight="1">
      <c r="A1233" s="236"/>
      <c r="B1233" s="18"/>
      <c r="C1233" s="18"/>
      <c r="D1233" s="213"/>
      <c r="E1233" s="237"/>
      <c r="F1233" s="18"/>
      <c r="G1233" s="18"/>
    </row>
    <row r="1234" spans="1:7" ht="22.5" customHeight="1">
      <c r="A1234" s="236"/>
      <c r="B1234" s="18"/>
      <c r="C1234" s="18"/>
      <c r="D1234" s="213"/>
      <c r="E1234" s="237"/>
      <c r="F1234" s="18"/>
      <c r="G1234" s="18"/>
    </row>
    <row r="1235" spans="1:7" ht="22.5" customHeight="1">
      <c r="A1235" s="236"/>
      <c r="B1235" s="18"/>
      <c r="C1235" s="18"/>
      <c r="D1235" s="213"/>
      <c r="E1235" s="237"/>
      <c r="F1235" s="18"/>
      <c r="G1235" s="18"/>
    </row>
    <row r="1236" spans="1:7" ht="22.5" customHeight="1">
      <c r="A1236" s="236"/>
      <c r="B1236" s="18"/>
      <c r="C1236" s="18"/>
      <c r="D1236" s="213"/>
      <c r="E1236" s="237"/>
      <c r="F1236" s="18"/>
      <c r="G1236" s="18"/>
    </row>
    <row r="1237" spans="1:7" ht="22.5" customHeight="1">
      <c r="A1237" s="236"/>
      <c r="B1237" s="18"/>
      <c r="C1237" s="18"/>
      <c r="D1237" s="213"/>
      <c r="E1237" s="237"/>
      <c r="F1237" s="18"/>
      <c r="G1237" s="18"/>
    </row>
    <row r="1238" spans="1:7" ht="22.5" customHeight="1">
      <c r="A1238" s="236"/>
      <c r="B1238" s="18"/>
      <c r="C1238" s="18"/>
      <c r="D1238" s="213"/>
      <c r="E1238" s="237"/>
      <c r="F1238" s="18"/>
      <c r="G1238" s="18"/>
    </row>
    <row r="1239" spans="1:7" ht="22.5" customHeight="1">
      <c r="A1239" s="236"/>
      <c r="B1239" s="18"/>
      <c r="C1239" s="18"/>
      <c r="D1239" s="213"/>
      <c r="E1239" s="237"/>
      <c r="F1239" s="18"/>
      <c r="G1239" s="18"/>
    </row>
    <row r="1240" spans="1:7" ht="22.5" customHeight="1">
      <c r="A1240" s="236"/>
      <c r="B1240" s="18"/>
      <c r="C1240" s="18"/>
      <c r="D1240" s="213"/>
      <c r="E1240" s="237"/>
      <c r="F1240" s="18"/>
      <c r="G1240" s="18"/>
    </row>
    <row r="1241" spans="1:7" ht="22.5" customHeight="1">
      <c r="A1241" s="236"/>
      <c r="B1241" s="18"/>
      <c r="C1241" s="18"/>
      <c r="D1241" s="213"/>
      <c r="E1241" s="237"/>
      <c r="F1241" s="18"/>
      <c r="G1241" s="18"/>
    </row>
    <row r="1242" spans="1:7" ht="22.5" customHeight="1">
      <c r="A1242" s="236"/>
      <c r="B1242" s="18"/>
      <c r="C1242" s="18"/>
      <c r="D1242" s="213"/>
      <c r="E1242" s="237"/>
      <c r="F1242" s="18"/>
      <c r="G1242" s="18"/>
    </row>
    <row r="1243" spans="1:7" ht="22.5" customHeight="1">
      <c r="A1243" s="236"/>
      <c r="B1243" s="18"/>
      <c r="C1243" s="18"/>
      <c r="D1243" s="213"/>
      <c r="E1243" s="237"/>
      <c r="F1243" s="18"/>
      <c r="G1243" s="18"/>
    </row>
    <row r="1244" spans="1:7" ht="22.5" customHeight="1">
      <c r="A1244" s="236"/>
      <c r="B1244" s="18"/>
      <c r="C1244" s="18"/>
      <c r="D1244" s="213"/>
      <c r="E1244" s="237"/>
      <c r="F1244" s="18"/>
      <c r="G1244" s="18"/>
    </row>
    <row r="1245" spans="1:7" ht="22.5" customHeight="1">
      <c r="A1245" s="236"/>
      <c r="B1245" s="18"/>
      <c r="C1245" s="18"/>
      <c r="D1245" s="213"/>
      <c r="E1245" s="237"/>
      <c r="F1245" s="18"/>
      <c r="G1245" s="18"/>
    </row>
    <row r="1246" spans="1:7" ht="22.5" customHeight="1">
      <c r="A1246" s="236"/>
      <c r="B1246" s="18"/>
      <c r="C1246" s="18"/>
      <c r="D1246" s="213"/>
      <c r="E1246" s="237"/>
      <c r="F1246" s="18"/>
      <c r="G1246" s="18"/>
    </row>
    <row r="1247" spans="1:7" ht="22.5" customHeight="1">
      <c r="A1247" s="236"/>
      <c r="B1247" s="18"/>
      <c r="C1247" s="18"/>
      <c r="D1247" s="213"/>
      <c r="E1247" s="237"/>
      <c r="F1247" s="18"/>
      <c r="G1247" s="18"/>
    </row>
    <row r="1248" spans="1:7" ht="22.5" customHeight="1">
      <c r="A1248" s="236"/>
      <c r="B1248" s="18"/>
      <c r="C1248" s="18"/>
      <c r="D1248" s="213"/>
      <c r="E1248" s="237"/>
      <c r="F1248" s="18"/>
      <c r="G1248" s="18"/>
    </row>
    <row r="1249" spans="1:7" ht="22.5" customHeight="1">
      <c r="A1249" s="236"/>
      <c r="B1249" s="18"/>
      <c r="C1249" s="18"/>
      <c r="D1249" s="213"/>
      <c r="E1249" s="237"/>
      <c r="F1249" s="18"/>
      <c r="G1249" s="18"/>
    </row>
    <row r="1250" spans="1:7" ht="22.5" customHeight="1">
      <c r="A1250" s="236"/>
      <c r="B1250" s="18"/>
      <c r="C1250" s="18"/>
      <c r="D1250" s="213"/>
      <c r="E1250" s="237"/>
      <c r="F1250" s="18"/>
      <c r="G1250" s="18"/>
    </row>
    <row r="1251" spans="1:7" ht="22.5" customHeight="1">
      <c r="A1251" s="236"/>
      <c r="B1251" s="18"/>
      <c r="C1251" s="18"/>
      <c r="D1251" s="213"/>
      <c r="E1251" s="237"/>
      <c r="F1251" s="18"/>
      <c r="G1251" s="18"/>
    </row>
    <row r="1252" spans="1:7" ht="22.5" customHeight="1">
      <c r="A1252" s="236"/>
      <c r="B1252" s="18"/>
      <c r="C1252" s="18"/>
      <c r="D1252" s="213"/>
      <c r="E1252" s="237"/>
      <c r="F1252" s="18"/>
      <c r="G1252" s="18"/>
    </row>
    <row r="1253" spans="1:7" ht="22.5" customHeight="1">
      <c r="A1253" s="236"/>
      <c r="B1253" s="18"/>
      <c r="C1253" s="18"/>
      <c r="D1253" s="213"/>
      <c r="E1253" s="237"/>
      <c r="F1253" s="18"/>
      <c r="G1253" s="18"/>
    </row>
    <row r="1254" spans="1:7" ht="22.5" customHeight="1">
      <c r="A1254" s="236"/>
      <c r="B1254" s="18"/>
      <c r="C1254" s="18"/>
      <c r="D1254" s="213"/>
      <c r="E1254" s="237"/>
      <c r="F1254" s="18"/>
      <c r="G1254" s="18"/>
    </row>
    <row r="1255" spans="1:7" ht="22.5" customHeight="1">
      <c r="A1255" s="236"/>
      <c r="B1255" s="18"/>
      <c r="C1255" s="18"/>
      <c r="D1255" s="213"/>
      <c r="E1255" s="237"/>
      <c r="F1255" s="18"/>
      <c r="G1255" s="18"/>
    </row>
    <row r="1256" spans="1:7" ht="22.5" customHeight="1">
      <c r="A1256" s="236"/>
      <c r="B1256" s="18"/>
      <c r="C1256" s="18"/>
      <c r="D1256" s="213"/>
      <c r="E1256" s="237"/>
      <c r="F1256" s="18"/>
      <c r="G1256" s="18"/>
    </row>
    <row r="1257" spans="1:7" ht="22.5" customHeight="1">
      <c r="A1257" s="236"/>
      <c r="B1257" s="18"/>
      <c r="C1257" s="18"/>
      <c r="D1257" s="213"/>
      <c r="E1257" s="237"/>
      <c r="F1257" s="18"/>
      <c r="G1257" s="18"/>
    </row>
    <row r="1258" spans="1:7" ht="22.5" customHeight="1">
      <c r="A1258" s="236"/>
      <c r="B1258" s="18"/>
      <c r="C1258" s="18"/>
      <c r="D1258" s="213"/>
      <c r="E1258" s="237"/>
      <c r="F1258" s="18"/>
      <c r="G1258" s="18"/>
    </row>
    <row r="1259" spans="1:7" ht="22.5" customHeight="1">
      <c r="A1259" s="236"/>
      <c r="B1259" s="18"/>
      <c r="C1259" s="18"/>
      <c r="D1259" s="213"/>
      <c r="E1259" s="237"/>
      <c r="F1259" s="18"/>
      <c r="G1259" s="18"/>
    </row>
    <row r="1260" spans="1:7" ht="22.5" customHeight="1">
      <c r="A1260" s="236"/>
      <c r="B1260" s="18"/>
      <c r="C1260" s="18"/>
      <c r="D1260" s="213"/>
      <c r="E1260" s="237"/>
      <c r="F1260" s="18"/>
      <c r="G1260" s="18"/>
    </row>
    <row r="1261" spans="1:7" ht="22.5" customHeight="1">
      <c r="A1261" s="236"/>
      <c r="B1261" s="18"/>
      <c r="C1261" s="18"/>
      <c r="D1261" s="213"/>
      <c r="E1261" s="237"/>
      <c r="F1261" s="18"/>
      <c r="G1261" s="18"/>
    </row>
    <row r="1262" spans="1:7" ht="22.5" customHeight="1">
      <c r="A1262" s="236"/>
      <c r="B1262" s="18"/>
      <c r="C1262" s="18"/>
      <c r="D1262" s="213"/>
      <c r="E1262" s="237"/>
      <c r="F1262" s="18"/>
      <c r="G1262" s="18"/>
    </row>
    <row r="1263" spans="1:7" ht="22.5" customHeight="1">
      <c r="A1263" s="236"/>
      <c r="B1263" s="18"/>
      <c r="C1263" s="18"/>
      <c r="D1263" s="213"/>
      <c r="E1263" s="237"/>
      <c r="F1263" s="18"/>
      <c r="G1263" s="18"/>
    </row>
    <row r="1264" spans="1:7" ht="22.5" customHeight="1">
      <c r="A1264" s="236"/>
      <c r="B1264" s="18"/>
      <c r="C1264" s="18"/>
      <c r="D1264" s="213"/>
      <c r="E1264" s="237"/>
      <c r="F1264" s="18"/>
      <c r="G1264" s="18"/>
    </row>
    <row r="1265" spans="1:7" ht="22.5" customHeight="1">
      <c r="A1265" s="236"/>
      <c r="B1265" s="18"/>
      <c r="C1265" s="18"/>
      <c r="D1265" s="213"/>
      <c r="E1265" s="237"/>
      <c r="F1265" s="18"/>
      <c r="G1265" s="18"/>
    </row>
    <row r="1266" spans="1:7" ht="22.5" customHeight="1">
      <c r="A1266" s="236"/>
      <c r="B1266" s="18"/>
      <c r="C1266" s="18"/>
      <c r="D1266" s="213"/>
      <c r="E1266" s="237"/>
      <c r="F1266" s="18"/>
      <c r="G1266" s="18"/>
    </row>
    <row r="1267" spans="1:7" ht="22.5" customHeight="1">
      <c r="A1267" s="236"/>
      <c r="B1267" s="18"/>
      <c r="C1267" s="18"/>
      <c r="D1267" s="213"/>
      <c r="E1267" s="237"/>
      <c r="F1267" s="18"/>
      <c r="G1267" s="18"/>
    </row>
    <row r="1268" spans="1:7" ht="22.5" customHeight="1">
      <c r="A1268" s="236"/>
      <c r="B1268" s="18"/>
      <c r="C1268" s="18"/>
      <c r="D1268" s="213"/>
      <c r="E1268" s="237"/>
      <c r="F1268" s="18"/>
      <c r="G1268" s="18"/>
    </row>
    <row r="1269" spans="1:7" ht="22.5" customHeight="1">
      <c r="A1269" s="236"/>
      <c r="B1269" s="18"/>
      <c r="C1269" s="18"/>
      <c r="D1269" s="213"/>
      <c r="E1269" s="237"/>
      <c r="F1269" s="18"/>
      <c r="G1269" s="18"/>
    </row>
    <row r="1270" spans="1:7" ht="22.5" customHeight="1">
      <c r="A1270" s="236"/>
      <c r="B1270" s="18"/>
      <c r="C1270" s="18"/>
      <c r="D1270" s="213"/>
      <c r="E1270" s="237"/>
      <c r="F1270" s="18"/>
      <c r="G1270" s="18"/>
    </row>
    <row r="1271" spans="1:7" ht="22.5" customHeight="1">
      <c r="A1271" s="236"/>
      <c r="B1271" s="18"/>
      <c r="C1271" s="18"/>
      <c r="D1271" s="213"/>
      <c r="E1271" s="237"/>
      <c r="F1271" s="18"/>
      <c r="G1271" s="18"/>
    </row>
    <row r="1272" spans="1:7" ht="22.5" customHeight="1">
      <c r="A1272" s="236"/>
      <c r="B1272" s="18"/>
      <c r="C1272" s="18"/>
      <c r="D1272" s="213"/>
      <c r="E1272" s="237"/>
      <c r="F1272" s="18"/>
      <c r="G1272" s="18"/>
    </row>
    <row r="1273" spans="1:7" ht="22.5" customHeight="1">
      <c r="A1273" s="236"/>
      <c r="B1273" s="18"/>
      <c r="C1273" s="18"/>
      <c r="D1273" s="213"/>
      <c r="E1273" s="237"/>
      <c r="F1273" s="18"/>
      <c r="G1273" s="18"/>
    </row>
    <row r="1274" spans="1:7" ht="22.5" customHeight="1">
      <c r="A1274" s="236"/>
      <c r="B1274" s="18"/>
      <c r="C1274" s="18"/>
      <c r="D1274" s="213"/>
      <c r="E1274" s="237"/>
      <c r="F1274" s="18"/>
      <c r="G1274" s="18"/>
    </row>
    <row r="1275" spans="1:7" ht="22.5" customHeight="1">
      <c r="A1275" s="236"/>
      <c r="B1275" s="18"/>
      <c r="C1275" s="18"/>
      <c r="D1275" s="213"/>
      <c r="E1275" s="237"/>
      <c r="F1275" s="18"/>
      <c r="G1275" s="18"/>
    </row>
    <row r="1276" spans="1:7" ht="22.5" customHeight="1">
      <c r="A1276" s="236"/>
      <c r="B1276" s="18"/>
      <c r="C1276" s="18"/>
      <c r="D1276" s="213"/>
      <c r="E1276" s="237"/>
      <c r="F1276" s="18"/>
      <c r="G1276" s="18"/>
    </row>
    <row r="1277" spans="1:7" ht="22.5" customHeight="1">
      <c r="A1277" s="236"/>
      <c r="B1277" s="18"/>
      <c r="C1277" s="18"/>
      <c r="D1277" s="213"/>
      <c r="E1277" s="237"/>
      <c r="F1277" s="18"/>
      <c r="G1277" s="18"/>
    </row>
    <row r="1278" spans="1:7" ht="22.5" customHeight="1">
      <c r="A1278" s="236"/>
      <c r="B1278" s="18"/>
      <c r="C1278" s="18"/>
      <c r="D1278" s="213"/>
      <c r="E1278" s="237"/>
      <c r="F1278" s="18"/>
      <c r="G1278" s="18"/>
    </row>
    <row r="1279" spans="1:7" ht="22.5" customHeight="1">
      <c r="A1279" s="236"/>
      <c r="B1279" s="18"/>
      <c r="C1279" s="18"/>
      <c r="D1279" s="213"/>
      <c r="E1279" s="237"/>
      <c r="F1279" s="18"/>
      <c r="G1279" s="18"/>
    </row>
    <row r="1280" spans="1:7" ht="22.5" customHeight="1">
      <c r="A1280" s="236"/>
      <c r="B1280" s="18"/>
      <c r="C1280" s="18"/>
      <c r="D1280" s="213"/>
      <c r="E1280" s="237"/>
      <c r="F1280" s="18"/>
      <c r="G1280" s="18"/>
    </row>
    <row r="1281" spans="1:7" ht="22.5" customHeight="1">
      <c r="A1281" s="236"/>
      <c r="B1281" s="18"/>
      <c r="C1281" s="18"/>
      <c r="D1281" s="213"/>
      <c r="E1281" s="237"/>
      <c r="F1281" s="18"/>
      <c r="G1281" s="18"/>
    </row>
    <row r="1282" spans="1:7" ht="22.5" customHeight="1">
      <c r="A1282" s="236"/>
      <c r="B1282" s="18"/>
      <c r="C1282" s="18"/>
      <c r="D1282" s="213"/>
      <c r="E1282" s="237"/>
      <c r="F1282" s="18"/>
      <c r="G1282" s="18"/>
    </row>
    <row r="1283" spans="1:7" ht="22.5" customHeight="1">
      <c r="A1283" s="236"/>
      <c r="B1283" s="18"/>
      <c r="C1283" s="18"/>
      <c r="D1283" s="213"/>
      <c r="E1283" s="237"/>
      <c r="F1283" s="18"/>
      <c r="G1283" s="18"/>
    </row>
    <row r="1284" spans="1:7" ht="22.5" customHeight="1">
      <c r="A1284" s="236"/>
      <c r="B1284" s="18"/>
      <c r="C1284" s="18"/>
      <c r="D1284" s="213"/>
      <c r="E1284" s="237"/>
      <c r="F1284" s="18"/>
      <c r="G1284" s="18"/>
    </row>
    <row r="1285" spans="1:7" ht="22.5" customHeight="1">
      <c r="A1285" s="236"/>
      <c r="B1285" s="18"/>
      <c r="C1285" s="18"/>
      <c r="D1285" s="213"/>
      <c r="E1285" s="237"/>
      <c r="F1285" s="18"/>
      <c r="G1285" s="18"/>
    </row>
    <row r="1286" spans="1:7" ht="22.5" customHeight="1">
      <c r="A1286" s="236"/>
      <c r="B1286" s="18"/>
      <c r="C1286" s="18"/>
      <c r="D1286" s="213"/>
      <c r="E1286" s="237"/>
      <c r="F1286" s="18"/>
      <c r="G1286" s="18"/>
    </row>
    <row r="1287" spans="1:7" ht="22.5" customHeight="1">
      <c r="A1287" s="236"/>
      <c r="B1287" s="18"/>
      <c r="C1287" s="18"/>
      <c r="D1287" s="213"/>
      <c r="E1287" s="237"/>
      <c r="F1287" s="18"/>
      <c r="G1287" s="18"/>
    </row>
    <row r="1288" spans="1:7" ht="22.5" customHeight="1">
      <c r="A1288" s="236"/>
      <c r="B1288" s="18"/>
      <c r="C1288" s="18"/>
      <c r="D1288" s="213"/>
      <c r="E1288" s="237"/>
      <c r="F1288" s="18"/>
      <c r="G1288" s="18"/>
    </row>
    <row r="1289" spans="1:7" ht="22.5" customHeight="1">
      <c r="A1289" s="236"/>
      <c r="B1289" s="18"/>
      <c r="C1289" s="18"/>
      <c r="D1289" s="213"/>
      <c r="E1289" s="237"/>
      <c r="F1289" s="18"/>
      <c r="G1289" s="18"/>
    </row>
    <row r="1290" spans="1:7" ht="22.5" customHeight="1">
      <c r="A1290" s="236"/>
      <c r="B1290" s="18"/>
      <c r="C1290" s="18"/>
      <c r="D1290" s="213"/>
      <c r="E1290" s="237"/>
      <c r="F1290" s="18"/>
      <c r="G1290" s="18"/>
    </row>
    <row r="1291" spans="1:7" ht="22.5" customHeight="1">
      <c r="A1291" s="236"/>
      <c r="B1291" s="18"/>
      <c r="C1291" s="18"/>
      <c r="D1291" s="213"/>
      <c r="E1291" s="237"/>
      <c r="F1291" s="18"/>
      <c r="G1291" s="18"/>
    </row>
    <row r="1292" spans="1:7" ht="22.5" customHeight="1">
      <c r="A1292" s="236"/>
      <c r="B1292" s="18"/>
      <c r="C1292" s="18"/>
      <c r="D1292" s="213"/>
      <c r="E1292" s="237"/>
      <c r="F1292" s="18"/>
      <c r="G1292" s="18"/>
    </row>
    <row r="1293" spans="1:7" ht="22.5" customHeight="1">
      <c r="A1293" s="236"/>
      <c r="B1293" s="18"/>
      <c r="C1293" s="18"/>
      <c r="D1293" s="213"/>
      <c r="E1293" s="237"/>
      <c r="F1293" s="18"/>
      <c r="G1293" s="18"/>
    </row>
    <row r="1294" spans="1:7" ht="22.5" customHeight="1">
      <c r="A1294" s="236"/>
      <c r="B1294" s="18"/>
      <c r="C1294" s="18"/>
      <c r="D1294" s="213"/>
      <c r="E1294" s="237"/>
      <c r="F1294" s="18"/>
      <c r="G1294" s="18"/>
    </row>
    <row r="1295" spans="1:7" ht="22.5" customHeight="1">
      <c r="A1295" s="236"/>
      <c r="B1295" s="18"/>
      <c r="C1295" s="18"/>
      <c r="D1295" s="213"/>
      <c r="E1295" s="237"/>
      <c r="F1295" s="18"/>
      <c r="G1295" s="18"/>
    </row>
    <row r="1296" spans="1:7" ht="22.5" customHeight="1">
      <c r="A1296" s="236"/>
      <c r="B1296" s="18"/>
      <c r="C1296" s="18"/>
      <c r="D1296" s="213"/>
      <c r="E1296" s="237"/>
      <c r="F1296" s="18"/>
      <c r="G1296" s="18"/>
    </row>
    <row r="1297" spans="1:7" ht="22.5" customHeight="1">
      <c r="A1297" s="236"/>
      <c r="B1297" s="18"/>
      <c r="C1297" s="18"/>
      <c r="D1297" s="213"/>
      <c r="E1297" s="237"/>
      <c r="F1297" s="18"/>
      <c r="G1297" s="18"/>
    </row>
    <row r="1298" spans="1:7" ht="22.5" customHeight="1">
      <c r="A1298" s="236"/>
      <c r="B1298" s="18"/>
      <c r="C1298" s="18"/>
      <c r="D1298" s="213"/>
      <c r="E1298" s="237"/>
      <c r="F1298" s="18"/>
      <c r="G1298" s="18"/>
    </row>
    <row r="1299" spans="1:7" ht="22.5" customHeight="1">
      <c r="A1299" s="236"/>
      <c r="B1299" s="18"/>
      <c r="C1299" s="18"/>
      <c r="D1299" s="213"/>
      <c r="E1299" s="237"/>
      <c r="F1299" s="18"/>
      <c r="G1299" s="18"/>
    </row>
    <row r="1300" spans="1:7" ht="22.5" customHeight="1">
      <c r="A1300" s="236"/>
      <c r="B1300" s="18"/>
      <c r="C1300" s="18"/>
      <c r="D1300" s="213"/>
      <c r="E1300" s="237"/>
      <c r="F1300" s="18"/>
      <c r="G1300" s="18"/>
    </row>
    <row r="1301" spans="1:7" ht="22.5" customHeight="1">
      <c r="A1301" s="236"/>
      <c r="B1301" s="18"/>
      <c r="C1301" s="18"/>
      <c r="D1301" s="213"/>
      <c r="E1301" s="237"/>
      <c r="F1301" s="18"/>
      <c r="G1301" s="18"/>
    </row>
    <row r="1302" spans="1:7" ht="22.5" customHeight="1">
      <c r="A1302" s="236"/>
      <c r="B1302" s="18"/>
      <c r="C1302" s="18"/>
      <c r="D1302" s="213"/>
      <c r="E1302" s="237"/>
      <c r="F1302" s="18"/>
      <c r="G1302" s="18"/>
    </row>
    <row r="1303" spans="1:7" ht="22.5" customHeight="1">
      <c r="A1303" s="236"/>
      <c r="B1303" s="18"/>
      <c r="C1303" s="18"/>
      <c r="D1303" s="213"/>
      <c r="E1303" s="237"/>
      <c r="F1303" s="18"/>
      <c r="G1303" s="18"/>
    </row>
    <row r="1304" spans="1:7" ht="22.5" customHeight="1">
      <c r="A1304" s="236"/>
      <c r="B1304" s="18"/>
      <c r="C1304" s="18"/>
      <c r="D1304" s="213"/>
      <c r="E1304" s="237"/>
      <c r="F1304" s="18"/>
      <c r="G1304" s="18"/>
    </row>
    <row r="1305" spans="1:7" ht="22.5" customHeight="1">
      <c r="A1305" s="236"/>
      <c r="B1305" s="18"/>
      <c r="C1305" s="18"/>
      <c r="D1305" s="213"/>
      <c r="E1305" s="237"/>
      <c r="F1305" s="18"/>
      <c r="G1305" s="18"/>
    </row>
    <row r="1306" spans="1:7" ht="22.5" customHeight="1">
      <c r="A1306" s="236"/>
      <c r="B1306" s="18"/>
      <c r="C1306" s="18"/>
      <c r="D1306" s="213"/>
      <c r="E1306" s="237"/>
      <c r="F1306" s="18"/>
      <c r="G1306" s="18"/>
    </row>
    <row r="1307" spans="1:7" ht="22.5" customHeight="1">
      <c r="A1307" s="236"/>
      <c r="B1307" s="18"/>
      <c r="C1307" s="18"/>
      <c r="D1307" s="213"/>
      <c r="E1307" s="237"/>
      <c r="F1307" s="18"/>
      <c r="G1307" s="18"/>
    </row>
    <row r="1308" spans="1:7" ht="22.5" customHeight="1">
      <c r="A1308" s="236"/>
      <c r="B1308" s="18"/>
      <c r="C1308" s="18"/>
      <c r="D1308" s="213"/>
      <c r="E1308" s="237"/>
      <c r="F1308" s="18"/>
      <c r="G1308" s="18"/>
    </row>
    <row r="1309" spans="1:7" ht="22.5" customHeight="1">
      <c r="A1309" s="236"/>
      <c r="B1309" s="18"/>
      <c r="C1309" s="18"/>
      <c r="D1309" s="213"/>
      <c r="E1309" s="237"/>
      <c r="F1309" s="18"/>
      <c r="G1309" s="18"/>
    </row>
    <row r="1310" spans="1:7" ht="22.5" customHeight="1">
      <c r="A1310" s="236"/>
      <c r="B1310" s="18"/>
      <c r="C1310" s="18"/>
      <c r="D1310" s="213"/>
      <c r="E1310" s="237"/>
      <c r="F1310" s="18"/>
      <c r="G1310" s="18"/>
    </row>
    <row r="1311" spans="1:7" ht="22.5" customHeight="1">
      <c r="A1311" s="236"/>
      <c r="B1311" s="18"/>
      <c r="C1311" s="18"/>
      <c r="D1311" s="213"/>
      <c r="E1311" s="237"/>
      <c r="F1311" s="18"/>
      <c r="G1311" s="18"/>
    </row>
    <row r="1312" spans="1:7" ht="22.5" customHeight="1">
      <c r="A1312" s="236"/>
      <c r="B1312" s="18"/>
      <c r="C1312" s="18"/>
      <c r="D1312" s="213"/>
      <c r="E1312" s="237"/>
      <c r="F1312" s="18"/>
      <c r="G1312" s="18"/>
    </row>
    <row r="1313" spans="1:7" ht="22.5" customHeight="1">
      <c r="A1313" s="236"/>
      <c r="B1313" s="18"/>
      <c r="C1313" s="18"/>
      <c r="D1313" s="213"/>
      <c r="E1313" s="237"/>
      <c r="F1313" s="18"/>
      <c r="G1313" s="18"/>
    </row>
    <row r="1314" spans="1:7" ht="22.5" customHeight="1">
      <c r="A1314" s="236"/>
      <c r="B1314" s="18"/>
      <c r="C1314" s="18"/>
      <c r="D1314" s="213"/>
      <c r="E1314" s="237"/>
      <c r="F1314" s="18"/>
      <c r="G1314" s="18"/>
    </row>
    <row r="1315" spans="1:7" ht="22.5" customHeight="1">
      <c r="A1315" s="236"/>
      <c r="B1315" s="18"/>
      <c r="C1315" s="18"/>
      <c r="D1315" s="213"/>
      <c r="E1315" s="237"/>
      <c r="F1315" s="18"/>
      <c r="G1315" s="18"/>
    </row>
    <row r="1316" spans="1:7" ht="22.5" customHeight="1">
      <c r="A1316" s="236"/>
      <c r="B1316" s="18"/>
      <c r="C1316" s="18"/>
      <c r="D1316" s="213"/>
      <c r="E1316" s="237"/>
      <c r="F1316" s="18"/>
      <c r="G1316" s="18"/>
    </row>
    <row r="1317" spans="1:7" ht="22.5" customHeight="1">
      <c r="A1317" s="236"/>
      <c r="B1317" s="18"/>
      <c r="C1317" s="18"/>
      <c r="D1317" s="213"/>
      <c r="E1317" s="237"/>
      <c r="F1317" s="18"/>
      <c r="G1317" s="18"/>
    </row>
    <row r="1318" spans="1:7" ht="22.5" customHeight="1">
      <c r="A1318" s="236"/>
      <c r="B1318" s="18"/>
      <c r="C1318" s="18"/>
      <c r="D1318" s="213"/>
      <c r="E1318" s="237"/>
      <c r="F1318" s="18"/>
      <c r="G1318" s="18"/>
    </row>
    <row r="1319" spans="1:7" ht="22.5" customHeight="1">
      <c r="A1319" s="236"/>
      <c r="B1319" s="18"/>
      <c r="C1319" s="18"/>
      <c r="D1319" s="213"/>
      <c r="E1319" s="237"/>
      <c r="F1319" s="18"/>
      <c r="G1319" s="18"/>
    </row>
    <row r="1320" spans="1:7" ht="22.5" customHeight="1">
      <c r="A1320" s="236"/>
      <c r="B1320" s="18"/>
      <c r="C1320" s="18"/>
      <c r="D1320" s="213"/>
      <c r="E1320" s="237"/>
      <c r="F1320" s="18"/>
      <c r="G1320" s="18"/>
    </row>
    <row r="1321" spans="1:7" ht="22.5" customHeight="1">
      <c r="A1321" s="236"/>
      <c r="B1321" s="18"/>
      <c r="C1321" s="18"/>
      <c r="D1321" s="213"/>
      <c r="E1321" s="237"/>
      <c r="F1321" s="18"/>
      <c r="G1321" s="18"/>
    </row>
    <row r="1322" spans="1:7" ht="22.5" customHeight="1">
      <c r="A1322" s="236"/>
      <c r="B1322" s="18"/>
      <c r="C1322" s="18"/>
      <c r="D1322" s="213"/>
      <c r="E1322" s="237"/>
      <c r="F1322" s="18"/>
      <c r="G1322" s="18"/>
    </row>
    <row r="1323" spans="1:7" ht="22.5" customHeight="1">
      <c r="A1323" s="236"/>
      <c r="B1323" s="18"/>
      <c r="C1323" s="18"/>
      <c r="D1323" s="213"/>
      <c r="E1323" s="237"/>
      <c r="F1323" s="18"/>
      <c r="G1323" s="18"/>
    </row>
    <row r="1324" spans="1:7" ht="22.5" customHeight="1">
      <c r="A1324" s="236"/>
      <c r="B1324" s="18"/>
      <c r="C1324" s="18"/>
      <c r="D1324" s="213"/>
      <c r="E1324" s="237"/>
      <c r="F1324" s="18"/>
      <c r="G1324" s="18"/>
    </row>
    <row r="1325" spans="1:7" ht="22.5" customHeight="1">
      <c r="A1325" s="236"/>
      <c r="B1325" s="18"/>
      <c r="C1325" s="18"/>
      <c r="D1325" s="213"/>
      <c r="E1325" s="237"/>
      <c r="F1325" s="18"/>
      <c r="G1325" s="18"/>
    </row>
    <row r="1326" spans="1:7" ht="22.5" customHeight="1">
      <c r="A1326" s="236"/>
      <c r="B1326" s="18"/>
      <c r="C1326" s="18"/>
      <c r="D1326" s="213"/>
      <c r="E1326" s="237"/>
      <c r="F1326" s="18"/>
      <c r="G1326" s="18"/>
    </row>
    <row r="1327" spans="1:7" ht="22.5" customHeight="1">
      <c r="A1327" s="236"/>
      <c r="B1327" s="18"/>
      <c r="C1327" s="18"/>
      <c r="D1327" s="213"/>
      <c r="E1327" s="237"/>
      <c r="F1327" s="18"/>
      <c r="G1327" s="18"/>
    </row>
    <row r="1328" spans="1:7" ht="22.5" customHeight="1">
      <c r="A1328" s="236"/>
      <c r="B1328" s="18"/>
      <c r="C1328" s="18"/>
      <c r="D1328" s="213"/>
      <c r="E1328" s="237"/>
      <c r="F1328" s="18"/>
      <c r="G1328" s="18"/>
    </row>
    <row r="1329" spans="1:7" ht="22.5" customHeight="1">
      <c r="A1329" s="236"/>
      <c r="B1329" s="18"/>
      <c r="C1329" s="18"/>
      <c r="D1329" s="213"/>
      <c r="E1329" s="237"/>
      <c r="F1329" s="18"/>
      <c r="G1329" s="18"/>
    </row>
    <row r="1330" spans="1:7" ht="22.5" customHeight="1">
      <c r="A1330" s="236"/>
      <c r="B1330" s="18"/>
      <c r="C1330" s="18"/>
      <c r="D1330" s="213"/>
      <c r="E1330" s="237"/>
      <c r="F1330" s="18"/>
      <c r="G1330" s="18"/>
    </row>
    <row r="1331" spans="1:7" ht="22.5" customHeight="1">
      <c r="A1331" s="236"/>
      <c r="B1331" s="18"/>
      <c r="C1331" s="18"/>
      <c r="D1331" s="213"/>
      <c r="E1331" s="237"/>
      <c r="F1331" s="18"/>
      <c r="G1331" s="18"/>
    </row>
    <row r="1332" spans="1:7" ht="22.5" customHeight="1">
      <c r="A1332" s="236"/>
      <c r="B1332" s="18"/>
      <c r="C1332" s="18"/>
      <c r="D1332" s="213"/>
      <c r="E1332" s="237"/>
      <c r="F1332" s="18"/>
      <c r="G1332" s="18"/>
    </row>
    <row r="1333" spans="1:7" ht="22.5" customHeight="1">
      <c r="A1333" s="236"/>
      <c r="B1333" s="18"/>
      <c r="C1333" s="18"/>
      <c r="D1333" s="213"/>
      <c r="E1333" s="237"/>
      <c r="F1333" s="18"/>
      <c r="G1333" s="18"/>
    </row>
    <row r="1334" spans="1:7" ht="22.5" customHeight="1">
      <c r="A1334" s="236"/>
      <c r="B1334" s="18"/>
      <c r="C1334" s="18"/>
      <c r="D1334" s="213"/>
      <c r="E1334" s="237"/>
      <c r="F1334" s="18"/>
      <c r="G1334" s="18"/>
    </row>
    <row r="1335" spans="1:7" ht="22.5" customHeight="1">
      <c r="A1335" s="236"/>
      <c r="B1335" s="18"/>
      <c r="C1335" s="18"/>
      <c r="D1335" s="213"/>
      <c r="E1335" s="237"/>
      <c r="F1335" s="18"/>
      <c r="G1335" s="18"/>
    </row>
    <row r="1336" spans="1:7" ht="22.5" customHeight="1">
      <c r="A1336" s="236"/>
      <c r="B1336" s="18"/>
      <c r="C1336" s="18"/>
      <c r="D1336" s="213"/>
      <c r="E1336" s="237"/>
      <c r="F1336" s="18"/>
      <c r="G1336" s="18"/>
    </row>
    <row r="1337" spans="1:7" ht="22.5" customHeight="1">
      <c r="A1337" s="236"/>
      <c r="B1337" s="18"/>
      <c r="C1337" s="18"/>
      <c r="D1337" s="213"/>
      <c r="E1337" s="237"/>
      <c r="F1337" s="18"/>
      <c r="G1337" s="18"/>
    </row>
    <row r="1338" spans="1:7" ht="22.5" customHeight="1">
      <c r="A1338" s="236"/>
      <c r="B1338" s="18"/>
      <c r="C1338" s="18"/>
      <c r="D1338" s="213"/>
      <c r="E1338" s="237"/>
      <c r="F1338" s="18"/>
      <c r="G1338" s="18"/>
    </row>
    <row r="1339" spans="1:7" ht="22.5" customHeight="1">
      <c r="A1339" s="236"/>
      <c r="B1339" s="18"/>
      <c r="C1339" s="18"/>
      <c r="D1339" s="213"/>
      <c r="E1339" s="237"/>
      <c r="F1339" s="18"/>
      <c r="G1339" s="18"/>
    </row>
    <row r="1340" spans="1:7" ht="22.5" customHeight="1">
      <c r="A1340" s="236"/>
      <c r="B1340" s="18"/>
      <c r="C1340" s="18"/>
      <c r="D1340" s="213"/>
      <c r="E1340" s="237"/>
      <c r="F1340" s="18"/>
      <c r="G1340" s="18"/>
    </row>
    <row r="1341" spans="1:7" ht="22.5" customHeight="1">
      <c r="A1341" s="236"/>
      <c r="B1341" s="18"/>
      <c r="C1341" s="18"/>
      <c r="D1341" s="213"/>
      <c r="E1341" s="237"/>
      <c r="F1341" s="18"/>
      <c r="G1341" s="18"/>
    </row>
    <row r="1342" spans="1:7" ht="22.5" customHeight="1">
      <c r="A1342" s="236"/>
      <c r="B1342" s="18"/>
      <c r="C1342" s="18"/>
      <c r="D1342" s="213"/>
      <c r="E1342" s="237"/>
      <c r="F1342" s="18"/>
      <c r="G1342" s="18"/>
    </row>
    <row r="1343" spans="1:7" ht="22.5" customHeight="1">
      <c r="A1343" s="236"/>
      <c r="B1343" s="18"/>
      <c r="C1343" s="18"/>
      <c r="D1343" s="213"/>
      <c r="E1343" s="237"/>
      <c r="F1343" s="18"/>
      <c r="G1343" s="18"/>
    </row>
    <row r="1344" spans="1:7" ht="22.5" customHeight="1">
      <c r="A1344" s="236"/>
      <c r="B1344" s="18"/>
      <c r="C1344" s="18"/>
      <c r="D1344" s="213"/>
      <c r="E1344" s="237"/>
      <c r="F1344" s="18"/>
      <c r="G1344" s="18"/>
    </row>
    <row r="1345" spans="1:7" ht="22.5" customHeight="1">
      <c r="A1345" s="236"/>
      <c r="B1345" s="18"/>
      <c r="C1345" s="18"/>
      <c r="D1345" s="213"/>
      <c r="E1345" s="237"/>
      <c r="F1345" s="18"/>
      <c r="G1345" s="18"/>
    </row>
    <row r="1346" spans="1:7" ht="22.5" customHeight="1">
      <c r="A1346" s="236"/>
      <c r="B1346" s="18"/>
      <c r="C1346" s="18"/>
      <c r="D1346" s="213"/>
      <c r="E1346" s="237"/>
      <c r="F1346" s="18"/>
      <c r="G1346" s="18"/>
    </row>
    <row r="1347" spans="1:7" ht="22.5" customHeight="1">
      <c r="A1347" s="236"/>
      <c r="B1347" s="18"/>
      <c r="C1347" s="18"/>
      <c r="D1347" s="213"/>
      <c r="E1347" s="237"/>
      <c r="F1347" s="18"/>
      <c r="G1347" s="18"/>
    </row>
    <row r="1348" spans="1:7" ht="22.5" customHeight="1">
      <c r="A1348" s="236"/>
      <c r="B1348" s="18"/>
      <c r="C1348" s="18"/>
      <c r="D1348" s="213"/>
      <c r="E1348" s="237"/>
      <c r="F1348" s="18"/>
      <c r="G1348" s="18"/>
    </row>
    <row r="1349" spans="1:7" ht="22.5" customHeight="1">
      <c r="A1349" s="236"/>
      <c r="B1349" s="18"/>
      <c r="C1349" s="18"/>
      <c r="D1349" s="213"/>
      <c r="E1349" s="237"/>
      <c r="F1349" s="18"/>
      <c r="G1349" s="18"/>
    </row>
    <row r="1350" spans="1:7" ht="22.5" customHeight="1">
      <c r="A1350" s="236"/>
      <c r="B1350" s="18"/>
      <c r="C1350" s="18"/>
      <c r="D1350" s="213"/>
      <c r="E1350" s="237"/>
      <c r="F1350" s="18"/>
      <c r="G1350" s="18"/>
    </row>
    <row r="1351" spans="1:7" ht="22.5" customHeight="1">
      <c r="A1351" s="236"/>
      <c r="B1351" s="18"/>
      <c r="C1351" s="18"/>
      <c r="D1351" s="213"/>
      <c r="E1351" s="237"/>
      <c r="F1351" s="18"/>
      <c r="G1351" s="18"/>
    </row>
    <row r="1352" spans="1:7" ht="22.5" customHeight="1">
      <c r="A1352" s="236"/>
      <c r="B1352" s="18"/>
      <c r="C1352" s="18"/>
      <c r="D1352" s="213"/>
      <c r="E1352" s="237"/>
      <c r="F1352" s="18"/>
      <c r="G1352" s="18"/>
    </row>
    <row r="1353" spans="1:7" ht="22.5" customHeight="1">
      <c r="A1353" s="236"/>
      <c r="B1353" s="18"/>
      <c r="C1353" s="18"/>
      <c r="D1353" s="213"/>
      <c r="E1353" s="237"/>
      <c r="F1353" s="18"/>
      <c r="G1353" s="18"/>
    </row>
    <row r="1354" spans="1:7" ht="22.5" customHeight="1">
      <c r="A1354" s="236"/>
      <c r="B1354" s="18"/>
      <c r="C1354" s="18"/>
      <c r="D1354" s="213"/>
      <c r="E1354" s="237"/>
      <c r="F1354" s="18"/>
      <c r="G1354" s="18"/>
    </row>
    <row r="1355" spans="1:7" ht="22.5" customHeight="1">
      <c r="A1355" s="236"/>
      <c r="B1355" s="18"/>
      <c r="C1355" s="18"/>
      <c r="D1355" s="213"/>
      <c r="E1355" s="237"/>
      <c r="F1355" s="18"/>
      <c r="G1355" s="18"/>
    </row>
    <row r="1356" spans="1:7" ht="22.5" customHeight="1">
      <c r="A1356" s="236"/>
      <c r="B1356" s="18"/>
      <c r="C1356" s="18"/>
      <c r="D1356" s="213"/>
      <c r="E1356" s="237"/>
      <c r="F1356" s="18"/>
      <c r="G1356" s="18"/>
    </row>
    <row r="1357" spans="1:7" ht="22.5" customHeight="1">
      <c r="A1357" s="236"/>
      <c r="B1357" s="18"/>
      <c r="C1357" s="18"/>
      <c r="D1357" s="213"/>
      <c r="E1357" s="237"/>
      <c r="F1357" s="18"/>
      <c r="G1357" s="18"/>
    </row>
    <row r="1358" spans="1:7" ht="22.5" customHeight="1">
      <c r="A1358" s="236"/>
      <c r="B1358" s="18"/>
      <c r="C1358" s="18"/>
      <c r="D1358" s="213"/>
      <c r="E1358" s="237"/>
      <c r="F1358" s="18"/>
      <c r="G1358" s="18"/>
    </row>
    <row r="1359" spans="1:7" ht="22.5" customHeight="1">
      <c r="A1359" s="236"/>
      <c r="B1359" s="18"/>
      <c r="C1359" s="18"/>
      <c r="D1359" s="213"/>
      <c r="E1359" s="237"/>
      <c r="F1359" s="18"/>
      <c r="G1359" s="18"/>
    </row>
    <row r="1360" spans="1:7" ht="22.5" customHeight="1">
      <c r="A1360" s="236"/>
      <c r="B1360" s="18"/>
      <c r="C1360" s="18"/>
      <c r="D1360" s="213"/>
      <c r="E1360" s="237"/>
      <c r="F1360" s="18"/>
      <c r="G1360" s="18"/>
    </row>
    <row r="1361" spans="1:7" ht="22.5" customHeight="1">
      <c r="A1361" s="236"/>
      <c r="B1361" s="18"/>
      <c r="C1361" s="18"/>
      <c r="D1361" s="213"/>
      <c r="E1361" s="237"/>
      <c r="F1361" s="18"/>
      <c r="G1361" s="18"/>
    </row>
    <row r="1362" spans="1:7" ht="22.5" customHeight="1">
      <c r="A1362" s="236"/>
      <c r="B1362" s="18"/>
      <c r="C1362" s="18"/>
      <c r="D1362" s="213"/>
      <c r="E1362" s="237"/>
      <c r="F1362" s="18"/>
      <c r="G1362" s="18"/>
    </row>
    <row r="1363" spans="1:7" ht="22.5" customHeight="1">
      <c r="A1363" s="236"/>
      <c r="B1363" s="18"/>
      <c r="C1363" s="18"/>
      <c r="D1363" s="213"/>
      <c r="E1363" s="237"/>
      <c r="F1363" s="18"/>
      <c r="G1363" s="18"/>
    </row>
    <row r="1364" spans="1:7" ht="22.5" customHeight="1">
      <c r="A1364" s="236"/>
      <c r="B1364" s="18"/>
      <c r="C1364" s="18"/>
      <c r="D1364" s="213"/>
      <c r="E1364" s="237"/>
      <c r="F1364" s="18"/>
      <c r="G1364" s="18"/>
    </row>
    <row r="1365" spans="1:7" ht="22.5" customHeight="1">
      <c r="A1365" s="236"/>
      <c r="B1365" s="18"/>
      <c r="C1365" s="18"/>
      <c r="D1365" s="213"/>
      <c r="E1365" s="237"/>
      <c r="F1365" s="18"/>
      <c r="G1365" s="18"/>
    </row>
    <row r="1366" spans="1:7" ht="22.5" customHeight="1">
      <c r="A1366" s="236"/>
      <c r="B1366" s="18"/>
      <c r="C1366" s="18"/>
      <c r="D1366" s="213"/>
      <c r="E1366" s="237"/>
      <c r="F1366" s="18"/>
      <c r="G1366" s="18"/>
    </row>
    <row r="1367" spans="1:7" ht="22.5" customHeight="1">
      <c r="A1367" s="236"/>
      <c r="B1367" s="18"/>
      <c r="C1367" s="18"/>
      <c r="D1367" s="213"/>
      <c r="E1367" s="237"/>
      <c r="F1367" s="18"/>
      <c r="G1367" s="18"/>
    </row>
    <row r="1368" spans="1:7" ht="22.5" customHeight="1">
      <c r="A1368" s="236"/>
      <c r="B1368" s="18"/>
      <c r="C1368" s="18"/>
      <c r="D1368" s="213"/>
      <c r="E1368" s="237"/>
      <c r="F1368" s="18"/>
      <c r="G1368" s="18"/>
    </row>
    <row r="1369" spans="1:7" ht="22.5" customHeight="1">
      <c r="A1369" s="236"/>
      <c r="B1369" s="18"/>
      <c r="C1369" s="18"/>
      <c r="D1369" s="213"/>
      <c r="E1369" s="237"/>
      <c r="F1369" s="18"/>
      <c r="G1369" s="18"/>
    </row>
    <row r="1370" spans="1:7" ht="22.5" customHeight="1">
      <c r="A1370" s="236"/>
      <c r="B1370" s="18"/>
      <c r="C1370" s="18"/>
      <c r="D1370" s="213"/>
      <c r="E1370" s="237"/>
      <c r="F1370" s="18"/>
      <c r="G1370" s="18"/>
    </row>
    <row r="1371" spans="1:7" ht="22.5" customHeight="1">
      <c r="A1371" s="236"/>
      <c r="B1371" s="18"/>
      <c r="C1371" s="18"/>
      <c r="D1371" s="213"/>
      <c r="E1371" s="237"/>
      <c r="F1371" s="18"/>
      <c r="G1371" s="18"/>
    </row>
    <row r="1372" spans="1:7" ht="22.5" customHeight="1">
      <c r="A1372" s="236"/>
      <c r="B1372" s="18"/>
      <c r="C1372" s="18"/>
      <c r="D1372" s="213"/>
      <c r="E1372" s="237"/>
      <c r="F1372" s="18"/>
      <c r="G1372" s="18"/>
    </row>
    <row r="1373" spans="1:7" ht="22.5" customHeight="1">
      <c r="A1373" s="236"/>
      <c r="B1373" s="18"/>
      <c r="C1373" s="18"/>
      <c r="D1373" s="213"/>
      <c r="E1373" s="237"/>
      <c r="F1373" s="18"/>
      <c r="G1373" s="18"/>
    </row>
    <row r="1374" spans="1:7" ht="22.5" customHeight="1">
      <c r="A1374" s="236"/>
      <c r="B1374" s="18"/>
      <c r="C1374" s="18"/>
      <c r="D1374" s="213"/>
      <c r="E1374" s="237"/>
      <c r="F1374" s="18"/>
      <c r="G1374" s="18"/>
    </row>
    <row r="1375" spans="1:7" ht="22.5" customHeight="1">
      <c r="A1375" s="236"/>
      <c r="B1375" s="18"/>
      <c r="C1375" s="18"/>
      <c r="D1375" s="213"/>
      <c r="E1375" s="237"/>
      <c r="F1375" s="18"/>
      <c r="G1375" s="18"/>
    </row>
    <row r="1376" spans="1:7" ht="22.5" customHeight="1">
      <c r="A1376" s="236"/>
      <c r="B1376" s="18"/>
      <c r="C1376" s="18"/>
      <c r="D1376" s="213"/>
      <c r="E1376" s="237"/>
      <c r="F1376" s="18"/>
      <c r="G1376" s="18"/>
    </row>
    <row r="1377" spans="1:7" ht="22.5" customHeight="1">
      <c r="A1377" s="236"/>
      <c r="B1377" s="18"/>
      <c r="C1377" s="18"/>
      <c r="D1377" s="213"/>
      <c r="E1377" s="237"/>
      <c r="F1377" s="18"/>
      <c r="G1377" s="18"/>
    </row>
    <row r="1378" spans="1:7" ht="22.5" customHeight="1">
      <c r="A1378" s="236"/>
      <c r="B1378" s="18"/>
      <c r="C1378" s="18"/>
      <c r="D1378" s="213"/>
      <c r="E1378" s="237"/>
      <c r="F1378" s="18"/>
      <c r="G1378" s="18"/>
    </row>
    <row r="1379" spans="1:7" ht="22.5" customHeight="1">
      <c r="A1379" s="236"/>
      <c r="B1379" s="18"/>
      <c r="C1379" s="18"/>
      <c r="D1379" s="213"/>
      <c r="E1379" s="237"/>
      <c r="F1379" s="18"/>
      <c r="G1379" s="18"/>
    </row>
    <row r="1380" spans="1:7" ht="22.5" customHeight="1">
      <c r="A1380" s="236"/>
      <c r="B1380" s="18"/>
      <c r="C1380" s="18"/>
      <c r="D1380" s="213"/>
      <c r="E1380" s="237"/>
      <c r="F1380" s="18"/>
      <c r="G1380" s="18"/>
    </row>
    <row r="1381" spans="1:7" ht="22.5" customHeight="1">
      <c r="A1381" s="236"/>
      <c r="B1381" s="18"/>
      <c r="C1381" s="18"/>
      <c r="D1381" s="213"/>
      <c r="E1381" s="237"/>
      <c r="F1381" s="18"/>
      <c r="G1381" s="18"/>
    </row>
    <row r="1382" spans="1:7" ht="22.5" customHeight="1">
      <c r="A1382" s="236"/>
      <c r="B1382" s="18"/>
      <c r="C1382" s="18"/>
      <c r="D1382" s="213"/>
      <c r="E1382" s="237"/>
      <c r="F1382" s="18"/>
      <c r="G1382" s="18"/>
    </row>
    <row r="1383" spans="1:7" ht="22.5" customHeight="1">
      <c r="A1383" s="236"/>
      <c r="B1383" s="18"/>
      <c r="C1383" s="18"/>
      <c r="D1383" s="213"/>
      <c r="E1383" s="237"/>
      <c r="F1383" s="18"/>
      <c r="G1383" s="18"/>
    </row>
    <row r="1384" spans="1:7" ht="22.5" customHeight="1">
      <c r="A1384" s="236"/>
      <c r="B1384" s="18"/>
      <c r="C1384" s="18"/>
      <c r="D1384" s="213"/>
      <c r="E1384" s="237"/>
      <c r="F1384" s="18"/>
      <c r="G1384" s="18"/>
    </row>
    <row r="1385" spans="1:7" ht="22.5" customHeight="1">
      <c r="A1385" s="236"/>
      <c r="B1385" s="18"/>
      <c r="C1385" s="18"/>
      <c r="D1385" s="213"/>
      <c r="E1385" s="237"/>
      <c r="F1385" s="18"/>
      <c r="G1385" s="18"/>
    </row>
    <row r="1386" spans="1:7" ht="22.5" customHeight="1">
      <c r="A1386" s="236"/>
      <c r="B1386" s="18"/>
      <c r="C1386" s="18"/>
      <c r="D1386" s="213"/>
      <c r="E1386" s="237"/>
      <c r="F1386" s="18"/>
      <c r="G1386" s="18"/>
    </row>
    <row r="1387" spans="1:7" ht="22.5" customHeight="1">
      <c r="A1387" s="236"/>
      <c r="B1387" s="18"/>
      <c r="C1387" s="18"/>
      <c r="D1387" s="213"/>
      <c r="E1387" s="237"/>
      <c r="F1387" s="18"/>
      <c r="G1387" s="18"/>
    </row>
    <row r="1388" spans="1:7" ht="22.5" customHeight="1">
      <c r="A1388" s="236"/>
      <c r="B1388" s="18"/>
      <c r="C1388" s="18"/>
      <c r="D1388" s="213"/>
      <c r="E1388" s="237"/>
      <c r="F1388" s="18"/>
      <c r="G1388" s="18"/>
    </row>
    <row r="1389" spans="1:7" ht="22.5" customHeight="1">
      <c r="A1389" s="236"/>
      <c r="B1389" s="18"/>
      <c r="C1389" s="18"/>
      <c r="D1389" s="213"/>
      <c r="E1389" s="237"/>
      <c r="F1389" s="18"/>
      <c r="G1389" s="18"/>
    </row>
    <row r="1390" spans="1:7" ht="22.5" customHeight="1">
      <c r="A1390" s="236"/>
      <c r="B1390" s="18"/>
      <c r="C1390" s="18"/>
      <c r="D1390" s="213"/>
      <c r="E1390" s="237"/>
      <c r="F1390" s="18"/>
      <c r="G1390" s="18"/>
    </row>
    <row r="1391" spans="1:7" ht="22.5" customHeight="1">
      <c r="A1391" s="236"/>
      <c r="B1391" s="18"/>
      <c r="C1391" s="18"/>
      <c r="D1391" s="213"/>
      <c r="E1391" s="237"/>
      <c r="F1391" s="18"/>
      <c r="G1391" s="18"/>
    </row>
    <row r="1392" spans="1:7" ht="22.5" customHeight="1">
      <c r="A1392" s="236"/>
      <c r="B1392" s="18"/>
      <c r="C1392" s="18"/>
      <c r="D1392" s="213"/>
      <c r="E1392" s="237"/>
      <c r="F1392" s="18"/>
      <c r="G1392" s="18"/>
    </row>
    <row r="1393" spans="1:7" ht="22.5" customHeight="1">
      <c r="A1393" s="236"/>
      <c r="B1393" s="18"/>
      <c r="C1393" s="18"/>
      <c r="D1393" s="213"/>
      <c r="E1393" s="237"/>
      <c r="F1393" s="18"/>
      <c r="G1393" s="18"/>
    </row>
    <row r="1394" spans="1:7" ht="22.5" customHeight="1">
      <c r="A1394" s="236"/>
      <c r="B1394" s="18"/>
      <c r="C1394" s="18"/>
      <c r="D1394" s="213"/>
      <c r="E1394" s="237"/>
      <c r="F1394" s="18"/>
      <c r="G1394" s="18"/>
    </row>
    <row r="1395" spans="1:7" ht="22.5" customHeight="1">
      <c r="A1395" s="236"/>
      <c r="B1395" s="18"/>
      <c r="C1395" s="18"/>
      <c r="D1395" s="213"/>
      <c r="E1395" s="237"/>
      <c r="F1395" s="18"/>
      <c r="G1395" s="18"/>
    </row>
    <row r="1396" spans="1:7" ht="22.5" customHeight="1">
      <c r="A1396" s="236"/>
      <c r="B1396" s="18"/>
      <c r="C1396" s="18"/>
      <c r="D1396" s="213"/>
      <c r="E1396" s="237"/>
      <c r="F1396" s="18"/>
      <c r="G1396" s="18"/>
    </row>
    <row r="1397" spans="1:7" ht="22.5" customHeight="1">
      <c r="A1397" s="236"/>
      <c r="B1397" s="18"/>
      <c r="C1397" s="18"/>
      <c r="D1397" s="213"/>
      <c r="E1397" s="237"/>
      <c r="F1397" s="18"/>
      <c r="G1397" s="18"/>
    </row>
    <row r="1398" spans="1:7" ht="22.5" customHeight="1">
      <c r="A1398" s="236"/>
      <c r="B1398" s="18"/>
      <c r="C1398" s="18"/>
      <c r="D1398" s="213"/>
      <c r="E1398" s="237"/>
      <c r="F1398" s="18"/>
      <c r="G1398" s="18"/>
    </row>
    <row r="1399" spans="1:7" ht="22.5" customHeight="1">
      <c r="A1399" s="236"/>
      <c r="B1399" s="18"/>
      <c r="C1399" s="18"/>
      <c r="D1399" s="213"/>
      <c r="E1399" s="237"/>
      <c r="F1399" s="18"/>
      <c r="G1399" s="18"/>
    </row>
    <row r="1400" spans="1:7" ht="22.5" customHeight="1">
      <c r="A1400" s="236"/>
      <c r="B1400" s="18"/>
      <c r="C1400" s="18"/>
      <c r="D1400" s="213"/>
      <c r="E1400" s="237"/>
      <c r="F1400" s="18"/>
      <c r="G1400" s="18"/>
    </row>
    <row r="1401" spans="1:7" ht="22.5" customHeight="1">
      <c r="A1401" s="236"/>
      <c r="B1401" s="18"/>
      <c r="C1401" s="18"/>
      <c r="D1401" s="213"/>
      <c r="E1401" s="237"/>
      <c r="F1401" s="18"/>
      <c r="G1401" s="18"/>
    </row>
    <row r="1402" spans="1:7" ht="22.5" customHeight="1">
      <c r="A1402" s="236"/>
      <c r="B1402" s="18"/>
      <c r="C1402" s="18"/>
      <c r="D1402" s="213"/>
      <c r="E1402" s="237"/>
      <c r="F1402" s="18"/>
      <c r="G1402" s="18"/>
    </row>
    <row r="1403" spans="1:7" ht="22.5" customHeight="1">
      <c r="A1403" s="236"/>
      <c r="B1403" s="18"/>
      <c r="C1403" s="18"/>
      <c r="D1403" s="213"/>
      <c r="E1403" s="237"/>
      <c r="F1403" s="18"/>
      <c r="G1403" s="18"/>
    </row>
    <row r="1404" spans="1:7" ht="22.5" customHeight="1">
      <c r="A1404" s="236"/>
      <c r="B1404" s="18"/>
      <c r="C1404" s="18"/>
      <c r="D1404" s="213"/>
      <c r="E1404" s="237"/>
      <c r="F1404" s="18"/>
      <c r="G1404" s="18"/>
    </row>
    <row r="1405" spans="1:7" ht="22.5" customHeight="1">
      <c r="A1405" s="236"/>
      <c r="B1405" s="18"/>
      <c r="C1405" s="18"/>
      <c r="D1405" s="213"/>
      <c r="E1405" s="237"/>
      <c r="F1405" s="18"/>
      <c r="G1405" s="18"/>
    </row>
    <row r="1406" spans="1:7" ht="22.5" customHeight="1">
      <c r="A1406" s="236"/>
      <c r="B1406" s="18"/>
      <c r="C1406" s="18"/>
      <c r="D1406" s="213"/>
      <c r="E1406" s="237"/>
      <c r="F1406" s="18"/>
      <c r="G1406" s="18"/>
    </row>
    <row r="1407" spans="1:7" ht="22.5" customHeight="1">
      <c r="A1407" s="236"/>
      <c r="B1407" s="18"/>
      <c r="C1407" s="18"/>
      <c r="D1407" s="213"/>
      <c r="E1407" s="237"/>
      <c r="F1407" s="18"/>
      <c r="G1407" s="18"/>
    </row>
    <row r="1408" spans="1:7" ht="22.5" customHeight="1">
      <c r="A1408" s="236"/>
      <c r="B1408" s="18"/>
      <c r="C1408" s="18"/>
      <c r="D1408" s="213"/>
      <c r="E1408" s="237"/>
      <c r="F1408" s="18"/>
      <c r="G1408" s="18"/>
    </row>
    <row r="1409" spans="1:7" ht="22.5" customHeight="1">
      <c r="A1409" s="236"/>
      <c r="B1409" s="18"/>
      <c r="C1409" s="18"/>
      <c r="D1409" s="213"/>
      <c r="E1409" s="237"/>
      <c r="F1409" s="18"/>
      <c r="G1409" s="18"/>
    </row>
    <row r="1410" spans="1:7" ht="22.5" customHeight="1">
      <c r="A1410" s="236"/>
      <c r="B1410" s="18"/>
      <c r="C1410" s="18"/>
      <c r="D1410" s="213"/>
      <c r="E1410" s="237"/>
      <c r="F1410" s="18"/>
      <c r="G1410" s="18"/>
    </row>
    <row r="1411" spans="1:7" ht="22.5" customHeight="1">
      <c r="A1411" s="236"/>
      <c r="B1411" s="18"/>
      <c r="C1411" s="18"/>
      <c r="D1411" s="213"/>
      <c r="E1411" s="237"/>
      <c r="F1411" s="18"/>
      <c r="G1411" s="18"/>
    </row>
    <row r="1412" spans="1:7" ht="22.5" customHeight="1">
      <c r="A1412" s="236"/>
      <c r="B1412" s="18"/>
      <c r="C1412" s="18"/>
      <c r="D1412" s="213"/>
      <c r="E1412" s="237"/>
      <c r="F1412" s="18"/>
      <c r="G1412" s="18"/>
    </row>
    <row r="1413" spans="1:7" ht="22.5" customHeight="1">
      <c r="A1413" s="236"/>
      <c r="B1413" s="18"/>
      <c r="C1413" s="18"/>
      <c r="D1413" s="213"/>
      <c r="E1413" s="237"/>
      <c r="F1413" s="18"/>
      <c r="G1413" s="18"/>
    </row>
    <row r="1414" spans="1:7" ht="22.5" customHeight="1">
      <c r="A1414" s="236"/>
      <c r="B1414" s="18"/>
      <c r="C1414" s="18"/>
      <c r="D1414" s="213"/>
      <c r="E1414" s="237"/>
      <c r="F1414" s="18"/>
      <c r="G1414" s="18"/>
    </row>
    <row r="1415" spans="1:7" ht="22.5" customHeight="1">
      <c r="A1415" s="236"/>
      <c r="B1415" s="18"/>
      <c r="C1415" s="18"/>
      <c r="D1415" s="213"/>
      <c r="E1415" s="237"/>
      <c r="F1415" s="18"/>
      <c r="G1415" s="18"/>
    </row>
    <row r="1416" spans="1:7" ht="22.5" customHeight="1">
      <c r="A1416" s="236"/>
      <c r="B1416" s="18"/>
      <c r="C1416" s="18"/>
      <c r="D1416" s="213"/>
      <c r="E1416" s="237"/>
      <c r="F1416" s="18"/>
      <c r="G1416" s="18"/>
    </row>
    <row r="1417" spans="1:7" ht="22.5" customHeight="1">
      <c r="A1417" s="236"/>
      <c r="B1417" s="18"/>
      <c r="C1417" s="18"/>
      <c r="D1417" s="213"/>
      <c r="E1417" s="237"/>
      <c r="F1417" s="18"/>
      <c r="G1417" s="18"/>
    </row>
    <row r="1418" spans="1:7" ht="22.5" customHeight="1">
      <c r="A1418" s="236"/>
      <c r="B1418" s="18"/>
      <c r="C1418" s="18"/>
      <c r="D1418" s="213"/>
      <c r="E1418" s="237"/>
      <c r="F1418" s="18"/>
      <c r="G1418" s="18"/>
    </row>
    <row r="1419" spans="1:7" ht="22.5" customHeight="1">
      <c r="A1419" s="236"/>
      <c r="B1419" s="18"/>
      <c r="C1419" s="18"/>
      <c r="D1419" s="213"/>
      <c r="E1419" s="237"/>
      <c r="F1419" s="18"/>
      <c r="G1419" s="18"/>
    </row>
    <row r="1420" spans="1:7" ht="22.5" customHeight="1">
      <c r="A1420" s="236"/>
      <c r="B1420" s="18"/>
      <c r="C1420" s="18"/>
      <c r="D1420" s="213"/>
      <c r="E1420" s="237"/>
      <c r="F1420" s="18"/>
      <c r="G1420" s="18"/>
    </row>
    <row r="1421" spans="1:7" ht="22.5" customHeight="1">
      <c r="A1421" s="236"/>
      <c r="B1421" s="18"/>
      <c r="C1421" s="18"/>
      <c r="D1421" s="213"/>
      <c r="E1421" s="237"/>
      <c r="F1421" s="18"/>
      <c r="G1421" s="18"/>
    </row>
    <row r="1422" spans="1:7" ht="22.5" customHeight="1">
      <c r="A1422" s="236"/>
      <c r="B1422" s="18"/>
      <c r="C1422" s="18"/>
      <c r="D1422" s="213"/>
      <c r="E1422" s="237"/>
      <c r="F1422" s="18"/>
      <c r="G1422" s="18"/>
    </row>
    <row r="1423" spans="1:7" ht="22.5" customHeight="1">
      <c r="A1423" s="236"/>
      <c r="B1423" s="18"/>
      <c r="C1423" s="18"/>
      <c r="D1423" s="213"/>
      <c r="E1423" s="237"/>
      <c r="F1423" s="18"/>
      <c r="G1423" s="18"/>
    </row>
    <row r="1424" spans="1:7" ht="22.5" customHeight="1">
      <c r="A1424" s="236"/>
      <c r="B1424" s="18"/>
      <c r="C1424" s="18"/>
      <c r="D1424" s="213"/>
      <c r="E1424" s="237"/>
      <c r="F1424" s="18"/>
      <c r="G1424" s="18"/>
    </row>
    <row r="1425" spans="1:7" ht="22.5" customHeight="1">
      <c r="A1425" s="236"/>
      <c r="B1425" s="18"/>
      <c r="C1425" s="18"/>
      <c r="D1425" s="213"/>
      <c r="E1425" s="237"/>
      <c r="F1425" s="18"/>
      <c r="G1425" s="18"/>
    </row>
    <row r="1426" spans="1:7" ht="22.5" customHeight="1">
      <c r="A1426" s="236"/>
      <c r="B1426" s="18"/>
      <c r="C1426" s="18"/>
      <c r="D1426" s="213"/>
      <c r="E1426" s="237"/>
      <c r="F1426" s="18"/>
      <c r="G1426" s="18"/>
    </row>
    <row r="1427" spans="1:7" ht="22.5" customHeight="1">
      <c r="A1427" s="236"/>
      <c r="B1427" s="18"/>
      <c r="C1427" s="18"/>
      <c r="D1427" s="213"/>
      <c r="E1427" s="237"/>
      <c r="F1427" s="18"/>
      <c r="G1427" s="18"/>
    </row>
    <row r="1428" spans="1:7" ht="22.5" customHeight="1">
      <c r="A1428" s="236"/>
      <c r="B1428" s="18"/>
      <c r="C1428" s="18"/>
      <c r="D1428" s="213"/>
      <c r="E1428" s="237"/>
      <c r="F1428" s="18"/>
      <c r="G1428" s="18"/>
    </row>
    <row r="1429" spans="1:7" ht="22.5" customHeight="1">
      <c r="A1429" s="236"/>
      <c r="B1429" s="18"/>
      <c r="C1429" s="18"/>
      <c r="D1429" s="213"/>
      <c r="E1429" s="237"/>
      <c r="F1429" s="18"/>
      <c r="G1429" s="18"/>
    </row>
    <row r="1430" spans="1:7" ht="22.5" customHeight="1">
      <c r="A1430" s="236"/>
      <c r="B1430" s="18"/>
      <c r="C1430" s="18"/>
      <c r="D1430" s="213"/>
      <c r="E1430" s="237"/>
      <c r="F1430" s="18"/>
      <c r="G1430" s="18"/>
    </row>
    <row r="1431" spans="1:7" ht="22.5" customHeight="1">
      <c r="A1431" s="236"/>
      <c r="B1431" s="18"/>
      <c r="C1431" s="18"/>
      <c r="D1431" s="213"/>
      <c r="E1431" s="237"/>
      <c r="F1431" s="18"/>
      <c r="G1431" s="18"/>
    </row>
    <row r="1432" spans="1:7" ht="22.5" customHeight="1">
      <c r="A1432" s="236"/>
      <c r="B1432" s="18"/>
      <c r="C1432" s="18"/>
      <c r="D1432" s="213"/>
      <c r="E1432" s="237"/>
      <c r="F1432" s="18"/>
      <c r="G1432" s="18"/>
    </row>
    <row r="1433" spans="1:7" ht="22.5" customHeight="1">
      <c r="A1433" s="236"/>
      <c r="B1433" s="18"/>
      <c r="C1433" s="18"/>
      <c r="D1433" s="213"/>
      <c r="E1433" s="237"/>
      <c r="F1433" s="18"/>
      <c r="G1433" s="18"/>
    </row>
    <row r="1434" spans="1:7" ht="22.5" customHeight="1">
      <c r="A1434" s="236"/>
      <c r="B1434" s="18"/>
      <c r="C1434" s="18"/>
      <c r="D1434" s="213"/>
      <c r="E1434" s="237"/>
      <c r="F1434" s="18"/>
      <c r="G1434" s="18"/>
    </row>
    <row r="1435" spans="1:7" ht="22.5" customHeight="1">
      <c r="A1435" s="236"/>
      <c r="B1435" s="18"/>
      <c r="C1435" s="18"/>
      <c r="D1435" s="213"/>
      <c r="E1435" s="237"/>
      <c r="F1435" s="18"/>
      <c r="G1435" s="18"/>
    </row>
    <row r="1436" spans="1:7" ht="22.5" customHeight="1">
      <c r="A1436" s="236"/>
      <c r="B1436" s="18"/>
      <c r="C1436" s="18"/>
      <c r="D1436" s="213"/>
      <c r="E1436" s="237"/>
      <c r="F1436" s="18"/>
      <c r="G1436" s="18"/>
    </row>
    <row r="1437" spans="1:7" ht="22.5" customHeight="1">
      <c r="A1437" s="236"/>
      <c r="B1437" s="18"/>
      <c r="C1437" s="18"/>
      <c r="D1437" s="213"/>
      <c r="E1437" s="237"/>
      <c r="F1437" s="18"/>
      <c r="G1437" s="18"/>
    </row>
    <row r="1438" spans="1:7" ht="22.5" customHeight="1">
      <c r="A1438" s="236"/>
      <c r="B1438" s="18"/>
      <c r="C1438" s="18"/>
      <c r="D1438" s="213"/>
      <c r="E1438" s="237"/>
      <c r="F1438" s="18"/>
      <c r="G1438" s="18"/>
    </row>
    <row r="1439" spans="1:7" ht="22.5" customHeight="1">
      <c r="A1439" s="236"/>
      <c r="B1439" s="18"/>
      <c r="C1439" s="18"/>
      <c r="D1439" s="213"/>
      <c r="E1439" s="237"/>
      <c r="F1439" s="18"/>
      <c r="G1439" s="18"/>
    </row>
    <row r="1440" spans="1:7" ht="22.5" customHeight="1">
      <c r="A1440" s="236"/>
      <c r="B1440" s="18"/>
      <c r="C1440" s="18"/>
      <c r="D1440" s="213"/>
      <c r="E1440" s="237"/>
      <c r="F1440" s="18"/>
      <c r="G1440" s="18"/>
    </row>
    <row r="1441" spans="1:7" ht="22.5" customHeight="1">
      <c r="A1441" s="236"/>
      <c r="B1441" s="18"/>
      <c r="C1441" s="18"/>
      <c r="D1441" s="213"/>
      <c r="E1441" s="237"/>
      <c r="F1441" s="18"/>
      <c r="G1441" s="18"/>
    </row>
    <row r="1442" spans="1:7" ht="22.5" customHeight="1">
      <c r="A1442" s="236"/>
      <c r="B1442" s="18"/>
      <c r="C1442" s="18"/>
      <c r="D1442" s="213"/>
      <c r="E1442" s="237"/>
      <c r="F1442" s="18"/>
      <c r="G1442" s="18"/>
    </row>
    <row r="1443" spans="1:7" ht="22.5" customHeight="1">
      <c r="A1443" s="236"/>
      <c r="B1443" s="18"/>
      <c r="C1443" s="18"/>
      <c r="D1443" s="213"/>
      <c r="E1443" s="237"/>
      <c r="F1443" s="18"/>
      <c r="G1443" s="18"/>
    </row>
    <row r="1444" spans="1:7" ht="22.5" customHeight="1">
      <c r="A1444" s="236"/>
      <c r="B1444" s="18"/>
      <c r="C1444" s="18"/>
      <c r="D1444" s="213"/>
      <c r="E1444" s="237"/>
      <c r="F1444" s="18"/>
      <c r="G1444" s="18"/>
    </row>
    <row r="1445" spans="1:7" ht="22.5" customHeight="1">
      <c r="A1445" s="236"/>
      <c r="B1445" s="18"/>
      <c r="C1445" s="18"/>
      <c r="D1445" s="213"/>
      <c r="E1445" s="237"/>
      <c r="F1445" s="18"/>
      <c r="G1445" s="18"/>
    </row>
    <row r="1446" spans="1:7" ht="22.5" customHeight="1">
      <c r="A1446" s="236"/>
      <c r="B1446" s="18"/>
      <c r="C1446" s="18"/>
      <c r="D1446" s="213"/>
      <c r="E1446" s="237"/>
      <c r="F1446" s="18"/>
      <c r="G1446" s="18"/>
    </row>
    <row r="1447" spans="1:7" ht="22.5" customHeight="1">
      <c r="A1447" s="236"/>
      <c r="B1447" s="18"/>
      <c r="C1447" s="18"/>
      <c r="D1447" s="213"/>
      <c r="E1447" s="237"/>
      <c r="F1447" s="18"/>
      <c r="G1447" s="18"/>
    </row>
    <row r="1448" spans="1:7" ht="22.5" customHeight="1">
      <c r="A1448" s="236"/>
      <c r="B1448" s="18"/>
      <c r="C1448" s="18"/>
      <c r="D1448" s="213"/>
      <c r="E1448" s="237"/>
      <c r="F1448" s="18"/>
      <c r="G1448" s="18"/>
    </row>
    <row r="1449" spans="1:7" ht="22.5" customHeight="1">
      <c r="A1449" s="236"/>
      <c r="B1449" s="18"/>
      <c r="C1449" s="18"/>
      <c r="D1449" s="213"/>
      <c r="E1449" s="237"/>
      <c r="F1449" s="18"/>
      <c r="G1449" s="18"/>
    </row>
    <row r="1450" spans="1:7" ht="22.5" customHeight="1">
      <c r="A1450" s="236"/>
      <c r="B1450" s="18"/>
      <c r="C1450" s="18"/>
      <c r="D1450" s="213"/>
      <c r="E1450" s="237"/>
      <c r="F1450" s="18"/>
      <c r="G1450" s="18"/>
    </row>
    <row r="1451" spans="1:7" ht="22.5" customHeight="1">
      <c r="A1451" s="236"/>
      <c r="B1451" s="18"/>
      <c r="C1451" s="18"/>
      <c r="D1451" s="213"/>
      <c r="E1451" s="237"/>
      <c r="F1451" s="18"/>
      <c r="G1451" s="18"/>
    </row>
    <row r="1452" spans="1:7" ht="22.5" customHeight="1">
      <c r="A1452" s="236"/>
      <c r="B1452" s="18"/>
      <c r="C1452" s="18"/>
      <c r="D1452" s="213"/>
      <c r="E1452" s="237"/>
      <c r="F1452" s="18"/>
      <c r="G1452" s="18"/>
    </row>
    <row r="1453" spans="1:7" ht="22.5" customHeight="1">
      <c r="A1453" s="236"/>
      <c r="B1453" s="18"/>
      <c r="C1453" s="18"/>
      <c r="D1453" s="213"/>
      <c r="E1453" s="237"/>
      <c r="F1453" s="18"/>
      <c r="G1453" s="18"/>
    </row>
    <row r="1454" spans="1:7" ht="22.5" customHeight="1">
      <c r="A1454" s="236"/>
      <c r="B1454" s="18"/>
      <c r="C1454" s="18"/>
      <c r="D1454" s="213"/>
      <c r="E1454" s="237"/>
      <c r="F1454" s="18"/>
      <c r="G1454" s="18"/>
    </row>
    <row r="1455" spans="1:7" ht="22.5" customHeight="1">
      <c r="A1455" s="236"/>
      <c r="B1455" s="18"/>
      <c r="C1455" s="18"/>
      <c r="D1455" s="213"/>
      <c r="E1455" s="237"/>
      <c r="F1455" s="18"/>
      <c r="G1455" s="18"/>
    </row>
    <row r="1456" spans="1:7" ht="22.5" customHeight="1">
      <c r="A1456" s="236"/>
      <c r="B1456" s="18"/>
      <c r="C1456" s="18"/>
      <c r="D1456" s="213"/>
      <c r="E1456" s="237"/>
      <c r="F1456" s="18"/>
      <c r="G1456" s="18"/>
    </row>
    <row r="1457" spans="1:7" ht="22.5" customHeight="1">
      <c r="A1457" s="236"/>
      <c r="B1457" s="18"/>
      <c r="C1457" s="18"/>
      <c r="D1457" s="213"/>
      <c r="E1457" s="237"/>
      <c r="F1457" s="18"/>
      <c r="G1457" s="18"/>
    </row>
    <row r="1458" spans="1:7" ht="22.5" customHeight="1">
      <c r="A1458" s="236"/>
      <c r="B1458" s="18"/>
      <c r="C1458" s="18"/>
      <c r="D1458" s="213"/>
      <c r="E1458" s="237"/>
      <c r="F1458" s="18"/>
      <c r="G1458" s="18"/>
    </row>
    <row r="1459" spans="1:7" ht="22.5" customHeight="1">
      <c r="A1459" s="236"/>
      <c r="B1459" s="18"/>
      <c r="C1459" s="18"/>
      <c r="D1459" s="213"/>
      <c r="E1459" s="237"/>
      <c r="F1459" s="18"/>
      <c r="G1459" s="18"/>
    </row>
    <row r="1460" spans="1:7" ht="22.5" customHeight="1">
      <c r="A1460" s="236"/>
      <c r="B1460" s="18"/>
      <c r="C1460" s="18"/>
      <c r="D1460" s="213"/>
      <c r="E1460" s="237"/>
      <c r="F1460" s="18"/>
      <c r="G1460" s="18"/>
    </row>
    <row r="1461" spans="1:7" ht="22.5" customHeight="1">
      <c r="A1461" s="236"/>
      <c r="B1461" s="18"/>
      <c r="C1461" s="18"/>
      <c r="D1461" s="213"/>
      <c r="E1461" s="237"/>
      <c r="F1461" s="18"/>
      <c r="G1461" s="18"/>
    </row>
    <row r="1462" spans="1:7" ht="22.5" customHeight="1">
      <c r="A1462" s="236"/>
      <c r="B1462" s="18"/>
      <c r="C1462" s="18"/>
      <c r="D1462" s="213"/>
      <c r="E1462" s="237"/>
      <c r="F1462" s="18"/>
      <c r="G1462" s="18"/>
    </row>
    <row r="1463" spans="1:7" ht="22.5" customHeight="1">
      <c r="A1463" s="236"/>
      <c r="B1463" s="18"/>
      <c r="C1463" s="18"/>
      <c r="D1463" s="213"/>
      <c r="E1463" s="237"/>
      <c r="F1463" s="18"/>
      <c r="G1463" s="18"/>
    </row>
    <row r="1464" spans="1:7" ht="22.5" customHeight="1">
      <c r="A1464" s="236"/>
      <c r="B1464" s="18"/>
      <c r="C1464" s="18"/>
      <c r="D1464" s="213"/>
      <c r="E1464" s="237"/>
      <c r="F1464" s="18"/>
      <c r="G1464" s="18"/>
    </row>
    <row r="1465" spans="1:7" ht="22.5" customHeight="1">
      <c r="A1465" s="236"/>
      <c r="B1465" s="18"/>
      <c r="C1465" s="18"/>
      <c r="D1465" s="213"/>
      <c r="E1465" s="237"/>
      <c r="F1465" s="18"/>
      <c r="G1465" s="18"/>
    </row>
    <row r="1466" spans="1:7" ht="22.5" customHeight="1">
      <c r="A1466" s="236"/>
      <c r="B1466" s="18"/>
      <c r="C1466" s="18"/>
      <c r="D1466" s="213"/>
      <c r="E1466" s="237"/>
      <c r="F1466" s="18"/>
      <c r="G1466" s="18"/>
    </row>
    <row r="1467" spans="1:7" ht="22.5" customHeight="1">
      <c r="A1467" s="236"/>
      <c r="B1467" s="18"/>
      <c r="C1467" s="18"/>
      <c r="D1467" s="213"/>
      <c r="E1467" s="237"/>
      <c r="F1467" s="18"/>
      <c r="G1467" s="18"/>
    </row>
    <row r="1468" spans="1:7" ht="22.5" customHeight="1">
      <c r="A1468" s="236"/>
      <c r="B1468" s="18"/>
      <c r="C1468" s="18"/>
      <c r="D1468" s="213"/>
      <c r="E1468" s="237"/>
      <c r="F1468" s="18"/>
      <c r="G1468" s="18"/>
    </row>
    <row r="1469" spans="1:7" ht="22.5" customHeight="1">
      <c r="A1469" s="236"/>
      <c r="B1469" s="18"/>
      <c r="C1469" s="18"/>
      <c r="D1469" s="213"/>
      <c r="E1469" s="237"/>
      <c r="F1469" s="18"/>
      <c r="G1469" s="18"/>
    </row>
    <row r="1470" spans="1:7" ht="22.5" customHeight="1">
      <c r="A1470" s="236"/>
      <c r="B1470" s="18"/>
      <c r="C1470" s="18"/>
      <c r="D1470" s="213"/>
      <c r="E1470" s="237"/>
      <c r="F1470" s="18"/>
      <c r="G1470" s="18"/>
    </row>
    <row r="1471" spans="1:7" ht="22.5" customHeight="1">
      <c r="A1471" s="236"/>
      <c r="B1471" s="18"/>
      <c r="C1471" s="18"/>
      <c r="D1471" s="213"/>
      <c r="E1471" s="237"/>
      <c r="F1471" s="18"/>
      <c r="G1471" s="18"/>
    </row>
    <row r="1472" spans="1:7" ht="22.5" customHeight="1">
      <c r="A1472" s="236"/>
      <c r="B1472" s="18"/>
      <c r="C1472" s="18"/>
      <c r="D1472" s="213"/>
      <c r="E1472" s="237"/>
      <c r="F1472" s="18"/>
      <c r="G1472" s="18"/>
    </row>
    <row r="1473" spans="1:7" ht="22.5" customHeight="1">
      <c r="A1473" s="236"/>
      <c r="B1473" s="18"/>
      <c r="C1473" s="18"/>
      <c r="D1473" s="213"/>
      <c r="E1473" s="237"/>
      <c r="F1473" s="18"/>
      <c r="G1473" s="18"/>
    </row>
    <row r="1474" spans="1:7" ht="22.5" customHeight="1">
      <c r="A1474" s="236"/>
      <c r="B1474" s="18"/>
      <c r="C1474" s="18"/>
      <c r="D1474" s="213"/>
      <c r="E1474" s="237"/>
      <c r="F1474" s="18"/>
      <c r="G1474" s="18"/>
    </row>
    <row r="1475" spans="1:7" ht="22.5" customHeight="1">
      <c r="A1475" s="236"/>
      <c r="B1475" s="18"/>
      <c r="C1475" s="18"/>
      <c r="D1475" s="213"/>
      <c r="E1475" s="237"/>
      <c r="F1475" s="18"/>
      <c r="G1475" s="18"/>
    </row>
    <row r="1476" spans="1:7" ht="22.5" customHeight="1">
      <c r="A1476" s="236"/>
      <c r="B1476" s="18"/>
      <c r="C1476" s="18"/>
      <c r="D1476" s="213"/>
      <c r="E1476" s="237"/>
      <c r="F1476" s="18"/>
      <c r="G1476" s="18"/>
    </row>
    <row r="1477" spans="1:7" ht="22.5" customHeight="1">
      <c r="A1477" s="236"/>
      <c r="B1477" s="18"/>
      <c r="C1477" s="18"/>
      <c r="D1477" s="213"/>
      <c r="E1477" s="237"/>
      <c r="F1477" s="18"/>
      <c r="G1477" s="18"/>
    </row>
    <row r="1478" spans="1:7" ht="22.5" customHeight="1">
      <c r="A1478" s="236"/>
      <c r="B1478" s="18"/>
      <c r="C1478" s="18"/>
      <c r="D1478" s="213"/>
      <c r="E1478" s="237"/>
      <c r="F1478" s="18"/>
      <c r="G1478" s="18"/>
    </row>
    <row r="1479" spans="1:7" ht="22.5" customHeight="1">
      <c r="A1479" s="236"/>
      <c r="B1479" s="18"/>
      <c r="C1479" s="18"/>
      <c r="D1479" s="213"/>
      <c r="E1479" s="237"/>
      <c r="F1479" s="18"/>
      <c r="G1479" s="18"/>
    </row>
    <row r="1480" spans="1:7" ht="22.5" customHeight="1">
      <c r="A1480" s="236"/>
      <c r="B1480" s="18"/>
      <c r="C1480" s="18"/>
      <c r="D1480" s="213"/>
      <c r="E1480" s="237"/>
      <c r="F1480" s="18"/>
      <c r="G1480" s="18"/>
    </row>
    <row r="1481" spans="1:7" ht="22.5" customHeight="1">
      <c r="A1481" s="236"/>
      <c r="B1481" s="18"/>
      <c r="C1481" s="18"/>
      <c r="D1481" s="213"/>
      <c r="E1481" s="237"/>
      <c r="F1481" s="18"/>
      <c r="G1481" s="18"/>
    </row>
    <row r="1482" spans="1:7" ht="22.5" customHeight="1">
      <c r="A1482" s="236"/>
      <c r="B1482" s="18"/>
      <c r="C1482" s="18"/>
      <c r="D1482" s="213"/>
      <c r="E1482" s="237"/>
      <c r="F1482" s="18"/>
      <c r="G1482" s="18"/>
    </row>
    <row r="1483" spans="1:7" ht="22.5" customHeight="1">
      <c r="A1483" s="236"/>
      <c r="B1483" s="18"/>
      <c r="C1483" s="18"/>
      <c r="D1483" s="213"/>
      <c r="E1483" s="237"/>
      <c r="F1483" s="18"/>
      <c r="G1483" s="18"/>
    </row>
    <row r="1484" spans="1:7" ht="22.5" customHeight="1">
      <c r="A1484" s="236"/>
      <c r="B1484" s="18"/>
      <c r="C1484" s="18"/>
      <c r="D1484" s="213"/>
      <c r="E1484" s="237"/>
      <c r="F1484" s="18"/>
      <c r="G1484" s="18"/>
    </row>
    <row r="1485" spans="1:7" ht="22.5" customHeight="1">
      <c r="A1485" s="236"/>
      <c r="B1485" s="18"/>
      <c r="C1485" s="18"/>
      <c r="D1485" s="213"/>
      <c r="E1485" s="237"/>
      <c r="F1485" s="18"/>
      <c r="G1485" s="18"/>
    </row>
    <row r="1486" spans="1:7" ht="22.5" customHeight="1">
      <c r="A1486" s="236"/>
      <c r="B1486" s="18"/>
      <c r="C1486" s="18"/>
      <c r="D1486" s="213"/>
      <c r="E1486" s="237"/>
      <c r="F1486" s="18"/>
      <c r="G1486" s="18"/>
    </row>
    <row r="1487" spans="1:7" ht="22.5" customHeight="1">
      <c r="A1487" s="236"/>
      <c r="B1487" s="18"/>
      <c r="C1487" s="18"/>
      <c r="D1487" s="213"/>
      <c r="E1487" s="237"/>
      <c r="F1487" s="18"/>
      <c r="G1487" s="18"/>
    </row>
    <row r="1488" spans="1:7" ht="22.5" customHeight="1">
      <c r="A1488" s="236"/>
      <c r="B1488" s="18"/>
      <c r="C1488" s="18"/>
      <c r="D1488" s="213"/>
      <c r="E1488" s="237"/>
      <c r="F1488" s="18"/>
      <c r="G1488" s="18"/>
    </row>
    <row r="1489" spans="1:7" ht="22.5" customHeight="1">
      <c r="A1489" s="236"/>
      <c r="B1489" s="18"/>
      <c r="C1489" s="18"/>
      <c r="D1489" s="213"/>
      <c r="E1489" s="237"/>
      <c r="F1489" s="18"/>
      <c r="G1489" s="18"/>
    </row>
    <row r="1490" spans="1:7" ht="22.5" customHeight="1">
      <c r="A1490" s="236"/>
      <c r="B1490" s="18"/>
      <c r="C1490" s="18"/>
      <c r="D1490" s="213"/>
      <c r="E1490" s="237"/>
      <c r="F1490" s="18"/>
      <c r="G1490" s="18"/>
    </row>
    <row r="1491" spans="1:7" ht="22.5" customHeight="1">
      <c r="A1491" s="236"/>
      <c r="B1491" s="18"/>
      <c r="C1491" s="18"/>
      <c r="D1491" s="213"/>
      <c r="E1491" s="237"/>
      <c r="F1491" s="18"/>
      <c r="G1491" s="18"/>
    </row>
    <row r="1492" spans="1:7" ht="22.5" customHeight="1">
      <c r="A1492" s="236"/>
      <c r="B1492" s="18"/>
      <c r="C1492" s="18"/>
      <c r="D1492" s="213"/>
      <c r="E1492" s="237"/>
      <c r="F1492" s="18"/>
      <c r="G1492" s="18"/>
    </row>
    <row r="1493" spans="1:7" ht="22.5" customHeight="1">
      <c r="A1493" s="236"/>
      <c r="B1493" s="18"/>
      <c r="C1493" s="18"/>
      <c r="D1493" s="213"/>
      <c r="E1493" s="237"/>
      <c r="F1493" s="18"/>
      <c r="G1493" s="18"/>
    </row>
    <row r="1494" spans="1:7" ht="22.5" customHeight="1">
      <c r="A1494" s="236"/>
      <c r="B1494" s="18"/>
      <c r="C1494" s="18"/>
      <c r="D1494" s="213"/>
      <c r="E1494" s="237"/>
      <c r="F1494" s="18"/>
      <c r="G1494" s="18"/>
    </row>
    <row r="1495" spans="1:7" ht="22.5" customHeight="1">
      <c r="A1495" s="236"/>
      <c r="B1495" s="18"/>
      <c r="C1495" s="18"/>
      <c r="D1495" s="213"/>
      <c r="E1495" s="237"/>
      <c r="F1495" s="18"/>
      <c r="G1495" s="18"/>
    </row>
    <row r="1496" spans="1:7" ht="22.5" customHeight="1">
      <c r="A1496" s="236"/>
      <c r="B1496" s="18"/>
      <c r="C1496" s="18"/>
      <c r="D1496" s="213"/>
      <c r="E1496" s="237"/>
      <c r="F1496" s="18"/>
      <c r="G1496" s="18"/>
    </row>
    <row r="1497" spans="1:7" ht="22.5" customHeight="1">
      <c r="A1497" s="236"/>
      <c r="B1497" s="18"/>
      <c r="C1497" s="18"/>
      <c r="D1497" s="213"/>
      <c r="E1497" s="237"/>
      <c r="F1497" s="18"/>
      <c r="G1497" s="18"/>
    </row>
    <row r="1498" spans="1:7" ht="22.5" customHeight="1">
      <c r="A1498" s="236"/>
      <c r="B1498" s="18"/>
      <c r="C1498" s="18"/>
      <c r="D1498" s="213"/>
      <c r="E1498" s="237"/>
      <c r="F1498" s="18"/>
      <c r="G1498" s="18"/>
    </row>
    <row r="1499" spans="1:7" ht="22.5" customHeight="1">
      <c r="A1499" s="236"/>
      <c r="B1499" s="18"/>
      <c r="C1499" s="18"/>
      <c r="D1499" s="213"/>
      <c r="E1499" s="237"/>
      <c r="F1499" s="18"/>
      <c r="G1499" s="18"/>
    </row>
    <row r="1500" spans="1:7" ht="22.5" customHeight="1">
      <c r="A1500" s="236"/>
      <c r="B1500" s="18"/>
      <c r="C1500" s="18"/>
      <c r="D1500" s="213"/>
      <c r="E1500" s="237"/>
      <c r="F1500" s="18"/>
      <c r="G1500" s="18"/>
    </row>
    <row r="1501" spans="1:7" ht="22.5" customHeight="1">
      <c r="A1501" s="236"/>
      <c r="B1501" s="18"/>
      <c r="C1501" s="18"/>
      <c r="D1501" s="213"/>
      <c r="E1501" s="237"/>
      <c r="F1501" s="18"/>
      <c r="G1501" s="18"/>
    </row>
    <row r="1502" spans="1:7" ht="22.5" customHeight="1">
      <c r="A1502" s="236"/>
      <c r="B1502" s="18"/>
      <c r="C1502" s="18"/>
      <c r="D1502" s="213"/>
      <c r="E1502" s="237"/>
      <c r="F1502" s="18"/>
      <c r="G1502" s="18"/>
    </row>
    <row r="1503" spans="1:7" ht="22.5" customHeight="1">
      <c r="A1503" s="236"/>
      <c r="B1503" s="18"/>
      <c r="C1503" s="18"/>
      <c r="D1503" s="213"/>
      <c r="E1503" s="237"/>
      <c r="F1503" s="18"/>
      <c r="G1503" s="18"/>
    </row>
    <row r="1504" spans="1:7" ht="22.5" customHeight="1">
      <c r="A1504" s="236"/>
      <c r="B1504" s="18"/>
      <c r="C1504" s="18"/>
      <c r="D1504" s="213"/>
      <c r="E1504" s="237"/>
      <c r="F1504" s="18"/>
      <c r="G1504" s="18"/>
    </row>
    <row r="1505" spans="1:7" ht="22.5" customHeight="1">
      <c r="A1505" s="236"/>
      <c r="B1505" s="18"/>
      <c r="C1505" s="18"/>
      <c r="D1505" s="213"/>
      <c r="E1505" s="237"/>
      <c r="F1505" s="18"/>
      <c r="G1505" s="18"/>
    </row>
    <row r="1506" spans="1:7" ht="22.5" customHeight="1">
      <c r="A1506" s="236"/>
      <c r="B1506" s="18"/>
      <c r="C1506" s="18"/>
      <c r="D1506" s="213"/>
      <c r="E1506" s="237"/>
      <c r="F1506" s="18"/>
      <c r="G1506" s="18"/>
    </row>
    <row r="1507" spans="1:7" ht="22.5" customHeight="1">
      <c r="A1507" s="236"/>
      <c r="B1507" s="18"/>
      <c r="C1507" s="18"/>
      <c r="D1507" s="213"/>
      <c r="E1507" s="237"/>
      <c r="F1507" s="18"/>
      <c r="G1507" s="18"/>
    </row>
    <row r="1508" spans="1:7" ht="22.5" customHeight="1">
      <c r="A1508" s="236"/>
      <c r="B1508" s="18"/>
      <c r="C1508" s="18"/>
      <c r="D1508" s="213"/>
      <c r="E1508" s="237"/>
      <c r="F1508" s="18"/>
      <c r="G1508" s="18"/>
    </row>
    <row r="1509" spans="1:7" ht="22.5" customHeight="1">
      <c r="A1509" s="236"/>
      <c r="B1509" s="18"/>
      <c r="C1509" s="18"/>
      <c r="D1509" s="213"/>
      <c r="E1509" s="237"/>
      <c r="F1509" s="18"/>
      <c r="G1509" s="18"/>
    </row>
    <row r="1510" spans="1:7" ht="22.5" customHeight="1">
      <c r="A1510" s="236"/>
      <c r="B1510" s="18"/>
      <c r="C1510" s="18"/>
      <c r="D1510" s="213"/>
      <c r="E1510" s="237"/>
      <c r="F1510" s="18"/>
      <c r="G1510" s="18"/>
    </row>
    <row r="1511" spans="1:7" ht="22.5" customHeight="1">
      <c r="A1511" s="236"/>
      <c r="B1511" s="18"/>
      <c r="C1511" s="18"/>
      <c r="D1511" s="213"/>
      <c r="E1511" s="237"/>
      <c r="F1511" s="18"/>
      <c r="G1511" s="18"/>
    </row>
    <row r="1512" spans="1:7" ht="22.5" customHeight="1">
      <c r="A1512" s="236"/>
      <c r="B1512" s="18"/>
      <c r="C1512" s="18"/>
      <c r="D1512" s="213"/>
      <c r="E1512" s="237"/>
      <c r="F1512" s="18"/>
      <c r="G1512" s="18"/>
    </row>
    <row r="1513" spans="1:7" ht="22.5" customHeight="1">
      <c r="A1513" s="236"/>
      <c r="B1513" s="18"/>
      <c r="C1513" s="18"/>
      <c r="D1513" s="213"/>
      <c r="E1513" s="237"/>
      <c r="F1513" s="18"/>
      <c r="G1513" s="18"/>
    </row>
    <row r="1514" spans="1:7" ht="22.5" customHeight="1">
      <c r="A1514" s="236"/>
      <c r="B1514" s="18"/>
      <c r="C1514" s="18"/>
      <c r="D1514" s="213"/>
      <c r="E1514" s="237"/>
      <c r="F1514" s="18"/>
      <c r="G1514" s="18"/>
    </row>
    <row r="1515" spans="1:7" ht="22.5" customHeight="1">
      <c r="A1515" s="236"/>
      <c r="B1515" s="18"/>
      <c r="C1515" s="18"/>
      <c r="D1515" s="213"/>
      <c r="E1515" s="237"/>
      <c r="F1515" s="18"/>
      <c r="G1515" s="18"/>
    </row>
    <row r="1516" spans="1:7" ht="22.5" customHeight="1">
      <c r="A1516" s="236"/>
      <c r="B1516" s="18"/>
      <c r="C1516" s="18"/>
      <c r="D1516" s="213"/>
      <c r="E1516" s="237"/>
      <c r="F1516" s="18"/>
      <c r="G1516" s="18"/>
    </row>
    <row r="1517" spans="1:7" ht="22.5" customHeight="1">
      <c r="A1517" s="236"/>
      <c r="B1517" s="18"/>
      <c r="C1517" s="18"/>
      <c r="D1517" s="213"/>
      <c r="E1517" s="237"/>
      <c r="F1517" s="18"/>
      <c r="G1517" s="18"/>
    </row>
    <row r="1518" spans="1:7" ht="22.5" customHeight="1">
      <c r="A1518" s="236"/>
      <c r="B1518" s="18"/>
      <c r="C1518" s="18"/>
      <c r="D1518" s="213"/>
      <c r="E1518" s="237"/>
      <c r="F1518" s="18"/>
      <c r="G1518" s="18"/>
    </row>
    <row r="1519" spans="1:7" ht="22.5" customHeight="1">
      <c r="A1519" s="236"/>
      <c r="B1519" s="18"/>
      <c r="C1519" s="18"/>
      <c r="D1519" s="213"/>
      <c r="E1519" s="237"/>
      <c r="F1519" s="18"/>
      <c r="G1519" s="18"/>
    </row>
    <row r="1520" spans="1:7" ht="22.5" customHeight="1">
      <c r="A1520" s="236"/>
      <c r="B1520" s="18"/>
      <c r="C1520" s="18"/>
      <c r="D1520" s="213"/>
      <c r="E1520" s="237"/>
      <c r="F1520" s="18"/>
      <c r="G1520" s="18"/>
    </row>
    <row r="1521" spans="1:7" ht="22.5" customHeight="1">
      <c r="A1521" s="236"/>
      <c r="B1521" s="18"/>
      <c r="C1521" s="18"/>
      <c r="D1521" s="213"/>
      <c r="E1521" s="237"/>
      <c r="F1521" s="18"/>
      <c r="G1521" s="18"/>
    </row>
    <row r="1522" spans="1:7" ht="22.5" customHeight="1">
      <c r="A1522" s="236"/>
      <c r="B1522" s="18"/>
      <c r="C1522" s="18"/>
      <c r="D1522" s="213"/>
      <c r="E1522" s="237"/>
      <c r="F1522" s="18"/>
      <c r="G1522" s="18"/>
    </row>
    <row r="1523" spans="1:7" ht="22.5" customHeight="1">
      <c r="A1523" s="236"/>
      <c r="B1523" s="18"/>
      <c r="C1523" s="18"/>
      <c r="D1523" s="213"/>
      <c r="E1523" s="237"/>
      <c r="F1523" s="18"/>
      <c r="G1523" s="18"/>
    </row>
    <row r="1524" spans="1:7" ht="22.5" customHeight="1">
      <c r="A1524" s="236"/>
      <c r="B1524" s="18"/>
      <c r="C1524" s="18"/>
      <c r="D1524" s="213"/>
      <c r="E1524" s="237"/>
      <c r="F1524" s="18"/>
      <c r="G1524" s="18"/>
    </row>
    <row r="1525" spans="1:7" ht="22.5" customHeight="1">
      <c r="A1525" s="236"/>
      <c r="B1525" s="18"/>
      <c r="C1525" s="18"/>
      <c r="D1525" s="213"/>
      <c r="E1525" s="237"/>
      <c r="F1525" s="18"/>
      <c r="G1525" s="18"/>
    </row>
    <row r="1526" spans="1:7" ht="22.5" customHeight="1">
      <c r="A1526" s="236"/>
      <c r="B1526" s="18"/>
      <c r="C1526" s="18"/>
      <c r="D1526" s="213"/>
      <c r="E1526" s="237"/>
      <c r="F1526" s="18"/>
      <c r="G1526" s="18"/>
    </row>
    <row r="1527" spans="1:7" ht="22.5" customHeight="1">
      <c r="A1527" s="236"/>
      <c r="B1527" s="18"/>
      <c r="C1527" s="18"/>
      <c r="D1527" s="213"/>
      <c r="E1527" s="237"/>
      <c r="F1527" s="18"/>
      <c r="G1527" s="18"/>
    </row>
    <row r="1528" spans="1:7" ht="22.5" customHeight="1">
      <c r="A1528" s="236"/>
      <c r="B1528" s="18"/>
      <c r="C1528" s="18"/>
      <c r="D1528" s="213"/>
      <c r="E1528" s="237"/>
      <c r="F1528" s="18"/>
      <c r="G1528" s="18"/>
    </row>
    <row r="1529" spans="1:7" ht="22.5" customHeight="1">
      <c r="A1529" s="236"/>
      <c r="B1529" s="18"/>
      <c r="C1529" s="18"/>
      <c r="D1529" s="213"/>
      <c r="E1529" s="237"/>
      <c r="F1529" s="18"/>
      <c r="G1529" s="18"/>
    </row>
    <row r="1530" spans="1:7" ht="22.5" customHeight="1">
      <c r="A1530" s="236"/>
      <c r="B1530" s="18"/>
      <c r="C1530" s="18"/>
      <c r="D1530" s="213"/>
      <c r="E1530" s="237"/>
      <c r="F1530" s="18"/>
      <c r="G1530" s="18"/>
    </row>
    <row r="1531" spans="1:7" ht="22.5" customHeight="1">
      <c r="A1531" s="236"/>
      <c r="B1531" s="18"/>
      <c r="C1531" s="18"/>
      <c r="D1531" s="213"/>
      <c r="E1531" s="237"/>
      <c r="F1531" s="18"/>
      <c r="G1531" s="18"/>
    </row>
    <row r="1532" spans="1:7" ht="22.5" customHeight="1">
      <c r="A1532" s="236"/>
      <c r="B1532" s="18"/>
      <c r="C1532" s="18"/>
      <c r="D1532" s="213"/>
      <c r="E1532" s="237"/>
      <c r="F1532" s="18"/>
      <c r="G1532" s="18"/>
    </row>
    <row r="1533" spans="1:7" ht="22.5" customHeight="1">
      <c r="A1533" s="236"/>
      <c r="B1533" s="18"/>
      <c r="C1533" s="18"/>
      <c r="D1533" s="213"/>
      <c r="E1533" s="237"/>
      <c r="F1533" s="18"/>
      <c r="G1533" s="18"/>
    </row>
    <row r="1534" spans="1:7" ht="22.5" customHeight="1">
      <c r="A1534" s="236"/>
      <c r="B1534" s="18"/>
      <c r="C1534" s="18"/>
      <c r="D1534" s="213"/>
      <c r="E1534" s="237"/>
      <c r="F1534" s="18"/>
      <c r="G1534" s="18"/>
    </row>
    <row r="1535" spans="1:7" ht="22.5" customHeight="1">
      <c r="A1535" s="236"/>
      <c r="B1535" s="18"/>
      <c r="C1535" s="18"/>
      <c r="D1535" s="213"/>
      <c r="E1535" s="237"/>
      <c r="F1535" s="18"/>
      <c r="G1535" s="18"/>
    </row>
    <row r="1536" spans="1:7" ht="22.5" customHeight="1">
      <c r="A1536" s="236"/>
      <c r="B1536" s="18"/>
      <c r="C1536" s="18"/>
      <c r="D1536" s="213"/>
      <c r="E1536" s="237"/>
      <c r="F1536" s="18"/>
      <c r="G1536" s="18"/>
    </row>
    <row r="1537" spans="1:7" ht="22.5" customHeight="1">
      <c r="A1537" s="236"/>
      <c r="B1537" s="18"/>
      <c r="C1537" s="18"/>
      <c r="D1537" s="213"/>
      <c r="E1537" s="237"/>
      <c r="F1537" s="18"/>
      <c r="G1537" s="18"/>
    </row>
    <row r="1538" spans="1:7" ht="22.5" customHeight="1">
      <c r="A1538" s="236"/>
      <c r="B1538" s="18"/>
      <c r="C1538" s="18"/>
      <c r="D1538" s="213"/>
      <c r="E1538" s="237"/>
      <c r="F1538" s="18"/>
      <c r="G1538" s="18"/>
    </row>
    <row r="1539" spans="1:7" ht="22.5" customHeight="1">
      <c r="A1539" s="236"/>
      <c r="B1539" s="18"/>
      <c r="C1539" s="18"/>
      <c r="D1539" s="213"/>
      <c r="E1539" s="237"/>
      <c r="F1539" s="18"/>
      <c r="G1539" s="18"/>
    </row>
    <row r="1540" spans="1:7" ht="22.5" customHeight="1">
      <c r="A1540" s="236"/>
      <c r="B1540" s="18"/>
      <c r="C1540" s="18"/>
      <c r="D1540" s="213"/>
      <c r="E1540" s="237"/>
      <c r="F1540" s="18"/>
      <c r="G1540" s="18"/>
    </row>
    <row r="1541" spans="1:7" ht="22.5" customHeight="1">
      <c r="A1541" s="236"/>
      <c r="B1541" s="18"/>
      <c r="C1541" s="18"/>
      <c r="D1541" s="213"/>
      <c r="E1541" s="237"/>
      <c r="F1541" s="18"/>
      <c r="G1541" s="18"/>
    </row>
    <row r="1542" spans="1:7" ht="22.5" customHeight="1">
      <c r="A1542" s="236"/>
      <c r="B1542" s="18"/>
      <c r="C1542" s="18"/>
      <c r="D1542" s="213"/>
      <c r="E1542" s="237"/>
      <c r="F1542" s="18"/>
      <c r="G1542" s="18"/>
    </row>
    <row r="1543" spans="1:7" ht="22.5" customHeight="1">
      <c r="A1543" s="236"/>
      <c r="B1543" s="18"/>
      <c r="C1543" s="18"/>
      <c r="D1543" s="213"/>
      <c r="E1543" s="237"/>
      <c r="F1543" s="18"/>
      <c r="G1543" s="18"/>
    </row>
    <row r="1544" spans="1:7" ht="22.5" customHeight="1">
      <c r="A1544" s="236"/>
      <c r="B1544" s="18"/>
      <c r="C1544" s="18"/>
      <c r="D1544" s="213"/>
      <c r="E1544" s="237"/>
      <c r="F1544" s="18"/>
      <c r="G1544" s="18"/>
    </row>
    <row r="1545" spans="1:7" ht="22.5" customHeight="1">
      <c r="A1545" s="236"/>
      <c r="B1545" s="18"/>
      <c r="C1545" s="18"/>
      <c r="D1545" s="213"/>
      <c r="E1545" s="237"/>
      <c r="F1545" s="18"/>
      <c r="G1545" s="18"/>
    </row>
    <row r="1546" spans="1:7" ht="22.5" customHeight="1">
      <c r="A1546" s="236"/>
      <c r="B1546" s="18"/>
      <c r="C1546" s="18"/>
      <c r="D1546" s="213"/>
      <c r="E1546" s="237"/>
      <c r="F1546" s="18"/>
      <c r="G1546" s="18"/>
    </row>
    <row r="1547" spans="1:7" ht="22.5" customHeight="1">
      <c r="A1547" s="236"/>
      <c r="B1547" s="18"/>
      <c r="C1547" s="18"/>
      <c r="D1547" s="213"/>
      <c r="E1547" s="237"/>
      <c r="F1547" s="18"/>
      <c r="G1547" s="18"/>
    </row>
    <row r="1548" spans="1:7" ht="22.5" customHeight="1">
      <c r="A1548" s="236"/>
      <c r="B1548" s="18"/>
      <c r="C1548" s="18"/>
      <c r="D1548" s="213"/>
      <c r="E1548" s="237"/>
      <c r="F1548" s="18"/>
      <c r="G1548" s="18"/>
    </row>
    <row r="1549" spans="1:7" ht="22.5" customHeight="1">
      <c r="A1549" s="236"/>
      <c r="B1549" s="18"/>
      <c r="C1549" s="18"/>
      <c r="D1549" s="213"/>
      <c r="E1549" s="237"/>
      <c r="F1549" s="18"/>
      <c r="G1549" s="18"/>
    </row>
    <row r="1550" spans="1:7" ht="22.5" customHeight="1">
      <c r="A1550" s="236"/>
      <c r="B1550" s="18"/>
      <c r="C1550" s="18"/>
      <c r="D1550" s="213"/>
      <c r="E1550" s="237"/>
      <c r="F1550" s="18"/>
      <c r="G1550" s="18"/>
    </row>
    <row r="1551" spans="1:7" ht="22.5" customHeight="1">
      <c r="A1551" s="236"/>
      <c r="B1551" s="18"/>
      <c r="C1551" s="18"/>
      <c r="D1551" s="213"/>
      <c r="E1551" s="237"/>
      <c r="F1551" s="18"/>
      <c r="G1551" s="18"/>
    </row>
    <row r="1552" spans="1:7" ht="22.5" customHeight="1">
      <c r="A1552" s="236"/>
      <c r="B1552" s="18"/>
      <c r="C1552" s="18"/>
      <c r="D1552" s="213"/>
      <c r="E1552" s="237"/>
      <c r="F1552" s="18"/>
      <c r="G1552" s="18"/>
    </row>
    <row r="1553" spans="1:7" ht="22.5" customHeight="1">
      <c r="A1553" s="236"/>
      <c r="B1553" s="18"/>
      <c r="C1553" s="18"/>
      <c r="D1553" s="213"/>
      <c r="E1553" s="237"/>
      <c r="F1553" s="18"/>
      <c r="G1553" s="18"/>
    </row>
    <row r="1554" spans="1:7" ht="22.5" customHeight="1">
      <c r="A1554" s="236"/>
      <c r="B1554" s="18"/>
      <c r="C1554" s="18"/>
      <c r="D1554" s="213"/>
      <c r="E1554" s="237"/>
      <c r="F1554" s="18"/>
      <c r="G1554" s="18"/>
    </row>
    <row r="1555" spans="1:7" ht="22.5" customHeight="1">
      <c r="A1555" s="236"/>
      <c r="B1555" s="18"/>
      <c r="C1555" s="18"/>
      <c r="D1555" s="213"/>
      <c r="E1555" s="237"/>
      <c r="F1555" s="18"/>
      <c r="G1555" s="18"/>
    </row>
    <row r="1556" spans="1:7" ht="22.5" customHeight="1">
      <c r="A1556" s="236"/>
      <c r="B1556" s="18"/>
      <c r="C1556" s="18"/>
      <c r="D1556" s="213"/>
      <c r="E1556" s="237"/>
      <c r="F1556" s="18"/>
      <c r="G1556" s="18"/>
    </row>
    <row r="1557" spans="1:7" ht="22.5" customHeight="1">
      <c r="A1557" s="236"/>
      <c r="B1557" s="18"/>
      <c r="C1557" s="18"/>
      <c r="D1557" s="213"/>
      <c r="E1557" s="237"/>
      <c r="F1557" s="18"/>
      <c r="G1557" s="18"/>
    </row>
    <row r="1558" spans="1:7" ht="22.5" customHeight="1">
      <c r="A1558" s="236"/>
      <c r="B1558" s="18"/>
      <c r="C1558" s="18"/>
      <c r="D1558" s="213"/>
      <c r="E1558" s="237"/>
      <c r="F1558" s="18"/>
      <c r="G1558" s="18"/>
    </row>
    <row r="1559" spans="1:7" ht="22.5" customHeight="1">
      <c r="A1559" s="236"/>
      <c r="B1559" s="18"/>
      <c r="C1559" s="18"/>
      <c r="D1559" s="213"/>
      <c r="E1559" s="237"/>
      <c r="F1559" s="18"/>
      <c r="G1559" s="18"/>
    </row>
    <row r="1560" spans="1:7" ht="22.5" customHeight="1">
      <c r="A1560" s="236"/>
      <c r="B1560" s="18"/>
      <c r="C1560" s="18"/>
      <c r="D1560" s="213"/>
      <c r="E1560" s="237"/>
      <c r="F1560" s="18"/>
      <c r="G1560" s="18"/>
    </row>
    <row r="1561" spans="1:7" ht="22.5" customHeight="1">
      <c r="A1561" s="236"/>
      <c r="B1561" s="18"/>
      <c r="C1561" s="18"/>
      <c r="D1561" s="213"/>
      <c r="E1561" s="237"/>
      <c r="F1561" s="18"/>
      <c r="G1561" s="18"/>
    </row>
    <row r="1562" spans="1:7" ht="22.5" customHeight="1">
      <c r="A1562" s="236"/>
      <c r="B1562" s="18"/>
      <c r="C1562" s="18"/>
      <c r="D1562" s="213"/>
      <c r="E1562" s="237"/>
      <c r="F1562" s="18"/>
      <c r="G1562" s="18"/>
    </row>
    <row r="1563" spans="1:7" ht="22.5" customHeight="1">
      <c r="A1563" s="236"/>
      <c r="B1563" s="18"/>
      <c r="C1563" s="18"/>
      <c r="D1563" s="213"/>
      <c r="E1563" s="237"/>
      <c r="F1563" s="18"/>
      <c r="G1563" s="18"/>
    </row>
    <row r="1564" spans="1:7" ht="22.5" customHeight="1">
      <c r="A1564" s="236"/>
      <c r="B1564" s="18"/>
      <c r="C1564" s="18"/>
      <c r="D1564" s="213"/>
      <c r="E1564" s="237"/>
      <c r="F1564" s="18"/>
      <c r="G1564" s="18"/>
    </row>
    <row r="1565" spans="1:7" ht="22.5" customHeight="1">
      <c r="A1565" s="236"/>
      <c r="B1565" s="18"/>
      <c r="C1565" s="18"/>
      <c r="D1565" s="213"/>
      <c r="E1565" s="237"/>
      <c r="F1565" s="18"/>
      <c r="G1565" s="18"/>
    </row>
    <row r="1566" spans="1:7" ht="22.5" customHeight="1">
      <c r="A1566" s="236"/>
      <c r="B1566" s="18"/>
      <c r="C1566" s="18"/>
      <c r="D1566" s="213"/>
      <c r="E1566" s="237"/>
      <c r="F1566" s="18"/>
      <c r="G1566" s="18"/>
    </row>
    <row r="1567" spans="1:7" ht="22.5" customHeight="1">
      <c r="A1567" s="236"/>
      <c r="B1567" s="18"/>
      <c r="C1567" s="18"/>
      <c r="D1567" s="213"/>
      <c r="E1567" s="237"/>
      <c r="F1567" s="18"/>
      <c r="G1567" s="18"/>
    </row>
    <row r="1568" spans="1:7" ht="22.5" customHeight="1">
      <c r="A1568" s="236"/>
      <c r="B1568" s="18"/>
      <c r="C1568" s="18"/>
      <c r="D1568" s="213"/>
      <c r="E1568" s="237"/>
      <c r="F1568" s="18"/>
      <c r="G1568" s="18"/>
    </row>
    <row r="1569" spans="1:7" ht="22.5" customHeight="1">
      <c r="A1569" s="236"/>
      <c r="B1569" s="18"/>
      <c r="C1569" s="18"/>
      <c r="D1569" s="213"/>
      <c r="E1569" s="237"/>
      <c r="F1569" s="18"/>
      <c r="G1569" s="18"/>
    </row>
    <row r="1570" spans="1:7" ht="22.5" customHeight="1">
      <c r="A1570" s="236"/>
      <c r="B1570" s="18"/>
      <c r="C1570" s="18"/>
      <c r="D1570" s="213"/>
      <c r="E1570" s="237"/>
      <c r="F1570" s="18"/>
      <c r="G1570" s="18"/>
    </row>
    <row r="1571" spans="1:7" ht="22.5" customHeight="1">
      <c r="A1571" s="236"/>
      <c r="B1571" s="18"/>
      <c r="C1571" s="18"/>
      <c r="D1571" s="213"/>
      <c r="E1571" s="237"/>
      <c r="F1571" s="18"/>
      <c r="G1571" s="18"/>
    </row>
    <row r="1572" spans="1:7" ht="22.5" customHeight="1">
      <c r="A1572" s="236"/>
      <c r="B1572" s="18"/>
      <c r="C1572" s="18"/>
      <c r="D1572" s="213"/>
      <c r="E1572" s="237"/>
      <c r="F1572" s="18"/>
      <c r="G1572" s="18"/>
    </row>
    <row r="1573" spans="1:7" ht="22.5" customHeight="1">
      <c r="A1573" s="236"/>
      <c r="B1573" s="18"/>
      <c r="C1573" s="18"/>
      <c r="D1573" s="213"/>
      <c r="E1573" s="237"/>
      <c r="F1573" s="18"/>
      <c r="G1573" s="18"/>
    </row>
    <row r="1574" spans="1:7" ht="22.5" customHeight="1">
      <c r="A1574" s="236"/>
      <c r="B1574" s="18"/>
      <c r="C1574" s="18"/>
      <c r="D1574" s="213"/>
      <c r="E1574" s="237"/>
      <c r="F1574" s="18"/>
      <c r="G1574" s="18"/>
    </row>
    <row r="1575" spans="1:7" ht="22.5" customHeight="1">
      <c r="A1575" s="236"/>
      <c r="B1575" s="18"/>
      <c r="C1575" s="18"/>
      <c r="D1575" s="213"/>
      <c r="E1575" s="237"/>
      <c r="F1575" s="18"/>
      <c r="G1575" s="18"/>
    </row>
    <row r="1576" spans="1:7" ht="22.5" customHeight="1">
      <c r="A1576" s="236"/>
      <c r="B1576" s="18"/>
      <c r="C1576" s="18"/>
      <c r="D1576" s="213"/>
      <c r="E1576" s="237"/>
      <c r="F1576" s="18"/>
      <c r="G1576" s="18"/>
    </row>
    <row r="1577" spans="1:7" ht="22.5" customHeight="1">
      <c r="A1577" s="236"/>
      <c r="B1577" s="18"/>
      <c r="C1577" s="18"/>
      <c r="D1577" s="213"/>
      <c r="E1577" s="237"/>
      <c r="F1577" s="18"/>
      <c r="G1577" s="18"/>
    </row>
    <row r="1578" spans="1:7" ht="22.5" customHeight="1">
      <c r="A1578" s="236"/>
      <c r="B1578" s="18"/>
      <c r="C1578" s="18"/>
      <c r="D1578" s="213"/>
      <c r="E1578" s="237"/>
      <c r="F1578" s="18"/>
      <c r="G1578" s="18"/>
    </row>
    <row r="1579" spans="1:7" ht="22.5" customHeight="1">
      <c r="A1579" s="236"/>
      <c r="B1579" s="18"/>
      <c r="C1579" s="18"/>
      <c r="D1579" s="213"/>
      <c r="E1579" s="237"/>
      <c r="F1579" s="18"/>
      <c r="G1579" s="18"/>
    </row>
    <row r="1580" spans="1:7" ht="22.5" customHeight="1">
      <c r="A1580" s="236"/>
      <c r="B1580" s="18"/>
      <c r="C1580" s="18"/>
      <c r="D1580" s="213"/>
      <c r="E1580" s="237"/>
      <c r="F1580" s="18"/>
      <c r="G1580" s="18"/>
    </row>
    <row r="1581" spans="1:7" ht="22.5" customHeight="1">
      <c r="A1581" s="236"/>
      <c r="B1581" s="18"/>
      <c r="C1581" s="18"/>
      <c r="D1581" s="213"/>
      <c r="E1581" s="237"/>
      <c r="F1581" s="18"/>
      <c r="G1581" s="18"/>
    </row>
    <row r="1582" spans="1:7" ht="22.5" customHeight="1">
      <c r="A1582" s="236"/>
      <c r="B1582" s="18"/>
      <c r="C1582" s="18"/>
      <c r="D1582" s="213"/>
      <c r="E1582" s="237"/>
      <c r="F1582" s="18"/>
      <c r="G1582" s="18"/>
    </row>
    <row r="1583" spans="1:7" ht="22.5" customHeight="1">
      <c r="A1583" s="236"/>
      <c r="B1583" s="18"/>
      <c r="C1583" s="18"/>
      <c r="D1583" s="213"/>
      <c r="E1583" s="237"/>
      <c r="F1583" s="18"/>
      <c r="G1583" s="18"/>
    </row>
    <row r="1584" spans="1:7" ht="22.5" customHeight="1">
      <c r="A1584" s="236"/>
      <c r="B1584" s="18"/>
      <c r="C1584" s="18"/>
      <c r="D1584" s="213"/>
      <c r="E1584" s="237"/>
      <c r="F1584" s="18"/>
      <c r="G1584" s="18"/>
    </row>
    <row r="1585" spans="1:7" ht="22.5" customHeight="1">
      <c r="A1585" s="236"/>
      <c r="B1585" s="18"/>
      <c r="C1585" s="18"/>
      <c r="D1585" s="213"/>
      <c r="E1585" s="237"/>
      <c r="F1585" s="18"/>
      <c r="G1585" s="18"/>
    </row>
    <row r="1586" spans="1:7" ht="22.5" customHeight="1">
      <c r="A1586" s="236"/>
      <c r="B1586" s="18"/>
      <c r="C1586" s="18"/>
      <c r="D1586" s="213"/>
      <c r="E1586" s="237"/>
      <c r="F1586" s="18"/>
      <c r="G1586" s="18"/>
    </row>
    <row r="1587" spans="1:7" ht="22.5" customHeight="1">
      <c r="A1587" s="236"/>
      <c r="B1587" s="18"/>
      <c r="C1587" s="18"/>
      <c r="D1587" s="213"/>
      <c r="E1587" s="237"/>
      <c r="F1587" s="18"/>
      <c r="G1587" s="18"/>
    </row>
    <row r="1588" spans="1:7" ht="22.5" customHeight="1">
      <c r="A1588" s="236"/>
      <c r="B1588" s="18"/>
      <c r="C1588" s="18"/>
      <c r="D1588" s="213"/>
      <c r="E1588" s="237"/>
      <c r="F1588" s="18"/>
      <c r="G1588" s="18"/>
    </row>
    <row r="1589" spans="1:7" ht="22.5" customHeight="1">
      <c r="A1589" s="236"/>
      <c r="B1589" s="18"/>
      <c r="C1589" s="18"/>
      <c r="D1589" s="213"/>
      <c r="E1589" s="237"/>
      <c r="F1589" s="18"/>
      <c r="G1589" s="18"/>
    </row>
    <row r="1590" spans="1:7" ht="22.5" customHeight="1">
      <c r="A1590" s="236"/>
      <c r="B1590" s="18"/>
      <c r="C1590" s="18"/>
      <c r="D1590" s="213"/>
      <c r="E1590" s="237"/>
      <c r="F1590" s="18"/>
      <c r="G1590" s="18"/>
    </row>
    <row r="1591" spans="1:7" ht="22.5" customHeight="1">
      <c r="A1591" s="236"/>
      <c r="B1591" s="18"/>
      <c r="C1591" s="18"/>
      <c r="D1591" s="213"/>
      <c r="E1591" s="237"/>
      <c r="F1591" s="18"/>
      <c r="G1591" s="18"/>
    </row>
    <row r="1592" spans="1:7" ht="22.5" customHeight="1">
      <c r="A1592" s="236"/>
      <c r="B1592" s="18"/>
      <c r="C1592" s="18"/>
      <c r="D1592" s="213"/>
      <c r="E1592" s="237"/>
      <c r="F1592" s="18"/>
      <c r="G1592" s="18"/>
    </row>
    <row r="1593" spans="1:7" ht="22.5" customHeight="1">
      <c r="A1593" s="236"/>
      <c r="B1593" s="18"/>
      <c r="C1593" s="18"/>
      <c r="D1593" s="213"/>
      <c r="E1593" s="237"/>
      <c r="F1593" s="18"/>
      <c r="G1593" s="18"/>
    </row>
    <row r="1594" spans="1:7" ht="22.5" customHeight="1">
      <c r="A1594" s="236"/>
      <c r="B1594" s="18"/>
      <c r="C1594" s="18"/>
      <c r="D1594" s="213"/>
      <c r="E1594" s="237"/>
      <c r="F1594" s="18"/>
      <c r="G1594" s="18"/>
    </row>
    <row r="1595" spans="1:7" ht="22.5" customHeight="1">
      <c r="A1595" s="236"/>
      <c r="B1595" s="18"/>
      <c r="C1595" s="18"/>
      <c r="D1595" s="213"/>
      <c r="E1595" s="237"/>
      <c r="F1595" s="18"/>
      <c r="G1595" s="18"/>
    </row>
    <row r="1596" spans="1:7" ht="22.5" customHeight="1">
      <c r="A1596" s="236"/>
      <c r="B1596" s="18"/>
      <c r="C1596" s="18"/>
      <c r="D1596" s="213"/>
      <c r="E1596" s="237"/>
      <c r="F1596" s="18"/>
      <c r="G1596" s="18"/>
    </row>
    <row r="1597" spans="1:7" ht="22.5" customHeight="1">
      <c r="A1597" s="236"/>
      <c r="B1597" s="18"/>
      <c r="C1597" s="18"/>
      <c r="D1597" s="213"/>
      <c r="E1597" s="237"/>
      <c r="F1597" s="18"/>
      <c r="G1597" s="18"/>
    </row>
    <row r="1598" spans="1:7" ht="22.5" customHeight="1">
      <c r="A1598" s="236"/>
      <c r="B1598" s="18"/>
      <c r="C1598" s="18"/>
      <c r="D1598" s="213"/>
      <c r="E1598" s="237"/>
      <c r="F1598" s="18"/>
      <c r="G1598" s="18"/>
    </row>
    <row r="1599" spans="1:7" ht="22.5" customHeight="1">
      <c r="A1599" s="236"/>
      <c r="B1599" s="18"/>
      <c r="C1599" s="18"/>
      <c r="D1599" s="213"/>
      <c r="E1599" s="237"/>
      <c r="F1599" s="18"/>
      <c r="G1599" s="18"/>
    </row>
    <row r="1600" spans="1:7" ht="22.5" customHeight="1">
      <c r="A1600" s="236"/>
      <c r="B1600" s="18"/>
      <c r="C1600" s="18"/>
      <c r="D1600" s="213"/>
      <c r="E1600" s="237"/>
      <c r="F1600" s="18"/>
      <c r="G1600" s="18"/>
    </row>
    <row r="1601" spans="1:7" ht="22.5" customHeight="1">
      <c r="A1601" s="236"/>
      <c r="B1601" s="18"/>
      <c r="C1601" s="18"/>
      <c r="D1601" s="213"/>
      <c r="E1601" s="237"/>
      <c r="F1601" s="18"/>
      <c r="G1601" s="18"/>
    </row>
    <row r="1602" spans="1:7" ht="22.5" customHeight="1">
      <c r="A1602" s="236"/>
      <c r="B1602" s="18"/>
      <c r="C1602" s="18"/>
      <c r="D1602" s="213"/>
      <c r="E1602" s="237"/>
      <c r="F1602" s="18"/>
      <c r="G1602" s="18"/>
    </row>
    <row r="1603" spans="1:7" ht="22.5" customHeight="1">
      <c r="A1603" s="236"/>
      <c r="B1603" s="18"/>
      <c r="C1603" s="18"/>
      <c r="D1603" s="213"/>
      <c r="E1603" s="237"/>
      <c r="F1603" s="18"/>
      <c r="G1603" s="18"/>
    </row>
    <row r="1604" spans="1:7" ht="22.5" customHeight="1">
      <c r="A1604" s="236"/>
      <c r="B1604" s="18"/>
      <c r="C1604" s="18"/>
      <c r="D1604" s="213"/>
      <c r="E1604" s="237"/>
      <c r="F1604" s="18"/>
      <c r="G1604" s="18"/>
    </row>
    <row r="1605" spans="1:7" ht="22.5" customHeight="1">
      <c r="A1605" s="236"/>
      <c r="B1605" s="18"/>
      <c r="C1605" s="18"/>
      <c r="D1605" s="213"/>
      <c r="E1605" s="237"/>
      <c r="F1605" s="18"/>
      <c r="G1605" s="18"/>
    </row>
    <row r="1606" spans="1:7" ht="22.5" customHeight="1">
      <c r="A1606" s="236"/>
      <c r="B1606" s="18"/>
      <c r="C1606" s="18"/>
      <c r="D1606" s="213"/>
      <c r="E1606" s="237"/>
      <c r="F1606" s="18"/>
      <c r="G1606" s="18"/>
    </row>
    <row r="1607" spans="1:7" ht="22.5" customHeight="1">
      <c r="A1607" s="236"/>
      <c r="B1607" s="18"/>
      <c r="C1607" s="18"/>
      <c r="D1607" s="213"/>
      <c r="E1607" s="237"/>
      <c r="F1607" s="18"/>
      <c r="G1607" s="18"/>
    </row>
    <row r="1608" spans="1:7" ht="22.5" customHeight="1">
      <c r="A1608" s="236"/>
      <c r="B1608" s="18"/>
      <c r="C1608" s="18"/>
      <c r="D1608" s="213"/>
      <c r="E1608" s="237"/>
      <c r="F1608" s="18"/>
      <c r="G1608" s="18"/>
    </row>
    <row r="1609" spans="1:7" ht="22.5" customHeight="1">
      <c r="A1609" s="236"/>
      <c r="B1609" s="18"/>
      <c r="C1609" s="18"/>
      <c r="D1609" s="213"/>
      <c r="E1609" s="237"/>
      <c r="F1609" s="18"/>
      <c r="G1609" s="18"/>
    </row>
    <row r="1610" spans="1:7" ht="22.5" customHeight="1">
      <c r="A1610" s="236"/>
      <c r="B1610" s="18"/>
      <c r="C1610" s="18"/>
      <c r="D1610" s="213"/>
      <c r="E1610" s="237"/>
      <c r="F1610" s="18"/>
      <c r="G1610" s="18"/>
    </row>
    <row r="1611" spans="1:7" ht="22.5" customHeight="1">
      <c r="A1611" s="236"/>
      <c r="B1611" s="18"/>
      <c r="C1611" s="18"/>
      <c r="D1611" s="213"/>
      <c r="E1611" s="237"/>
      <c r="F1611" s="18"/>
      <c r="G1611" s="18"/>
    </row>
    <row r="1612" spans="1:7" ht="22.5" customHeight="1">
      <c r="A1612" s="236"/>
      <c r="B1612" s="18"/>
      <c r="C1612" s="18"/>
      <c r="D1612" s="213"/>
      <c r="E1612" s="237"/>
      <c r="F1612" s="18"/>
      <c r="G1612" s="18"/>
    </row>
    <row r="1613" spans="1:7" ht="22.5" customHeight="1">
      <c r="A1613" s="236"/>
      <c r="B1613" s="18"/>
      <c r="C1613" s="18"/>
      <c r="D1613" s="213"/>
      <c r="E1613" s="237"/>
      <c r="F1613" s="18"/>
      <c r="G1613" s="18"/>
    </row>
    <row r="1614" spans="1:7" ht="22.5" customHeight="1">
      <c r="A1614" s="236"/>
      <c r="B1614" s="18"/>
      <c r="C1614" s="18"/>
      <c r="D1614" s="213"/>
      <c r="E1614" s="237"/>
      <c r="F1614" s="18"/>
      <c r="G1614" s="18"/>
    </row>
    <row r="1615" spans="1:7" ht="22.5" customHeight="1">
      <c r="A1615" s="236"/>
      <c r="B1615" s="18"/>
      <c r="C1615" s="18"/>
      <c r="D1615" s="213"/>
      <c r="E1615" s="237"/>
      <c r="F1615" s="18"/>
      <c r="G1615" s="18"/>
    </row>
    <row r="1616" spans="1:7" ht="22.5" customHeight="1">
      <c r="A1616" s="236"/>
      <c r="B1616" s="18"/>
      <c r="C1616" s="18"/>
      <c r="D1616" s="213"/>
      <c r="E1616" s="237"/>
      <c r="F1616" s="18"/>
      <c r="G1616" s="18"/>
    </row>
    <row r="1617" spans="1:7" ht="22.5" customHeight="1">
      <c r="A1617" s="236"/>
      <c r="B1617" s="18"/>
      <c r="C1617" s="18"/>
      <c r="D1617" s="213"/>
      <c r="E1617" s="237"/>
      <c r="F1617" s="18"/>
      <c r="G1617" s="18"/>
    </row>
    <row r="1618" spans="1:7" ht="22.5" customHeight="1">
      <c r="A1618" s="236"/>
      <c r="B1618" s="18"/>
      <c r="C1618" s="18"/>
      <c r="D1618" s="213"/>
      <c r="E1618" s="237"/>
      <c r="F1618" s="18"/>
      <c r="G1618" s="18"/>
    </row>
    <row r="1619" spans="1:7" ht="22.5" customHeight="1">
      <c r="A1619" s="236"/>
      <c r="B1619" s="18"/>
      <c r="C1619" s="18"/>
      <c r="D1619" s="213"/>
      <c r="E1619" s="237"/>
      <c r="F1619" s="18"/>
      <c r="G1619" s="18"/>
    </row>
    <row r="1620" spans="1:7" ht="22.5" customHeight="1">
      <c r="A1620" s="236"/>
      <c r="B1620" s="18"/>
      <c r="C1620" s="18"/>
      <c r="D1620" s="213"/>
      <c r="E1620" s="237"/>
      <c r="F1620" s="18"/>
      <c r="G1620" s="18"/>
    </row>
    <row r="1621" spans="1:7" ht="22.5" customHeight="1">
      <c r="A1621" s="236"/>
      <c r="B1621" s="18"/>
      <c r="C1621" s="18"/>
      <c r="D1621" s="213"/>
      <c r="E1621" s="237"/>
      <c r="F1621" s="18"/>
      <c r="G1621" s="18"/>
    </row>
    <row r="1622" spans="1:7" ht="22.5" customHeight="1">
      <c r="A1622" s="236"/>
      <c r="B1622" s="18"/>
      <c r="C1622" s="18"/>
      <c r="D1622" s="213"/>
      <c r="E1622" s="237"/>
      <c r="F1622" s="18"/>
      <c r="G1622" s="18"/>
    </row>
    <row r="1623" spans="1:7" ht="22.5" customHeight="1">
      <c r="A1623" s="236"/>
      <c r="B1623" s="18"/>
      <c r="C1623" s="18"/>
      <c r="D1623" s="213"/>
      <c r="E1623" s="237"/>
      <c r="F1623" s="18"/>
      <c r="G1623" s="18"/>
    </row>
    <row r="1624" spans="1:7" ht="22.5" customHeight="1">
      <c r="A1624" s="236"/>
      <c r="B1624" s="18"/>
      <c r="C1624" s="18"/>
      <c r="D1624" s="213"/>
      <c r="E1624" s="237"/>
      <c r="F1624" s="18"/>
      <c r="G1624" s="18"/>
    </row>
    <row r="1625" spans="1:7" ht="22.5" customHeight="1">
      <c r="A1625" s="236"/>
      <c r="B1625" s="18"/>
      <c r="C1625" s="18"/>
      <c r="D1625" s="213"/>
      <c r="E1625" s="237"/>
      <c r="F1625" s="18"/>
      <c r="G1625" s="18"/>
    </row>
    <row r="1626" spans="1:7" ht="22.5" customHeight="1">
      <c r="A1626" s="236"/>
      <c r="B1626" s="18"/>
      <c r="C1626" s="18"/>
      <c r="D1626" s="213"/>
      <c r="E1626" s="237"/>
      <c r="F1626" s="18"/>
      <c r="G1626" s="18"/>
    </row>
    <row r="1627" spans="1:7" ht="22.5" customHeight="1">
      <c r="A1627" s="236"/>
      <c r="B1627" s="18"/>
      <c r="C1627" s="18"/>
      <c r="D1627" s="213"/>
      <c r="E1627" s="237"/>
      <c r="F1627" s="18"/>
      <c r="G1627" s="18"/>
    </row>
    <row r="1628" spans="1:7" ht="22.5" customHeight="1">
      <c r="A1628" s="236"/>
      <c r="B1628" s="18"/>
      <c r="C1628" s="18"/>
      <c r="D1628" s="213"/>
      <c r="E1628" s="237"/>
      <c r="F1628" s="18"/>
      <c r="G1628" s="18"/>
    </row>
    <row r="1629" spans="1:7" ht="22.5" customHeight="1">
      <c r="A1629" s="236"/>
      <c r="B1629" s="18"/>
      <c r="C1629" s="18"/>
      <c r="D1629" s="213"/>
      <c r="E1629" s="237"/>
      <c r="F1629" s="18"/>
      <c r="G1629" s="18"/>
    </row>
    <row r="1630" spans="1:7" ht="22.5" customHeight="1">
      <c r="A1630" s="236"/>
      <c r="B1630" s="18"/>
      <c r="C1630" s="18"/>
      <c r="D1630" s="213"/>
      <c r="E1630" s="237"/>
      <c r="F1630" s="18"/>
      <c r="G1630" s="18"/>
    </row>
    <row r="1631" spans="1:7" ht="22.5" customHeight="1">
      <c r="A1631" s="236"/>
      <c r="B1631" s="18"/>
      <c r="C1631" s="18"/>
      <c r="D1631" s="213"/>
      <c r="E1631" s="237"/>
      <c r="F1631" s="18"/>
      <c r="G1631" s="18"/>
    </row>
    <row r="1632" spans="1:7" ht="22.5" customHeight="1">
      <c r="A1632" s="236"/>
      <c r="B1632" s="18"/>
      <c r="C1632" s="18"/>
      <c r="D1632" s="213"/>
      <c r="E1632" s="237"/>
      <c r="F1632" s="18"/>
      <c r="G1632" s="18"/>
    </row>
    <row r="1633" spans="1:7" ht="22.5" customHeight="1">
      <c r="A1633" s="236"/>
      <c r="B1633" s="18"/>
      <c r="C1633" s="18"/>
      <c r="D1633" s="213"/>
      <c r="E1633" s="237"/>
      <c r="F1633" s="18"/>
      <c r="G1633" s="18"/>
    </row>
    <row r="1634" spans="1:7" ht="22.5" customHeight="1">
      <c r="A1634" s="236"/>
      <c r="B1634" s="18"/>
      <c r="C1634" s="18"/>
      <c r="D1634" s="213"/>
      <c r="E1634" s="237"/>
      <c r="F1634" s="18"/>
      <c r="G1634" s="18"/>
    </row>
    <row r="1635" spans="1:7" ht="22.5" customHeight="1">
      <c r="A1635" s="236"/>
      <c r="B1635" s="18"/>
      <c r="C1635" s="18"/>
      <c r="D1635" s="213"/>
      <c r="E1635" s="237"/>
      <c r="F1635" s="18"/>
      <c r="G1635" s="18"/>
    </row>
    <row r="1636" spans="1:7" ht="22.5" customHeight="1">
      <c r="A1636" s="236"/>
      <c r="B1636" s="18"/>
      <c r="C1636" s="18"/>
      <c r="D1636" s="213"/>
      <c r="E1636" s="237"/>
      <c r="F1636" s="18"/>
      <c r="G1636" s="18"/>
    </row>
    <row r="1637" spans="1:7" ht="22.5" customHeight="1">
      <c r="A1637" s="236"/>
      <c r="B1637" s="18"/>
      <c r="C1637" s="18"/>
      <c r="D1637" s="213"/>
      <c r="E1637" s="237"/>
      <c r="F1637" s="18"/>
      <c r="G1637" s="18"/>
    </row>
    <row r="1638" spans="1:7" ht="22.5" customHeight="1">
      <c r="A1638" s="236"/>
      <c r="B1638" s="18"/>
      <c r="C1638" s="18"/>
      <c r="D1638" s="213"/>
      <c r="E1638" s="237"/>
      <c r="F1638" s="18"/>
      <c r="G1638" s="18"/>
    </row>
    <row r="1639" spans="1:7" ht="22.5" customHeight="1">
      <c r="A1639" s="236"/>
      <c r="B1639" s="18"/>
      <c r="C1639" s="18"/>
      <c r="D1639" s="213"/>
      <c r="E1639" s="237"/>
      <c r="F1639" s="18"/>
      <c r="G1639" s="18"/>
    </row>
    <row r="1640" spans="1:7" ht="22.5" customHeight="1">
      <c r="A1640" s="236"/>
      <c r="B1640" s="18"/>
      <c r="C1640" s="18"/>
      <c r="D1640" s="213"/>
      <c r="E1640" s="237"/>
      <c r="F1640" s="18"/>
      <c r="G1640" s="18"/>
    </row>
    <row r="1641" spans="1:7" ht="22.5" customHeight="1">
      <c r="A1641" s="236"/>
      <c r="B1641" s="18"/>
      <c r="C1641" s="18"/>
      <c r="D1641" s="213"/>
      <c r="E1641" s="237"/>
      <c r="F1641" s="18"/>
      <c r="G1641" s="18"/>
    </row>
    <row r="1642" spans="1:7" ht="22.5" customHeight="1">
      <c r="A1642" s="236"/>
      <c r="B1642" s="18"/>
      <c r="C1642" s="18"/>
      <c r="D1642" s="213"/>
      <c r="E1642" s="237"/>
      <c r="F1642" s="18"/>
      <c r="G1642" s="18"/>
    </row>
    <row r="1643" spans="1:7" ht="22.5" customHeight="1">
      <c r="A1643" s="236"/>
      <c r="B1643" s="18"/>
      <c r="C1643" s="18"/>
      <c r="D1643" s="213"/>
      <c r="E1643" s="237"/>
      <c r="F1643" s="18"/>
      <c r="G1643" s="18"/>
    </row>
    <row r="1644" spans="1:7" ht="22.5" customHeight="1">
      <c r="A1644" s="236"/>
      <c r="B1644" s="18"/>
      <c r="C1644" s="18"/>
      <c r="D1644" s="213"/>
      <c r="E1644" s="237"/>
      <c r="F1644" s="18"/>
      <c r="G1644" s="18"/>
    </row>
    <row r="1645" spans="1:7" ht="22.5" customHeight="1">
      <c r="A1645" s="236"/>
      <c r="B1645" s="18"/>
      <c r="C1645" s="18"/>
      <c r="D1645" s="213"/>
      <c r="E1645" s="237"/>
      <c r="F1645" s="18"/>
      <c r="G1645" s="18"/>
    </row>
    <row r="1646" spans="1:7" ht="22.5" customHeight="1">
      <c r="A1646" s="236"/>
      <c r="B1646" s="18"/>
      <c r="C1646" s="18"/>
      <c r="D1646" s="213"/>
      <c r="E1646" s="237"/>
      <c r="F1646" s="18"/>
      <c r="G1646" s="18"/>
    </row>
    <row r="1647" spans="1:7" ht="22.5" customHeight="1">
      <c r="A1647" s="236"/>
      <c r="B1647" s="18"/>
      <c r="C1647" s="18"/>
      <c r="D1647" s="213"/>
      <c r="E1647" s="237"/>
      <c r="F1647" s="18"/>
      <c r="G1647" s="18"/>
    </row>
    <row r="1648" spans="1:7" ht="22.5" customHeight="1">
      <c r="A1648" s="236"/>
      <c r="B1648" s="18"/>
      <c r="C1648" s="18"/>
      <c r="D1648" s="213"/>
      <c r="E1648" s="237"/>
      <c r="F1648" s="18"/>
      <c r="G1648" s="18"/>
    </row>
    <row r="1649" spans="1:7" ht="22.5" customHeight="1">
      <c r="A1649" s="236"/>
      <c r="B1649" s="18"/>
      <c r="C1649" s="18"/>
      <c r="D1649" s="213"/>
      <c r="E1649" s="237"/>
      <c r="F1649" s="18"/>
      <c r="G1649" s="18"/>
    </row>
    <row r="1650" spans="1:7" ht="22.5" customHeight="1">
      <c r="A1650" s="236"/>
      <c r="B1650" s="18"/>
      <c r="C1650" s="18"/>
      <c r="D1650" s="213"/>
      <c r="E1650" s="237"/>
      <c r="F1650" s="18"/>
      <c r="G1650" s="18"/>
    </row>
    <row r="1651" spans="1:7" ht="22.5" customHeight="1">
      <c r="A1651" s="236"/>
      <c r="B1651" s="18"/>
      <c r="C1651" s="18"/>
      <c r="D1651" s="213"/>
      <c r="E1651" s="237"/>
      <c r="F1651" s="18"/>
      <c r="G1651" s="18"/>
    </row>
    <row r="1652" spans="1:7" ht="22.5" customHeight="1">
      <c r="A1652" s="236"/>
      <c r="B1652" s="18"/>
      <c r="C1652" s="18"/>
      <c r="D1652" s="213"/>
      <c r="E1652" s="237"/>
      <c r="F1652" s="18"/>
      <c r="G1652" s="18"/>
    </row>
    <row r="1653" spans="1:7" ht="22.5" customHeight="1">
      <c r="A1653" s="236"/>
      <c r="B1653" s="18"/>
      <c r="C1653" s="18"/>
      <c r="D1653" s="213"/>
      <c r="E1653" s="237"/>
      <c r="F1653" s="18"/>
      <c r="G1653" s="18"/>
    </row>
    <row r="1654" spans="1:7" ht="22.5" customHeight="1">
      <c r="A1654" s="236"/>
      <c r="B1654" s="18"/>
      <c r="C1654" s="18"/>
      <c r="D1654" s="213"/>
      <c r="E1654" s="237"/>
      <c r="F1654" s="18"/>
      <c r="G1654" s="18"/>
    </row>
    <row r="1655" spans="1:7" ht="22.5" customHeight="1">
      <c r="A1655" s="236"/>
      <c r="B1655" s="18"/>
      <c r="C1655" s="18"/>
      <c r="D1655" s="213"/>
      <c r="E1655" s="237"/>
      <c r="F1655" s="18"/>
      <c r="G1655" s="18"/>
    </row>
    <row r="1656" spans="1:7" ht="22.5" customHeight="1">
      <c r="A1656" s="236"/>
      <c r="B1656" s="18"/>
      <c r="C1656" s="18"/>
      <c r="D1656" s="213"/>
      <c r="E1656" s="237"/>
      <c r="F1656" s="18"/>
      <c r="G1656" s="18"/>
    </row>
    <row r="1657" spans="1:7" ht="22.5" customHeight="1">
      <c r="A1657" s="236"/>
      <c r="B1657" s="18"/>
      <c r="C1657" s="18"/>
      <c r="D1657" s="213"/>
      <c r="E1657" s="237"/>
      <c r="F1657" s="18"/>
      <c r="G1657" s="18"/>
    </row>
    <row r="1658" spans="1:7" ht="22.5" customHeight="1">
      <c r="A1658" s="236"/>
      <c r="B1658" s="18"/>
      <c r="C1658" s="18"/>
      <c r="D1658" s="213"/>
      <c r="E1658" s="237"/>
      <c r="F1658" s="18"/>
      <c r="G1658" s="18"/>
    </row>
    <row r="1659" spans="1:7" ht="22.5" customHeight="1">
      <c r="A1659" s="236"/>
      <c r="B1659" s="18"/>
      <c r="C1659" s="18"/>
      <c r="D1659" s="213"/>
      <c r="E1659" s="237"/>
      <c r="F1659" s="18"/>
      <c r="G1659" s="18"/>
    </row>
    <row r="1660" spans="1:7" ht="22.5" customHeight="1">
      <c r="A1660" s="236"/>
      <c r="B1660" s="18"/>
      <c r="C1660" s="18"/>
      <c r="D1660" s="213"/>
      <c r="E1660" s="237"/>
      <c r="F1660" s="18"/>
      <c r="G1660" s="18"/>
    </row>
    <row r="1661" spans="1:7" ht="22.5" customHeight="1">
      <c r="A1661" s="236"/>
      <c r="B1661" s="18"/>
      <c r="C1661" s="18"/>
      <c r="D1661" s="213"/>
      <c r="E1661" s="237"/>
      <c r="F1661" s="18"/>
      <c r="G1661" s="18"/>
    </row>
    <row r="1662" spans="1:7" ht="22.5" customHeight="1">
      <c r="A1662" s="236"/>
      <c r="B1662" s="18"/>
      <c r="C1662" s="18"/>
      <c r="D1662" s="213"/>
      <c r="E1662" s="237"/>
      <c r="F1662" s="18"/>
      <c r="G1662" s="18"/>
    </row>
    <row r="1663" spans="1:7" ht="22.5" customHeight="1">
      <c r="A1663" s="236"/>
      <c r="B1663" s="18"/>
      <c r="C1663" s="18"/>
      <c r="D1663" s="213"/>
      <c r="E1663" s="237"/>
      <c r="F1663" s="18"/>
      <c r="G1663" s="18"/>
    </row>
    <row r="1664" spans="1:7" ht="22.5" customHeight="1">
      <c r="A1664" s="236"/>
      <c r="B1664" s="18"/>
      <c r="C1664" s="18"/>
      <c r="D1664" s="213"/>
      <c r="E1664" s="237"/>
      <c r="F1664" s="18"/>
      <c r="G1664" s="18"/>
    </row>
    <row r="1665" spans="1:7" ht="22.5" customHeight="1">
      <c r="A1665" s="236"/>
      <c r="B1665" s="18"/>
      <c r="C1665" s="18"/>
      <c r="D1665" s="213"/>
      <c r="E1665" s="237"/>
      <c r="F1665" s="18"/>
      <c r="G1665" s="18"/>
    </row>
    <row r="1666" spans="1:7" ht="22.5" customHeight="1">
      <c r="A1666" s="236"/>
      <c r="B1666" s="18"/>
      <c r="C1666" s="18"/>
      <c r="D1666" s="213"/>
      <c r="E1666" s="237"/>
      <c r="F1666" s="18"/>
      <c r="G1666" s="18"/>
    </row>
    <row r="1667" spans="1:7" ht="22.5" customHeight="1">
      <c r="A1667" s="236"/>
      <c r="B1667" s="18"/>
      <c r="C1667" s="18"/>
      <c r="D1667" s="213"/>
      <c r="E1667" s="237"/>
      <c r="F1667" s="18"/>
      <c r="G1667" s="18"/>
    </row>
    <row r="1668" spans="1:7" ht="22.5" customHeight="1">
      <c r="A1668" s="236"/>
      <c r="B1668" s="18"/>
      <c r="C1668" s="18"/>
      <c r="D1668" s="213"/>
      <c r="E1668" s="237"/>
      <c r="F1668" s="18"/>
      <c r="G1668" s="18"/>
    </row>
    <row r="1669" spans="1:7" ht="22.5" customHeight="1">
      <c r="A1669" s="236"/>
      <c r="B1669" s="18"/>
      <c r="C1669" s="18"/>
      <c r="D1669" s="213"/>
      <c r="E1669" s="237"/>
      <c r="F1669" s="18"/>
      <c r="G1669" s="18"/>
    </row>
    <row r="1670" spans="1:7" ht="22.5" customHeight="1">
      <c r="A1670" s="236"/>
      <c r="B1670" s="18"/>
      <c r="C1670" s="18"/>
      <c r="D1670" s="213"/>
      <c r="E1670" s="237"/>
      <c r="F1670" s="18"/>
      <c r="G1670" s="18"/>
    </row>
    <row r="1671" spans="1:7" ht="22.5" customHeight="1">
      <c r="A1671" s="236"/>
      <c r="B1671" s="18"/>
      <c r="C1671" s="18"/>
      <c r="D1671" s="213"/>
      <c r="E1671" s="237"/>
      <c r="F1671" s="18"/>
      <c r="G1671" s="18"/>
    </row>
    <row r="1672" spans="1:7" ht="22.5" customHeight="1">
      <c r="A1672" s="236"/>
      <c r="B1672" s="18"/>
      <c r="C1672" s="18"/>
      <c r="D1672" s="213"/>
      <c r="E1672" s="237"/>
      <c r="F1672" s="18"/>
      <c r="G1672" s="18"/>
    </row>
    <row r="1673" spans="1:7" ht="22.5" customHeight="1">
      <c r="A1673" s="236"/>
      <c r="B1673" s="18"/>
      <c r="C1673" s="18"/>
      <c r="D1673" s="213"/>
      <c r="E1673" s="237"/>
      <c r="F1673" s="18"/>
      <c r="G1673" s="18"/>
    </row>
    <row r="1674" spans="1:7" ht="22.5" customHeight="1">
      <c r="A1674" s="236"/>
      <c r="B1674" s="18"/>
      <c r="C1674" s="18"/>
      <c r="D1674" s="213"/>
      <c r="E1674" s="237"/>
      <c r="F1674" s="18"/>
      <c r="G1674" s="18"/>
    </row>
    <row r="1675" spans="1:7" ht="22.5" customHeight="1">
      <c r="A1675" s="236"/>
      <c r="B1675" s="18"/>
      <c r="C1675" s="18"/>
      <c r="D1675" s="213"/>
      <c r="E1675" s="237"/>
      <c r="F1675" s="18"/>
      <c r="G1675" s="18"/>
    </row>
    <row r="1676" spans="1:7" ht="22.5" customHeight="1">
      <c r="A1676" s="236"/>
      <c r="B1676" s="18"/>
      <c r="C1676" s="18"/>
      <c r="D1676" s="213"/>
      <c r="E1676" s="237"/>
      <c r="F1676" s="18"/>
      <c r="G1676" s="18"/>
    </row>
    <row r="1677" spans="1:7" ht="22.5" customHeight="1">
      <c r="A1677" s="236"/>
      <c r="B1677" s="18"/>
      <c r="C1677" s="18"/>
      <c r="D1677" s="213"/>
      <c r="E1677" s="237"/>
      <c r="F1677" s="18"/>
      <c r="G1677" s="18"/>
    </row>
    <row r="1678" spans="1:7" ht="22.5" customHeight="1">
      <c r="A1678" s="236"/>
      <c r="B1678" s="18"/>
      <c r="C1678" s="18"/>
      <c r="D1678" s="213"/>
      <c r="E1678" s="237"/>
      <c r="F1678" s="18"/>
      <c r="G1678" s="18"/>
    </row>
    <row r="1679" spans="1:7" ht="22.5" customHeight="1">
      <c r="A1679" s="236"/>
      <c r="B1679" s="18"/>
      <c r="C1679" s="18"/>
      <c r="D1679" s="213"/>
      <c r="E1679" s="237"/>
      <c r="F1679" s="18"/>
      <c r="G1679" s="18"/>
    </row>
    <row r="1680" spans="1:7" ht="22.5" customHeight="1">
      <c r="A1680" s="236"/>
      <c r="B1680" s="18"/>
      <c r="C1680" s="18"/>
      <c r="D1680" s="213"/>
      <c r="E1680" s="237"/>
      <c r="F1680" s="18"/>
      <c r="G1680" s="18"/>
    </row>
    <row r="1681" spans="1:7" ht="22.5" customHeight="1">
      <c r="A1681" s="236"/>
      <c r="B1681" s="18"/>
      <c r="C1681" s="18"/>
      <c r="D1681" s="213"/>
      <c r="E1681" s="237"/>
      <c r="F1681" s="18"/>
      <c r="G1681" s="18"/>
    </row>
    <row r="1682" spans="1:7" ht="22.5" customHeight="1">
      <c r="A1682" s="236"/>
      <c r="B1682" s="18"/>
      <c r="C1682" s="18"/>
      <c r="D1682" s="213"/>
      <c r="E1682" s="237"/>
      <c r="F1682" s="18"/>
      <c r="G1682" s="18"/>
    </row>
    <row r="1683" spans="1:7" ht="22.5" customHeight="1">
      <c r="A1683" s="236"/>
      <c r="B1683" s="18"/>
      <c r="C1683" s="18"/>
      <c r="D1683" s="213"/>
      <c r="E1683" s="237"/>
      <c r="F1683" s="18"/>
      <c r="G1683" s="18"/>
    </row>
    <row r="1684" spans="1:7" ht="22.5" customHeight="1">
      <c r="A1684" s="236"/>
      <c r="B1684" s="18"/>
      <c r="C1684" s="18"/>
      <c r="D1684" s="213"/>
      <c r="E1684" s="237"/>
      <c r="F1684" s="18"/>
      <c r="G1684" s="18"/>
    </row>
    <row r="1685" spans="1:7" ht="22.5" customHeight="1">
      <c r="A1685" s="236"/>
      <c r="B1685" s="18"/>
      <c r="C1685" s="18"/>
      <c r="D1685" s="213"/>
      <c r="E1685" s="237"/>
      <c r="F1685" s="18"/>
      <c r="G1685" s="18"/>
    </row>
    <row r="1686" spans="1:7" ht="22.5" customHeight="1">
      <c r="A1686" s="236"/>
      <c r="B1686" s="18"/>
      <c r="C1686" s="18"/>
      <c r="D1686" s="213"/>
      <c r="E1686" s="237"/>
      <c r="F1686" s="18"/>
      <c r="G1686" s="18"/>
    </row>
    <row r="1687" spans="1:7" ht="22.5" customHeight="1">
      <c r="A1687" s="236"/>
      <c r="B1687" s="18"/>
      <c r="C1687" s="18"/>
      <c r="D1687" s="213"/>
      <c r="E1687" s="237"/>
      <c r="F1687" s="18"/>
      <c r="G1687" s="18"/>
    </row>
    <row r="1688" spans="1:7" ht="22.5" customHeight="1">
      <c r="A1688" s="236"/>
      <c r="B1688" s="18"/>
      <c r="C1688" s="18"/>
      <c r="D1688" s="213"/>
      <c r="E1688" s="237"/>
      <c r="F1688" s="18"/>
      <c r="G1688" s="18"/>
    </row>
    <row r="1689" spans="1:7" ht="22.5" customHeight="1">
      <c r="A1689" s="236"/>
      <c r="B1689" s="18"/>
      <c r="C1689" s="18"/>
      <c r="D1689" s="213"/>
      <c r="E1689" s="237"/>
      <c r="F1689" s="18"/>
      <c r="G1689" s="18"/>
    </row>
    <row r="1690" spans="1:7" ht="22.5" customHeight="1">
      <c r="A1690" s="236"/>
      <c r="B1690" s="18"/>
      <c r="C1690" s="18"/>
      <c r="D1690" s="213"/>
      <c r="E1690" s="237"/>
      <c r="F1690" s="18"/>
      <c r="G1690" s="18"/>
    </row>
    <row r="1691" spans="1:7" ht="22.5" customHeight="1">
      <c r="A1691" s="236"/>
      <c r="B1691" s="18"/>
      <c r="C1691" s="18"/>
      <c r="D1691" s="213"/>
      <c r="E1691" s="237"/>
      <c r="F1691" s="18"/>
      <c r="G1691" s="18"/>
    </row>
    <row r="1692" spans="1:7" ht="22.5" customHeight="1">
      <c r="A1692" s="236"/>
      <c r="B1692" s="18"/>
      <c r="C1692" s="18"/>
      <c r="D1692" s="213"/>
      <c r="E1692" s="237"/>
      <c r="F1692" s="18"/>
      <c r="G1692" s="18"/>
    </row>
    <row r="1693" spans="1:7" ht="22.5" customHeight="1">
      <c r="A1693" s="236"/>
      <c r="B1693" s="18"/>
      <c r="C1693" s="18"/>
      <c r="D1693" s="213"/>
      <c r="E1693" s="237"/>
      <c r="F1693" s="18"/>
      <c r="G1693" s="18"/>
    </row>
    <row r="1694" spans="1:7" ht="22.5" customHeight="1">
      <c r="A1694" s="236"/>
      <c r="B1694" s="18"/>
      <c r="C1694" s="18"/>
      <c r="D1694" s="213"/>
      <c r="E1694" s="237"/>
      <c r="F1694" s="18"/>
      <c r="G1694" s="18"/>
    </row>
    <row r="1695" spans="1:7" ht="22.5" customHeight="1">
      <c r="A1695" s="236"/>
      <c r="B1695" s="18"/>
      <c r="C1695" s="18"/>
      <c r="D1695" s="213"/>
      <c r="E1695" s="237"/>
      <c r="F1695" s="18"/>
      <c r="G1695" s="18"/>
    </row>
    <row r="1696" spans="1:7" ht="22.5" customHeight="1">
      <c r="A1696" s="236"/>
      <c r="B1696" s="18"/>
      <c r="C1696" s="18"/>
      <c r="D1696" s="213"/>
      <c r="E1696" s="237"/>
      <c r="F1696" s="18"/>
      <c r="G1696" s="18"/>
    </row>
    <row r="1697" spans="1:7" ht="22.5" customHeight="1">
      <c r="A1697" s="236"/>
      <c r="B1697" s="18"/>
      <c r="C1697" s="18"/>
      <c r="D1697" s="213"/>
      <c r="E1697" s="237"/>
      <c r="F1697" s="18"/>
      <c r="G1697" s="18"/>
    </row>
    <row r="1698" spans="1:7" ht="22.5" customHeight="1">
      <c r="A1698" s="236"/>
      <c r="B1698" s="18"/>
      <c r="C1698" s="18"/>
      <c r="D1698" s="213"/>
      <c r="E1698" s="237"/>
      <c r="F1698" s="18"/>
      <c r="G1698" s="18"/>
    </row>
    <row r="1699" spans="1:7" ht="22.5" customHeight="1">
      <c r="A1699" s="236"/>
      <c r="B1699" s="18"/>
      <c r="C1699" s="18"/>
      <c r="D1699" s="213"/>
      <c r="E1699" s="237"/>
      <c r="F1699" s="18"/>
      <c r="G1699" s="18"/>
    </row>
    <row r="1700" spans="1:7" ht="22.5" customHeight="1">
      <c r="A1700" s="236"/>
      <c r="B1700" s="18"/>
      <c r="C1700" s="18"/>
      <c r="D1700" s="213"/>
      <c r="E1700" s="237"/>
      <c r="F1700" s="18"/>
      <c r="G1700" s="18"/>
    </row>
    <row r="1701" spans="1:7" ht="22.5" customHeight="1">
      <c r="A1701" s="236"/>
      <c r="B1701" s="18"/>
      <c r="C1701" s="18"/>
      <c r="D1701" s="213"/>
      <c r="E1701" s="237"/>
      <c r="F1701" s="18"/>
      <c r="G1701" s="18"/>
    </row>
    <row r="1702" spans="1:7" ht="22.5" customHeight="1">
      <c r="A1702" s="236"/>
      <c r="B1702" s="18"/>
      <c r="C1702" s="18"/>
      <c r="D1702" s="213"/>
      <c r="E1702" s="237"/>
      <c r="F1702" s="18"/>
      <c r="G1702" s="18"/>
    </row>
    <row r="1703" spans="1:7" ht="22.5" customHeight="1">
      <c r="A1703" s="236"/>
      <c r="B1703" s="18"/>
      <c r="C1703" s="18"/>
      <c r="D1703" s="213"/>
      <c r="E1703" s="237"/>
      <c r="F1703" s="18"/>
      <c r="G1703" s="18"/>
    </row>
    <row r="1704" spans="1:7" ht="22.5" customHeight="1">
      <c r="A1704" s="236"/>
      <c r="B1704" s="18"/>
      <c r="C1704" s="18"/>
      <c r="D1704" s="213"/>
      <c r="E1704" s="237"/>
      <c r="F1704" s="18"/>
      <c r="G1704" s="18"/>
    </row>
    <row r="1705" spans="1:7" ht="22.5" customHeight="1">
      <c r="A1705" s="236"/>
      <c r="B1705" s="18"/>
      <c r="C1705" s="18"/>
      <c r="D1705" s="213"/>
      <c r="E1705" s="237"/>
      <c r="F1705" s="18"/>
      <c r="G1705" s="18"/>
    </row>
    <row r="1706" spans="1:7" ht="22.5" customHeight="1">
      <c r="A1706" s="236"/>
      <c r="B1706" s="18"/>
      <c r="C1706" s="18"/>
      <c r="D1706" s="213"/>
      <c r="E1706" s="237"/>
      <c r="F1706" s="18"/>
      <c r="G1706" s="18"/>
    </row>
    <row r="1707" spans="1:7" ht="22.5" customHeight="1">
      <c r="A1707" s="236"/>
      <c r="B1707" s="18"/>
      <c r="C1707" s="18"/>
      <c r="D1707" s="213"/>
      <c r="E1707" s="237"/>
      <c r="F1707" s="18"/>
      <c r="G1707" s="18"/>
    </row>
    <row r="1708" spans="1:7" ht="22.5" customHeight="1">
      <c r="A1708" s="236"/>
      <c r="B1708" s="18"/>
      <c r="C1708" s="18"/>
      <c r="D1708" s="213"/>
      <c r="E1708" s="237"/>
      <c r="F1708" s="18"/>
      <c r="G1708" s="18"/>
    </row>
    <row r="1709" spans="1:7" ht="22.5" customHeight="1">
      <c r="A1709" s="236"/>
      <c r="B1709" s="18"/>
      <c r="C1709" s="18"/>
      <c r="D1709" s="213"/>
      <c r="E1709" s="237"/>
      <c r="F1709" s="18"/>
      <c r="G1709" s="18"/>
    </row>
    <row r="1710" spans="1:7" ht="22.5" customHeight="1">
      <c r="A1710" s="236"/>
      <c r="B1710" s="18"/>
      <c r="C1710" s="18"/>
      <c r="D1710" s="213"/>
      <c r="E1710" s="237"/>
      <c r="F1710" s="18"/>
      <c r="G1710" s="18"/>
    </row>
    <row r="1711" spans="1:7" ht="22.5" customHeight="1">
      <c r="A1711" s="236"/>
      <c r="B1711" s="18"/>
      <c r="C1711" s="18"/>
      <c r="D1711" s="213"/>
      <c r="E1711" s="237"/>
      <c r="F1711" s="18"/>
      <c r="G1711" s="18"/>
    </row>
    <row r="1712" spans="1:7" ht="22.5" customHeight="1">
      <c r="A1712" s="236"/>
      <c r="B1712" s="18"/>
      <c r="C1712" s="18"/>
      <c r="D1712" s="213"/>
      <c r="E1712" s="237"/>
      <c r="F1712" s="18"/>
      <c r="G1712" s="18"/>
    </row>
    <row r="1713" spans="1:7" ht="22.5" customHeight="1">
      <c r="A1713" s="236"/>
      <c r="B1713" s="18"/>
      <c r="C1713" s="18"/>
      <c r="D1713" s="213"/>
      <c r="E1713" s="237"/>
      <c r="F1713" s="18"/>
      <c r="G1713" s="18"/>
    </row>
    <row r="1714" spans="1:7" ht="22.5" customHeight="1">
      <c r="A1714" s="236"/>
      <c r="B1714" s="18"/>
      <c r="C1714" s="18"/>
      <c r="D1714" s="213"/>
      <c r="E1714" s="237"/>
      <c r="F1714" s="18"/>
      <c r="G1714" s="18"/>
    </row>
    <row r="1715" spans="1:7" ht="22.5" customHeight="1">
      <c r="A1715" s="236"/>
      <c r="B1715" s="18"/>
      <c r="C1715" s="18"/>
      <c r="D1715" s="213"/>
      <c r="E1715" s="237"/>
      <c r="F1715" s="18"/>
      <c r="G1715" s="18"/>
    </row>
    <row r="1716" spans="1:7" ht="22.5" customHeight="1">
      <c r="A1716" s="236"/>
      <c r="B1716" s="18"/>
      <c r="C1716" s="18"/>
      <c r="D1716" s="213"/>
      <c r="E1716" s="237"/>
      <c r="F1716" s="18"/>
      <c r="G1716" s="18"/>
    </row>
    <row r="1717" spans="1:7" ht="22.5" customHeight="1">
      <c r="A1717" s="236"/>
      <c r="B1717" s="18"/>
      <c r="C1717" s="18"/>
      <c r="D1717" s="213"/>
      <c r="E1717" s="237"/>
      <c r="F1717" s="18"/>
      <c r="G1717" s="18"/>
    </row>
    <row r="1718" spans="1:7" ht="22.5" customHeight="1">
      <c r="A1718" s="236"/>
      <c r="B1718" s="18"/>
      <c r="C1718" s="18"/>
      <c r="D1718" s="213"/>
      <c r="E1718" s="237"/>
      <c r="F1718" s="18"/>
      <c r="G1718" s="18"/>
    </row>
    <row r="1719" spans="1:7" ht="22.5" customHeight="1">
      <c r="A1719" s="236"/>
      <c r="B1719" s="18"/>
      <c r="C1719" s="18"/>
      <c r="D1719" s="213"/>
      <c r="E1719" s="237"/>
      <c r="F1719" s="18"/>
      <c r="G1719" s="18"/>
    </row>
    <row r="1720" spans="1:7" ht="22.5" customHeight="1">
      <c r="A1720" s="236"/>
      <c r="B1720" s="18"/>
      <c r="C1720" s="18"/>
      <c r="D1720" s="213"/>
      <c r="E1720" s="237"/>
      <c r="F1720" s="18"/>
      <c r="G1720" s="18"/>
    </row>
    <row r="1721" spans="1:7" ht="22.5" customHeight="1">
      <c r="A1721" s="236"/>
      <c r="B1721" s="18"/>
      <c r="C1721" s="18"/>
      <c r="D1721" s="213"/>
      <c r="E1721" s="237"/>
      <c r="F1721" s="18"/>
      <c r="G1721" s="18"/>
    </row>
    <row r="1722" spans="1:7" ht="22.5" customHeight="1">
      <c r="A1722" s="236"/>
      <c r="B1722" s="18"/>
      <c r="C1722" s="18"/>
      <c r="D1722" s="213"/>
      <c r="E1722" s="237"/>
      <c r="F1722" s="18"/>
      <c r="G1722" s="18"/>
    </row>
    <row r="1723" spans="1:7" ht="22.5" customHeight="1">
      <c r="A1723" s="236"/>
      <c r="B1723" s="18"/>
      <c r="C1723" s="18"/>
      <c r="D1723" s="213"/>
      <c r="E1723" s="237"/>
      <c r="F1723" s="18"/>
      <c r="G1723" s="18"/>
    </row>
    <row r="1724" spans="1:7" ht="22.5" customHeight="1">
      <c r="A1724" s="236"/>
      <c r="B1724" s="18"/>
      <c r="C1724" s="18"/>
      <c r="D1724" s="213"/>
      <c r="E1724" s="237"/>
      <c r="F1724" s="18"/>
      <c r="G1724" s="18"/>
    </row>
    <row r="1725" spans="1:7" ht="22.5" customHeight="1">
      <c r="A1725" s="236"/>
      <c r="B1725" s="18"/>
      <c r="C1725" s="18"/>
      <c r="D1725" s="213"/>
      <c r="E1725" s="237"/>
      <c r="F1725" s="18"/>
      <c r="G1725" s="18"/>
    </row>
    <row r="1726" spans="1:7" ht="22.5" customHeight="1">
      <c r="A1726" s="236"/>
      <c r="B1726" s="18"/>
      <c r="C1726" s="18"/>
      <c r="D1726" s="213"/>
      <c r="E1726" s="237"/>
      <c r="F1726" s="18"/>
      <c r="G1726" s="18"/>
    </row>
    <row r="1727" spans="1:7" ht="22.5" customHeight="1">
      <c r="A1727" s="236"/>
      <c r="B1727" s="18"/>
      <c r="C1727" s="18"/>
      <c r="D1727" s="213"/>
      <c r="E1727" s="237"/>
      <c r="F1727" s="18"/>
      <c r="G1727" s="18"/>
    </row>
    <row r="1728" spans="1:7" ht="22.5" customHeight="1">
      <c r="A1728" s="236"/>
      <c r="B1728" s="18"/>
      <c r="C1728" s="18"/>
      <c r="D1728" s="213"/>
      <c r="E1728" s="237"/>
      <c r="F1728" s="18"/>
      <c r="G1728" s="18"/>
    </row>
    <row r="1729" spans="1:7" ht="22.5" customHeight="1">
      <c r="A1729" s="236"/>
      <c r="B1729" s="18"/>
      <c r="C1729" s="18"/>
      <c r="D1729" s="213"/>
      <c r="E1729" s="237"/>
      <c r="F1729" s="18"/>
      <c r="G1729" s="18"/>
    </row>
    <row r="1730" spans="1:7" ht="22.5" customHeight="1">
      <c r="A1730" s="236"/>
      <c r="B1730" s="18"/>
      <c r="C1730" s="18"/>
      <c r="D1730" s="213"/>
      <c r="E1730" s="237"/>
      <c r="F1730" s="18"/>
      <c r="G1730" s="18"/>
    </row>
    <row r="1731" spans="1:7" ht="22.5" customHeight="1">
      <c r="A1731" s="236"/>
      <c r="B1731" s="18"/>
      <c r="C1731" s="18"/>
      <c r="D1731" s="213"/>
      <c r="E1731" s="237"/>
      <c r="F1731" s="18"/>
      <c r="G1731" s="18"/>
    </row>
    <row r="1732" spans="1:7" ht="22.5" customHeight="1">
      <c r="A1732" s="236"/>
      <c r="B1732" s="18"/>
      <c r="C1732" s="18"/>
      <c r="D1732" s="213"/>
      <c r="E1732" s="237"/>
      <c r="F1732" s="18"/>
      <c r="G1732" s="18"/>
    </row>
    <row r="1733" spans="1:7" ht="22.5" customHeight="1">
      <c r="A1733" s="236"/>
      <c r="B1733" s="18"/>
      <c r="C1733" s="18"/>
      <c r="D1733" s="213"/>
      <c r="E1733" s="237"/>
      <c r="F1733" s="18"/>
      <c r="G1733" s="18"/>
    </row>
    <row r="1734" spans="1:7" ht="22.5" customHeight="1">
      <c r="A1734" s="236"/>
      <c r="B1734" s="18"/>
      <c r="C1734" s="18"/>
      <c r="D1734" s="213"/>
      <c r="E1734" s="237"/>
      <c r="F1734" s="18"/>
      <c r="G1734" s="18"/>
    </row>
    <row r="1735" spans="1:7" ht="22.5" customHeight="1">
      <c r="A1735" s="236"/>
      <c r="B1735" s="18"/>
      <c r="C1735" s="18"/>
      <c r="D1735" s="213"/>
      <c r="E1735" s="237"/>
      <c r="F1735" s="18"/>
      <c r="G1735" s="18"/>
    </row>
    <row r="1736" spans="1:7" ht="22.5" customHeight="1">
      <c r="A1736" s="236"/>
      <c r="B1736" s="18"/>
      <c r="C1736" s="18"/>
      <c r="D1736" s="213"/>
      <c r="E1736" s="237"/>
      <c r="F1736" s="18"/>
      <c r="G1736" s="18"/>
    </row>
    <row r="1737" spans="1:7" ht="22.5" customHeight="1">
      <c r="A1737" s="236"/>
      <c r="B1737" s="18"/>
      <c r="C1737" s="18"/>
      <c r="D1737" s="213"/>
      <c r="E1737" s="237"/>
      <c r="F1737" s="18"/>
      <c r="G1737" s="18"/>
    </row>
    <row r="1738" spans="1:7" ht="22.5" customHeight="1">
      <c r="A1738" s="236"/>
      <c r="B1738" s="18"/>
      <c r="C1738" s="18"/>
      <c r="D1738" s="213"/>
      <c r="E1738" s="237"/>
      <c r="F1738" s="18"/>
      <c r="G1738" s="18"/>
    </row>
    <row r="1739" spans="1:7" ht="22.5" customHeight="1">
      <c r="A1739" s="236"/>
      <c r="B1739" s="18"/>
      <c r="C1739" s="18"/>
      <c r="D1739" s="213"/>
      <c r="E1739" s="237"/>
      <c r="F1739" s="18"/>
      <c r="G1739" s="18"/>
    </row>
    <row r="1740" spans="1:7" ht="22.5" customHeight="1">
      <c r="A1740" s="236"/>
      <c r="B1740" s="18"/>
      <c r="C1740" s="18"/>
      <c r="D1740" s="213"/>
      <c r="E1740" s="237"/>
      <c r="F1740" s="18"/>
      <c r="G1740" s="18"/>
    </row>
    <row r="1741" spans="1:7" ht="22.5" customHeight="1">
      <c r="A1741" s="236"/>
      <c r="B1741" s="18"/>
      <c r="C1741" s="18"/>
      <c r="D1741" s="213"/>
      <c r="E1741" s="237"/>
      <c r="F1741" s="18"/>
      <c r="G1741" s="18"/>
    </row>
    <row r="1742" spans="1:7" ht="22.5" customHeight="1">
      <c r="A1742" s="236"/>
      <c r="B1742" s="18"/>
      <c r="C1742" s="18"/>
      <c r="D1742" s="213"/>
      <c r="E1742" s="237"/>
      <c r="F1742" s="18"/>
      <c r="G1742" s="18"/>
    </row>
    <row r="1743" spans="1:7" ht="22.5" customHeight="1">
      <c r="A1743" s="236"/>
      <c r="B1743" s="18"/>
      <c r="C1743" s="18"/>
      <c r="D1743" s="213"/>
      <c r="E1743" s="237"/>
      <c r="F1743" s="18"/>
      <c r="G1743" s="18"/>
    </row>
    <row r="1744" spans="1:7" ht="22.5" customHeight="1">
      <c r="A1744" s="236"/>
      <c r="B1744" s="18"/>
      <c r="C1744" s="18"/>
      <c r="D1744" s="213"/>
      <c r="E1744" s="237"/>
      <c r="F1744" s="18"/>
      <c r="G1744" s="18"/>
    </row>
    <row r="1745" spans="1:7" ht="22.5" customHeight="1">
      <c r="A1745" s="236"/>
      <c r="B1745" s="18"/>
      <c r="C1745" s="18"/>
      <c r="D1745" s="213"/>
      <c r="E1745" s="237"/>
      <c r="F1745" s="18"/>
      <c r="G1745" s="18"/>
    </row>
    <row r="1746" spans="1:7" ht="22.5" customHeight="1">
      <c r="A1746" s="236"/>
      <c r="B1746" s="18"/>
      <c r="C1746" s="18"/>
      <c r="D1746" s="213"/>
      <c r="E1746" s="237"/>
      <c r="F1746" s="18"/>
      <c r="G1746" s="18"/>
    </row>
    <row r="1747" spans="1:7" ht="22.5" customHeight="1">
      <c r="A1747" s="236"/>
      <c r="B1747" s="18"/>
      <c r="C1747" s="18"/>
      <c r="D1747" s="213"/>
      <c r="E1747" s="237"/>
      <c r="F1747" s="18"/>
      <c r="G1747" s="18"/>
    </row>
    <row r="1748" spans="1:7" ht="22.5" customHeight="1">
      <c r="A1748" s="236"/>
      <c r="B1748" s="18"/>
      <c r="C1748" s="18"/>
      <c r="D1748" s="213"/>
      <c r="E1748" s="237"/>
      <c r="F1748" s="18"/>
      <c r="G1748" s="18"/>
    </row>
    <row r="1749" spans="1:7" ht="22.5" customHeight="1">
      <c r="A1749" s="236"/>
      <c r="B1749" s="18"/>
      <c r="C1749" s="18"/>
      <c r="D1749" s="213"/>
      <c r="E1749" s="237"/>
      <c r="F1749" s="18"/>
      <c r="G1749" s="18"/>
    </row>
    <row r="1750" spans="1:7" ht="22.5" customHeight="1">
      <c r="A1750" s="236"/>
      <c r="B1750" s="18"/>
      <c r="C1750" s="18"/>
      <c r="D1750" s="213"/>
      <c r="E1750" s="237"/>
      <c r="F1750" s="18"/>
      <c r="G1750" s="18"/>
    </row>
    <row r="1751" spans="1:7" ht="22.5" customHeight="1">
      <c r="A1751" s="236"/>
      <c r="B1751" s="18"/>
      <c r="C1751" s="18"/>
      <c r="D1751" s="213"/>
      <c r="E1751" s="237"/>
      <c r="F1751" s="18"/>
      <c r="G1751" s="18"/>
    </row>
    <row r="1752" spans="1:7" ht="22.5" customHeight="1">
      <c r="A1752" s="236"/>
      <c r="B1752" s="18"/>
      <c r="C1752" s="18"/>
      <c r="D1752" s="213"/>
      <c r="E1752" s="237"/>
      <c r="F1752" s="18"/>
      <c r="G1752" s="18"/>
    </row>
    <row r="1753" spans="1:7" ht="22.5" customHeight="1">
      <c r="A1753" s="236"/>
      <c r="B1753" s="18"/>
      <c r="C1753" s="18"/>
      <c r="D1753" s="213"/>
      <c r="E1753" s="237"/>
      <c r="F1753" s="18"/>
      <c r="G1753" s="18"/>
    </row>
    <row r="1754" spans="1:7" ht="22.5" customHeight="1">
      <c r="A1754" s="236"/>
      <c r="B1754" s="18"/>
      <c r="C1754" s="18"/>
      <c r="D1754" s="213"/>
      <c r="E1754" s="237"/>
      <c r="F1754" s="18"/>
      <c r="G1754" s="18"/>
    </row>
    <row r="1755" spans="1:7" ht="22.5" customHeight="1">
      <c r="A1755" s="236"/>
      <c r="B1755" s="18"/>
      <c r="C1755" s="18"/>
      <c r="D1755" s="213"/>
      <c r="E1755" s="237"/>
      <c r="F1755" s="18"/>
      <c r="G1755" s="18"/>
    </row>
    <row r="1756" spans="1:7" ht="22.5" customHeight="1">
      <c r="A1756" s="236"/>
      <c r="B1756" s="18"/>
      <c r="C1756" s="18"/>
      <c r="D1756" s="213"/>
      <c r="E1756" s="237"/>
      <c r="F1756" s="18"/>
      <c r="G1756" s="18"/>
    </row>
    <row r="1757" spans="1:7" ht="22.5" customHeight="1">
      <c r="A1757" s="236"/>
      <c r="B1757" s="18"/>
      <c r="C1757" s="18"/>
      <c r="D1757" s="213"/>
      <c r="E1757" s="237"/>
      <c r="F1757" s="18"/>
      <c r="G1757" s="18"/>
    </row>
    <row r="1758" spans="1:7" ht="22.5" customHeight="1">
      <c r="A1758" s="236"/>
      <c r="B1758" s="18"/>
      <c r="C1758" s="18"/>
      <c r="D1758" s="213"/>
      <c r="E1758" s="237"/>
      <c r="F1758" s="18"/>
      <c r="G1758" s="18"/>
    </row>
    <row r="1759" spans="1:7" ht="22.5" customHeight="1">
      <c r="A1759" s="236"/>
      <c r="B1759" s="18"/>
      <c r="C1759" s="18"/>
      <c r="D1759" s="213"/>
      <c r="E1759" s="237"/>
      <c r="F1759" s="18"/>
      <c r="G1759" s="18"/>
    </row>
    <row r="1760" spans="1:7" ht="22.5" customHeight="1">
      <c r="A1760" s="236"/>
      <c r="B1760" s="18"/>
      <c r="C1760" s="18"/>
      <c r="D1760" s="213"/>
      <c r="E1760" s="237"/>
      <c r="F1760" s="18"/>
      <c r="G1760" s="18"/>
    </row>
    <row r="1761" spans="1:7" ht="22.5" customHeight="1">
      <c r="A1761" s="236"/>
      <c r="B1761" s="18"/>
      <c r="C1761" s="18"/>
      <c r="D1761" s="213"/>
      <c r="E1761" s="237"/>
      <c r="F1761" s="18"/>
      <c r="G1761" s="18"/>
    </row>
    <row r="1762" spans="1:7" ht="22.5" customHeight="1">
      <c r="A1762" s="236"/>
      <c r="B1762" s="18"/>
      <c r="C1762" s="18"/>
      <c r="D1762" s="213"/>
      <c r="E1762" s="237"/>
      <c r="F1762" s="18"/>
      <c r="G1762" s="18"/>
    </row>
    <row r="1763" spans="1:7" ht="22.5" customHeight="1">
      <c r="A1763" s="236"/>
      <c r="B1763" s="18"/>
      <c r="C1763" s="18"/>
      <c r="D1763" s="213"/>
      <c r="E1763" s="237"/>
      <c r="F1763" s="18"/>
      <c r="G1763" s="18"/>
    </row>
    <row r="1764" spans="1:7" ht="22.5" customHeight="1">
      <c r="A1764" s="236"/>
      <c r="B1764" s="18"/>
      <c r="C1764" s="18"/>
      <c r="D1764" s="213"/>
      <c r="E1764" s="237"/>
      <c r="F1764" s="18"/>
      <c r="G1764" s="18"/>
    </row>
    <row r="1765" spans="1:7" ht="22.5" customHeight="1">
      <c r="A1765" s="236"/>
      <c r="B1765" s="18"/>
      <c r="C1765" s="18"/>
      <c r="D1765" s="213"/>
      <c r="E1765" s="237"/>
      <c r="F1765" s="18"/>
      <c r="G1765" s="18"/>
    </row>
    <row r="1766" spans="1:7" ht="22.5" customHeight="1">
      <c r="A1766" s="236"/>
      <c r="B1766" s="18"/>
      <c r="C1766" s="18"/>
      <c r="D1766" s="213"/>
      <c r="E1766" s="237"/>
      <c r="F1766" s="18"/>
      <c r="G1766" s="18"/>
    </row>
    <row r="1767" spans="1:7" ht="22.5" customHeight="1">
      <c r="A1767" s="236"/>
      <c r="B1767" s="18"/>
      <c r="C1767" s="18"/>
      <c r="D1767" s="213"/>
      <c r="E1767" s="237"/>
      <c r="F1767" s="18"/>
      <c r="G1767" s="18"/>
    </row>
    <row r="1768" spans="1:7" ht="22.5" customHeight="1">
      <c r="A1768" s="236"/>
      <c r="B1768" s="18"/>
      <c r="C1768" s="18"/>
      <c r="D1768" s="213"/>
      <c r="E1768" s="237"/>
      <c r="F1768" s="18"/>
      <c r="G1768" s="18"/>
    </row>
    <row r="1769" spans="1:7" ht="22.5" customHeight="1">
      <c r="A1769" s="236"/>
      <c r="B1769" s="18"/>
      <c r="C1769" s="18"/>
      <c r="D1769" s="213"/>
      <c r="E1769" s="237"/>
      <c r="F1769" s="18"/>
      <c r="G1769" s="18"/>
    </row>
    <row r="1770" spans="1:7" ht="22.5" customHeight="1">
      <c r="A1770" s="236"/>
      <c r="B1770" s="18"/>
      <c r="C1770" s="18"/>
      <c r="D1770" s="213"/>
      <c r="E1770" s="237"/>
      <c r="F1770" s="18"/>
      <c r="G1770" s="18"/>
    </row>
    <row r="1771" spans="1:7" ht="22.5" customHeight="1">
      <c r="A1771" s="236"/>
      <c r="B1771" s="18"/>
      <c r="C1771" s="18"/>
      <c r="D1771" s="213"/>
      <c r="E1771" s="237"/>
      <c r="F1771" s="18"/>
      <c r="G1771" s="18"/>
    </row>
    <row r="1772" spans="1:7" ht="22.5" customHeight="1">
      <c r="A1772" s="236"/>
      <c r="B1772" s="18"/>
      <c r="C1772" s="18"/>
      <c r="D1772" s="213"/>
      <c r="E1772" s="237"/>
      <c r="F1772" s="18"/>
      <c r="G1772" s="18"/>
    </row>
    <row r="1773" spans="1:7" ht="22.5" customHeight="1">
      <c r="A1773" s="236"/>
      <c r="B1773" s="18"/>
      <c r="C1773" s="18"/>
      <c r="D1773" s="213"/>
      <c r="E1773" s="237"/>
      <c r="F1773" s="18"/>
      <c r="G1773" s="18"/>
    </row>
    <row r="1774" spans="1:7" ht="22.5" customHeight="1">
      <c r="A1774" s="236"/>
      <c r="B1774" s="18"/>
      <c r="C1774" s="18"/>
      <c r="D1774" s="213"/>
      <c r="E1774" s="237"/>
      <c r="F1774" s="18"/>
      <c r="G1774" s="18"/>
    </row>
    <row r="1775" spans="1:7" ht="22.5" customHeight="1">
      <c r="A1775" s="236"/>
      <c r="B1775" s="18"/>
      <c r="C1775" s="18"/>
      <c r="D1775" s="213"/>
      <c r="E1775" s="237"/>
      <c r="F1775" s="18"/>
      <c r="G1775" s="18"/>
    </row>
    <row r="1776" spans="1:7" ht="22.5" customHeight="1">
      <c r="A1776" s="236"/>
      <c r="B1776" s="18"/>
      <c r="C1776" s="18"/>
      <c r="D1776" s="213"/>
      <c r="E1776" s="237"/>
      <c r="F1776" s="18"/>
      <c r="G1776" s="18"/>
    </row>
    <row r="1777" spans="1:7" ht="22.5" customHeight="1">
      <c r="A1777" s="236"/>
      <c r="B1777" s="18"/>
      <c r="C1777" s="18"/>
      <c r="D1777" s="213"/>
      <c r="E1777" s="237"/>
      <c r="F1777" s="18"/>
      <c r="G1777" s="18"/>
    </row>
    <row r="1778" spans="1:7" ht="22.5" customHeight="1">
      <c r="A1778" s="236"/>
      <c r="B1778" s="18"/>
      <c r="C1778" s="18"/>
      <c r="D1778" s="213"/>
      <c r="E1778" s="237"/>
      <c r="F1778" s="18"/>
      <c r="G1778" s="18"/>
    </row>
    <row r="1779" spans="1:7" ht="22.5" customHeight="1">
      <c r="A1779" s="236"/>
      <c r="B1779" s="18"/>
      <c r="C1779" s="18"/>
      <c r="D1779" s="213"/>
      <c r="E1779" s="237"/>
      <c r="F1779" s="18"/>
      <c r="G1779" s="18"/>
    </row>
    <row r="1780" spans="1:7" ht="22.5" customHeight="1">
      <c r="A1780" s="236"/>
      <c r="B1780" s="18"/>
      <c r="C1780" s="18"/>
      <c r="D1780" s="213"/>
      <c r="E1780" s="237"/>
      <c r="F1780" s="18"/>
      <c r="G1780" s="18"/>
    </row>
    <row r="1781" spans="1:7" ht="22.5" customHeight="1">
      <c r="A1781" s="236"/>
      <c r="B1781" s="18"/>
      <c r="C1781" s="18"/>
      <c r="D1781" s="213"/>
      <c r="E1781" s="237"/>
      <c r="F1781" s="18"/>
      <c r="G1781" s="18"/>
    </row>
    <row r="1782" spans="1:7" ht="22.5" customHeight="1">
      <c r="A1782" s="236"/>
      <c r="B1782" s="18"/>
      <c r="C1782" s="18"/>
      <c r="D1782" s="213"/>
      <c r="E1782" s="237"/>
      <c r="F1782" s="18"/>
      <c r="G1782" s="18"/>
    </row>
    <row r="1783" spans="1:7" ht="22.5" customHeight="1">
      <c r="A1783" s="236"/>
      <c r="B1783" s="18"/>
      <c r="C1783" s="18"/>
      <c r="D1783" s="213"/>
      <c r="E1783" s="237"/>
      <c r="F1783" s="18"/>
      <c r="G1783" s="18"/>
    </row>
    <row r="1784" spans="1:7" ht="22.5" customHeight="1">
      <c r="A1784" s="236"/>
      <c r="B1784" s="18"/>
      <c r="C1784" s="18"/>
      <c r="D1784" s="213"/>
      <c r="E1784" s="237"/>
      <c r="F1784" s="18"/>
      <c r="G1784" s="18"/>
    </row>
    <row r="1785" spans="1:7" ht="22.5" customHeight="1">
      <c r="A1785" s="236"/>
      <c r="B1785" s="18"/>
      <c r="C1785" s="18"/>
      <c r="D1785" s="213"/>
      <c r="E1785" s="237"/>
      <c r="F1785" s="18"/>
      <c r="G1785" s="18"/>
    </row>
    <row r="1786" spans="1:7" ht="22.5" customHeight="1">
      <c r="A1786" s="236"/>
      <c r="B1786" s="18"/>
      <c r="C1786" s="18"/>
      <c r="D1786" s="213"/>
      <c r="E1786" s="237"/>
      <c r="F1786" s="18"/>
      <c r="G1786" s="18"/>
    </row>
    <row r="1787" spans="1:7" ht="22.5" customHeight="1">
      <c r="A1787" s="236"/>
      <c r="B1787" s="18"/>
      <c r="C1787" s="18"/>
      <c r="D1787" s="213"/>
      <c r="E1787" s="237"/>
      <c r="F1787" s="18"/>
      <c r="G1787" s="18"/>
    </row>
    <row r="1788" spans="1:7" ht="22.5" customHeight="1">
      <c r="A1788" s="236"/>
      <c r="B1788" s="18"/>
      <c r="C1788" s="18"/>
      <c r="D1788" s="213"/>
      <c r="E1788" s="237"/>
      <c r="F1788" s="18"/>
      <c r="G1788" s="18"/>
    </row>
    <row r="1789" spans="1:7" ht="22.5" customHeight="1">
      <c r="A1789" s="236"/>
      <c r="B1789" s="18"/>
      <c r="C1789" s="18"/>
      <c r="D1789" s="213"/>
      <c r="E1789" s="237"/>
      <c r="F1789" s="18"/>
      <c r="G1789" s="18"/>
    </row>
    <row r="1790" spans="1:7" ht="22.5" customHeight="1">
      <c r="A1790" s="236"/>
      <c r="B1790" s="18"/>
      <c r="C1790" s="18"/>
      <c r="D1790" s="213"/>
      <c r="E1790" s="237"/>
      <c r="F1790" s="18"/>
      <c r="G1790" s="18"/>
    </row>
    <row r="1791" spans="1:7" ht="22.5" customHeight="1">
      <c r="A1791" s="236"/>
      <c r="B1791" s="18"/>
      <c r="C1791" s="18"/>
      <c r="D1791" s="213"/>
      <c r="E1791" s="237"/>
      <c r="F1791" s="18"/>
      <c r="G1791" s="18"/>
    </row>
    <row r="1792" spans="1:7" ht="22.5" customHeight="1">
      <c r="A1792" s="236"/>
      <c r="B1792" s="18"/>
      <c r="C1792" s="18"/>
      <c r="D1792" s="213"/>
      <c r="E1792" s="237"/>
      <c r="F1792" s="18"/>
      <c r="G1792" s="18"/>
    </row>
    <row r="1793" spans="1:7" ht="22.5" customHeight="1">
      <c r="A1793" s="236"/>
      <c r="B1793" s="18"/>
      <c r="C1793" s="18"/>
      <c r="D1793" s="213"/>
      <c r="E1793" s="237"/>
      <c r="F1793" s="18"/>
      <c r="G1793" s="18"/>
    </row>
    <row r="1794" spans="1:7" ht="22.5" customHeight="1">
      <c r="A1794" s="236"/>
      <c r="B1794" s="18"/>
      <c r="C1794" s="18"/>
      <c r="D1794" s="213"/>
      <c r="E1794" s="237"/>
      <c r="F1794" s="18"/>
      <c r="G1794" s="18"/>
    </row>
    <row r="1795" spans="1:7" ht="22.5" customHeight="1">
      <c r="A1795" s="236"/>
      <c r="B1795" s="18"/>
      <c r="C1795" s="18"/>
      <c r="D1795" s="213"/>
      <c r="E1795" s="237"/>
      <c r="F1795" s="18"/>
      <c r="G1795" s="18"/>
    </row>
    <row r="1796" spans="1:7" ht="22.5" customHeight="1">
      <c r="A1796" s="236"/>
      <c r="B1796" s="18"/>
      <c r="C1796" s="18"/>
      <c r="D1796" s="213"/>
      <c r="E1796" s="237"/>
      <c r="F1796" s="18"/>
      <c r="G1796" s="18"/>
    </row>
    <row r="1797" spans="1:7" ht="22.5" customHeight="1">
      <c r="A1797" s="236"/>
      <c r="B1797" s="18"/>
      <c r="C1797" s="18"/>
      <c r="D1797" s="213"/>
      <c r="E1797" s="237"/>
      <c r="F1797" s="18"/>
      <c r="G1797" s="18"/>
    </row>
    <row r="1798" spans="1:7" ht="22.5" customHeight="1">
      <c r="A1798" s="236"/>
      <c r="B1798" s="18"/>
      <c r="C1798" s="18"/>
      <c r="D1798" s="213"/>
      <c r="E1798" s="237"/>
      <c r="F1798" s="18"/>
      <c r="G1798" s="18"/>
    </row>
    <row r="1799" spans="1:7" ht="22.5" customHeight="1">
      <c r="A1799" s="236"/>
      <c r="B1799" s="18"/>
      <c r="C1799" s="18"/>
      <c r="D1799" s="213"/>
      <c r="E1799" s="237"/>
      <c r="F1799" s="18"/>
      <c r="G1799" s="18"/>
    </row>
    <row r="1800" spans="1:7" ht="22.5" customHeight="1">
      <c r="A1800" s="236"/>
      <c r="B1800" s="18"/>
      <c r="C1800" s="18"/>
      <c r="D1800" s="213"/>
      <c r="E1800" s="237"/>
      <c r="F1800" s="18"/>
      <c r="G1800" s="18"/>
    </row>
    <row r="1801" spans="1:7" ht="22.5" customHeight="1">
      <c r="A1801" s="236"/>
      <c r="B1801" s="18"/>
      <c r="C1801" s="18"/>
      <c r="D1801" s="213"/>
      <c r="E1801" s="237"/>
      <c r="F1801" s="18"/>
      <c r="G1801" s="18"/>
    </row>
    <row r="1802" spans="1:7" ht="22.5" customHeight="1">
      <c r="A1802" s="236"/>
      <c r="B1802" s="18"/>
      <c r="C1802" s="18"/>
      <c r="D1802" s="213"/>
      <c r="E1802" s="237"/>
      <c r="F1802" s="18"/>
      <c r="G1802" s="18"/>
    </row>
    <row r="1803" spans="1:7" ht="22.5" customHeight="1">
      <c r="A1803" s="236"/>
      <c r="B1803" s="18"/>
      <c r="C1803" s="18"/>
      <c r="D1803" s="213"/>
      <c r="E1803" s="237"/>
      <c r="F1803" s="18"/>
      <c r="G1803" s="18"/>
    </row>
    <row r="1804" spans="1:7" ht="22.5" customHeight="1">
      <c r="A1804" s="236"/>
      <c r="B1804" s="18"/>
      <c r="C1804" s="18"/>
      <c r="D1804" s="213"/>
      <c r="E1804" s="237"/>
      <c r="F1804" s="18"/>
      <c r="G1804" s="18"/>
    </row>
    <row r="1805" spans="1:7" ht="22.5" customHeight="1">
      <c r="A1805" s="236"/>
      <c r="B1805" s="18"/>
      <c r="C1805" s="18"/>
      <c r="D1805" s="213"/>
      <c r="E1805" s="237"/>
      <c r="F1805" s="18"/>
      <c r="G1805" s="18"/>
    </row>
    <row r="1806" spans="1:7" ht="22.5" customHeight="1">
      <c r="A1806" s="236"/>
      <c r="B1806" s="18"/>
      <c r="C1806" s="18"/>
      <c r="D1806" s="213"/>
      <c r="E1806" s="237"/>
      <c r="F1806" s="18"/>
      <c r="G1806" s="18"/>
    </row>
    <row r="1807" spans="1:7" ht="22.5" customHeight="1">
      <c r="A1807" s="236"/>
      <c r="B1807" s="18"/>
      <c r="C1807" s="18"/>
      <c r="D1807" s="213"/>
      <c r="E1807" s="237"/>
      <c r="F1807" s="18"/>
      <c r="G1807" s="18"/>
    </row>
    <row r="1808" spans="1:7" ht="22.5" customHeight="1">
      <c r="A1808" s="236"/>
      <c r="B1808" s="18"/>
      <c r="C1808" s="18"/>
      <c r="D1808" s="213"/>
      <c r="E1808" s="237"/>
      <c r="F1808" s="18"/>
      <c r="G1808" s="18"/>
    </row>
    <row r="1809" spans="1:7" ht="22.5" customHeight="1">
      <c r="A1809" s="236"/>
      <c r="B1809" s="18"/>
      <c r="C1809" s="18"/>
      <c r="D1809" s="213"/>
      <c r="E1809" s="237"/>
      <c r="F1809" s="18"/>
      <c r="G1809" s="18"/>
    </row>
    <row r="1810" spans="1:7" ht="22.5" customHeight="1">
      <c r="A1810" s="236"/>
      <c r="B1810" s="18"/>
      <c r="C1810" s="18"/>
      <c r="D1810" s="213"/>
      <c r="E1810" s="237"/>
      <c r="F1810" s="18"/>
      <c r="G1810" s="18"/>
    </row>
    <row r="1811" spans="1:7" ht="22.5" customHeight="1">
      <c r="A1811" s="236"/>
      <c r="B1811" s="18"/>
      <c r="C1811" s="18"/>
      <c r="D1811" s="213"/>
      <c r="E1811" s="237"/>
      <c r="F1811" s="18"/>
      <c r="G1811" s="18"/>
    </row>
    <row r="1812" spans="1:7" ht="22.5" customHeight="1">
      <c r="A1812" s="236"/>
      <c r="B1812" s="18"/>
      <c r="C1812" s="18"/>
      <c r="D1812" s="213"/>
      <c r="E1812" s="237"/>
      <c r="F1812" s="18"/>
      <c r="G1812" s="18"/>
    </row>
    <row r="1813" spans="1:7" ht="22.5" customHeight="1">
      <c r="A1813" s="236"/>
      <c r="B1813" s="18"/>
      <c r="C1813" s="18"/>
      <c r="D1813" s="213"/>
      <c r="E1813" s="237"/>
      <c r="F1813" s="18"/>
      <c r="G1813" s="18"/>
    </row>
    <row r="1814" spans="1:7" ht="22.5" customHeight="1">
      <c r="A1814" s="236"/>
      <c r="B1814" s="18"/>
      <c r="C1814" s="18"/>
      <c r="D1814" s="213"/>
      <c r="E1814" s="237"/>
      <c r="F1814" s="18"/>
      <c r="G1814" s="18"/>
    </row>
    <row r="1815" spans="1:7" ht="22.5" customHeight="1">
      <c r="A1815" s="236"/>
      <c r="B1815" s="18"/>
      <c r="C1815" s="18"/>
      <c r="D1815" s="213"/>
      <c r="E1815" s="237"/>
      <c r="F1815" s="18"/>
      <c r="G1815" s="18"/>
    </row>
    <row r="1816" spans="1:7" ht="22.5" customHeight="1">
      <c r="A1816" s="236"/>
      <c r="B1816" s="18"/>
      <c r="C1816" s="18"/>
      <c r="D1816" s="213"/>
      <c r="E1816" s="237"/>
      <c r="F1816" s="18"/>
      <c r="G1816" s="18"/>
    </row>
    <row r="1817" spans="1:7" ht="22.5" customHeight="1">
      <c r="A1817" s="236"/>
      <c r="B1817" s="18"/>
      <c r="C1817" s="18"/>
      <c r="D1817" s="213"/>
      <c r="E1817" s="237"/>
      <c r="F1817" s="18"/>
      <c r="G1817" s="18"/>
    </row>
    <row r="1818" spans="1:7" ht="22.5" customHeight="1">
      <c r="A1818" s="236"/>
      <c r="B1818" s="18"/>
      <c r="C1818" s="18"/>
      <c r="D1818" s="213"/>
      <c r="E1818" s="237"/>
      <c r="F1818" s="18"/>
      <c r="G1818" s="18"/>
    </row>
    <row r="1819" spans="1:7" ht="22.5" customHeight="1">
      <c r="A1819" s="236"/>
      <c r="B1819" s="18"/>
      <c r="C1819" s="18"/>
      <c r="D1819" s="213"/>
      <c r="E1819" s="237"/>
      <c r="F1819" s="18"/>
      <c r="G1819" s="18"/>
    </row>
    <row r="1820" spans="1:7" ht="22.5" customHeight="1">
      <c r="A1820" s="236"/>
      <c r="B1820" s="18"/>
      <c r="C1820" s="18"/>
      <c r="D1820" s="213"/>
      <c r="E1820" s="237"/>
      <c r="F1820" s="18"/>
      <c r="G1820" s="18"/>
    </row>
    <row r="1821" spans="1:7" ht="22.5" customHeight="1">
      <c r="A1821" s="236"/>
      <c r="B1821" s="18"/>
      <c r="C1821" s="18"/>
      <c r="D1821" s="213"/>
      <c r="E1821" s="237"/>
      <c r="F1821" s="18"/>
      <c r="G1821" s="18"/>
    </row>
    <row r="1822" spans="1:7" ht="22.5" customHeight="1">
      <c r="A1822" s="236"/>
      <c r="B1822" s="18"/>
      <c r="C1822" s="18"/>
      <c r="D1822" s="213"/>
      <c r="E1822" s="237"/>
      <c r="F1822" s="18"/>
      <c r="G1822" s="18"/>
    </row>
    <row r="1823" spans="1:7" ht="22.5" customHeight="1">
      <c r="A1823" s="236"/>
      <c r="B1823" s="18"/>
      <c r="C1823" s="18"/>
      <c r="D1823" s="213"/>
      <c r="E1823" s="237"/>
      <c r="F1823" s="18"/>
      <c r="G1823" s="18"/>
    </row>
    <row r="1824" spans="1:7" ht="22.5" customHeight="1">
      <c r="A1824" s="236"/>
      <c r="B1824" s="18"/>
      <c r="C1824" s="18"/>
      <c r="D1824" s="213"/>
      <c r="E1824" s="237"/>
      <c r="F1824" s="18"/>
      <c r="G1824" s="18"/>
    </row>
    <row r="1825" spans="1:7" ht="22.5" customHeight="1">
      <c r="A1825" s="236"/>
      <c r="B1825" s="18"/>
      <c r="C1825" s="18"/>
      <c r="D1825" s="213"/>
      <c r="E1825" s="237"/>
      <c r="F1825" s="18"/>
      <c r="G1825" s="18"/>
    </row>
    <row r="1826" spans="1:7" ht="22.5" customHeight="1">
      <c r="A1826" s="236"/>
      <c r="B1826" s="18"/>
      <c r="C1826" s="18"/>
      <c r="D1826" s="213"/>
      <c r="E1826" s="237"/>
      <c r="F1826" s="18"/>
      <c r="G1826" s="18"/>
    </row>
    <row r="1827" spans="1:7" ht="22.5" customHeight="1">
      <c r="A1827" s="236"/>
      <c r="B1827" s="18"/>
      <c r="C1827" s="18"/>
      <c r="D1827" s="213"/>
      <c r="E1827" s="237"/>
      <c r="F1827" s="18"/>
      <c r="G1827" s="18"/>
    </row>
    <row r="1828" spans="1:7" ht="22.5" customHeight="1">
      <c r="A1828" s="236"/>
      <c r="B1828" s="18"/>
      <c r="C1828" s="18"/>
      <c r="D1828" s="213"/>
      <c r="E1828" s="237"/>
      <c r="F1828" s="18"/>
      <c r="G1828" s="18"/>
    </row>
    <row r="1829" spans="1:7" ht="22.5" customHeight="1">
      <c r="A1829" s="236"/>
      <c r="B1829" s="18"/>
      <c r="C1829" s="18"/>
      <c r="D1829" s="213"/>
      <c r="E1829" s="237"/>
      <c r="F1829" s="18"/>
      <c r="G1829" s="18"/>
    </row>
    <row r="1830" spans="1:7" ht="22.5" customHeight="1">
      <c r="A1830" s="236"/>
      <c r="B1830" s="18"/>
      <c r="C1830" s="18"/>
      <c r="D1830" s="213"/>
      <c r="E1830" s="237"/>
      <c r="F1830" s="18"/>
      <c r="G1830" s="18"/>
    </row>
    <row r="1831" spans="1:7" ht="22.5" customHeight="1">
      <c r="A1831" s="236"/>
      <c r="B1831" s="18"/>
      <c r="C1831" s="18"/>
      <c r="D1831" s="213"/>
      <c r="E1831" s="237"/>
      <c r="F1831" s="18"/>
      <c r="G1831" s="18"/>
    </row>
    <row r="1832" spans="1:7" ht="22.5" customHeight="1">
      <c r="A1832" s="236"/>
      <c r="B1832" s="18"/>
      <c r="C1832" s="18"/>
      <c r="D1832" s="213"/>
      <c r="E1832" s="237"/>
      <c r="F1832" s="18"/>
      <c r="G1832" s="18"/>
    </row>
    <row r="1833" spans="1:7" ht="22.5" customHeight="1">
      <c r="A1833" s="236"/>
      <c r="B1833" s="18"/>
      <c r="C1833" s="18"/>
      <c r="D1833" s="213"/>
      <c r="E1833" s="237"/>
      <c r="F1833" s="18"/>
      <c r="G1833" s="18"/>
    </row>
    <row r="1834" spans="1:7" ht="22.5" customHeight="1">
      <c r="A1834" s="236"/>
      <c r="B1834" s="18"/>
      <c r="C1834" s="18"/>
      <c r="D1834" s="213"/>
      <c r="E1834" s="237"/>
      <c r="F1834" s="18"/>
      <c r="G1834" s="18"/>
    </row>
    <row r="1835" spans="1:7" ht="22.5" customHeight="1">
      <c r="A1835" s="236"/>
      <c r="B1835" s="18"/>
      <c r="C1835" s="18"/>
      <c r="D1835" s="213"/>
      <c r="E1835" s="237"/>
      <c r="F1835" s="18"/>
      <c r="G1835" s="18"/>
    </row>
    <row r="1836" spans="1:7" ht="22.5" customHeight="1">
      <c r="A1836" s="236"/>
      <c r="B1836" s="18"/>
      <c r="C1836" s="18"/>
      <c r="D1836" s="213"/>
      <c r="E1836" s="237"/>
      <c r="F1836" s="18"/>
      <c r="G1836" s="18"/>
    </row>
    <row r="1837" spans="1:7" ht="22.5" customHeight="1">
      <c r="A1837" s="236"/>
      <c r="B1837" s="18"/>
      <c r="C1837" s="18"/>
      <c r="D1837" s="213"/>
      <c r="E1837" s="237"/>
      <c r="F1837" s="18"/>
      <c r="G1837" s="18"/>
    </row>
    <row r="1838" spans="1:7" ht="22.5" customHeight="1">
      <c r="A1838" s="236"/>
      <c r="B1838" s="18"/>
      <c r="C1838" s="18"/>
      <c r="D1838" s="213"/>
      <c r="E1838" s="237"/>
      <c r="F1838" s="18"/>
      <c r="G1838" s="18"/>
    </row>
    <row r="1839" spans="1:7" ht="22.5" customHeight="1">
      <c r="A1839" s="236"/>
      <c r="B1839" s="18"/>
      <c r="C1839" s="18"/>
      <c r="D1839" s="213"/>
      <c r="E1839" s="237"/>
      <c r="F1839" s="18"/>
      <c r="G1839" s="18"/>
    </row>
    <row r="1840" spans="1:7" ht="22.5" customHeight="1">
      <c r="A1840" s="236"/>
      <c r="B1840" s="18"/>
      <c r="C1840" s="18"/>
      <c r="D1840" s="213"/>
      <c r="E1840" s="237"/>
      <c r="F1840" s="18"/>
      <c r="G1840" s="18"/>
    </row>
    <row r="1841" spans="1:7" ht="22.5" customHeight="1">
      <c r="A1841" s="236"/>
      <c r="B1841" s="18"/>
      <c r="C1841" s="18"/>
      <c r="D1841" s="213"/>
      <c r="E1841" s="237"/>
      <c r="F1841" s="18"/>
      <c r="G1841" s="18"/>
    </row>
    <row r="1842" spans="1:7" ht="22.5" customHeight="1">
      <c r="A1842" s="236"/>
      <c r="B1842" s="18"/>
      <c r="C1842" s="18"/>
      <c r="D1842" s="213"/>
      <c r="E1842" s="237"/>
      <c r="F1842" s="18"/>
      <c r="G1842" s="18"/>
    </row>
    <row r="1843" spans="1:7" ht="22.5" customHeight="1">
      <c r="A1843" s="236"/>
      <c r="B1843" s="18"/>
      <c r="C1843" s="18"/>
      <c r="D1843" s="213"/>
      <c r="E1843" s="237"/>
      <c r="F1843" s="18"/>
      <c r="G1843" s="18"/>
    </row>
    <row r="1844" spans="1:7" ht="22.5" customHeight="1">
      <c r="A1844" s="236"/>
      <c r="B1844" s="18"/>
      <c r="C1844" s="18"/>
      <c r="D1844" s="213"/>
      <c r="E1844" s="237"/>
      <c r="F1844" s="18"/>
      <c r="G1844" s="18"/>
    </row>
    <row r="1845" spans="1:7" ht="22.5" customHeight="1">
      <c r="A1845" s="236"/>
      <c r="B1845" s="18"/>
      <c r="C1845" s="18"/>
      <c r="D1845" s="213"/>
      <c r="E1845" s="237"/>
      <c r="F1845" s="18"/>
      <c r="G1845" s="18"/>
    </row>
    <row r="1846" spans="1:7" ht="22.5" customHeight="1">
      <c r="A1846" s="236"/>
      <c r="B1846" s="18"/>
      <c r="C1846" s="18"/>
      <c r="D1846" s="213"/>
      <c r="E1846" s="237"/>
      <c r="F1846" s="18"/>
      <c r="G1846" s="18"/>
    </row>
    <row r="1847" spans="1:7" ht="22.5" customHeight="1">
      <c r="A1847" s="236"/>
      <c r="B1847" s="18"/>
      <c r="C1847" s="18"/>
      <c r="D1847" s="213"/>
      <c r="E1847" s="237"/>
      <c r="F1847" s="18"/>
      <c r="G1847" s="18"/>
    </row>
    <row r="1848" spans="1:7" ht="22.5" customHeight="1">
      <c r="A1848" s="236"/>
      <c r="B1848" s="18"/>
      <c r="C1848" s="18"/>
      <c r="D1848" s="213"/>
      <c r="E1848" s="237"/>
      <c r="F1848" s="18"/>
      <c r="G1848" s="18"/>
    </row>
    <row r="1849" spans="1:7" ht="22.5" customHeight="1">
      <c r="A1849" s="236"/>
      <c r="B1849" s="18"/>
      <c r="C1849" s="18"/>
      <c r="D1849" s="213"/>
      <c r="E1849" s="237"/>
      <c r="F1849" s="18"/>
      <c r="G1849" s="18"/>
    </row>
    <row r="1850" spans="1:7" ht="22.5" customHeight="1">
      <c r="A1850" s="236"/>
      <c r="B1850" s="18"/>
      <c r="C1850" s="18"/>
      <c r="D1850" s="213"/>
      <c r="E1850" s="237"/>
      <c r="F1850" s="18"/>
      <c r="G1850" s="18"/>
    </row>
    <row r="1851" spans="1:7" ht="22.5" customHeight="1">
      <c r="A1851" s="236"/>
      <c r="B1851" s="18"/>
      <c r="C1851" s="18"/>
      <c r="D1851" s="213"/>
      <c r="E1851" s="237"/>
      <c r="F1851" s="18"/>
      <c r="G1851" s="18"/>
    </row>
    <row r="1852" spans="1:7" ht="22.5" customHeight="1">
      <c r="A1852" s="236"/>
      <c r="B1852" s="18"/>
      <c r="C1852" s="18"/>
      <c r="D1852" s="213"/>
      <c r="E1852" s="237"/>
      <c r="F1852" s="18"/>
      <c r="G1852" s="18"/>
    </row>
    <row r="1853" spans="1:7" ht="22.5" customHeight="1">
      <c r="A1853" s="236"/>
      <c r="B1853" s="18"/>
      <c r="C1853" s="18"/>
      <c r="D1853" s="213"/>
      <c r="E1853" s="237"/>
      <c r="F1853" s="18"/>
      <c r="G1853" s="18"/>
    </row>
    <row r="1854" spans="1:7" ht="22.5" customHeight="1">
      <c r="A1854" s="236"/>
      <c r="B1854" s="18"/>
      <c r="C1854" s="18"/>
      <c r="D1854" s="213"/>
      <c r="E1854" s="237"/>
      <c r="F1854" s="18"/>
      <c r="G1854" s="18"/>
    </row>
    <row r="1855" spans="1:7" ht="22.5" customHeight="1">
      <c r="A1855" s="236"/>
      <c r="B1855" s="18"/>
      <c r="C1855" s="18"/>
      <c r="D1855" s="213"/>
      <c r="E1855" s="237"/>
      <c r="F1855" s="18"/>
      <c r="G1855" s="18"/>
    </row>
    <row r="1856" spans="1:7" ht="22.5" customHeight="1">
      <c r="A1856" s="236"/>
      <c r="B1856" s="18"/>
      <c r="C1856" s="18"/>
      <c r="D1856" s="213"/>
      <c r="E1856" s="237"/>
      <c r="F1856" s="18"/>
      <c r="G1856" s="18"/>
    </row>
    <row r="1857" spans="1:7" ht="22.5" customHeight="1">
      <c r="A1857" s="236"/>
      <c r="B1857" s="18"/>
      <c r="C1857" s="18"/>
      <c r="D1857" s="213"/>
      <c r="E1857" s="237"/>
      <c r="F1857" s="18"/>
      <c r="G1857" s="18"/>
    </row>
    <row r="1858" spans="1:7" ht="22.5" customHeight="1">
      <c r="A1858" s="236"/>
      <c r="B1858" s="18"/>
      <c r="C1858" s="18"/>
      <c r="D1858" s="213"/>
      <c r="E1858" s="237"/>
      <c r="F1858" s="18"/>
      <c r="G1858" s="18"/>
    </row>
    <row r="1859" spans="1:7" ht="22.5" customHeight="1">
      <c r="A1859" s="236"/>
      <c r="B1859" s="18"/>
      <c r="C1859" s="18"/>
      <c r="D1859" s="213"/>
      <c r="E1859" s="237"/>
      <c r="F1859" s="18"/>
      <c r="G1859" s="18"/>
    </row>
    <row r="1860" spans="1:7" ht="22.5" customHeight="1">
      <c r="A1860" s="236"/>
      <c r="B1860" s="18"/>
      <c r="C1860" s="18"/>
      <c r="D1860" s="213"/>
      <c r="E1860" s="237"/>
      <c r="F1860" s="18"/>
      <c r="G1860" s="18"/>
    </row>
    <row r="1861" spans="1:7" ht="22.5" customHeight="1">
      <c r="A1861" s="236"/>
      <c r="B1861" s="18"/>
      <c r="C1861" s="18"/>
      <c r="D1861" s="213"/>
      <c r="E1861" s="237"/>
      <c r="F1861" s="18"/>
      <c r="G1861" s="18"/>
    </row>
    <row r="1862" spans="1:7" ht="22.5" customHeight="1">
      <c r="A1862" s="236"/>
      <c r="B1862" s="18"/>
      <c r="C1862" s="18"/>
      <c r="D1862" s="213"/>
      <c r="E1862" s="237"/>
      <c r="F1862" s="18"/>
      <c r="G1862" s="18"/>
    </row>
    <row r="1863" spans="1:7" ht="22.5" customHeight="1">
      <c r="A1863" s="236"/>
      <c r="B1863" s="18"/>
      <c r="C1863" s="18"/>
      <c r="D1863" s="213"/>
      <c r="E1863" s="237"/>
      <c r="F1863" s="18"/>
      <c r="G1863" s="18"/>
    </row>
    <row r="1864" spans="1:7" ht="22.5" customHeight="1">
      <c r="A1864" s="236"/>
      <c r="B1864" s="18"/>
      <c r="C1864" s="18"/>
      <c r="D1864" s="213"/>
      <c r="E1864" s="237"/>
      <c r="F1864" s="18"/>
      <c r="G1864" s="18"/>
    </row>
    <row r="1865" spans="1:7" ht="22.5" customHeight="1">
      <c r="A1865" s="236"/>
      <c r="B1865" s="18"/>
      <c r="C1865" s="18"/>
      <c r="D1865" s="213"/>
      <c r="E1865" s="237"/>
      <c r="F1865" s="18"/>
      <c r="G1865" s="18"/>
    </row>
    <row r="1866" spans="1:7" ht="22.5" customHeight="1">
      <c r="A1866" s="236"/>
      <c r="B1866" s="18"/>
      <c r="C1866" s="18"/>
      <c r="D1866" s="213"/>
      <c r="E1866" s="237"/>
      <c r="F1866" s="18"/>
      <c r="G1866" s="18"/>
    </row>
    <row r="1867" spans="1:7" ht="22.5" customHeight="1">
      <c r="A1867" s="236"/>
      <c r="B1867" s="18"/>
      <c r="C1867" s="18"/>
      <c r="D1867" s="213"/>
      <c r="E1867" s="237"/>
      <c r="F1867" s="18"/>
      <c r="G1867" s="18"/>
    </row>
    <row r="1868" spans="1:7" ht="22.5" customHeight="1">
      <c r="A1868" s="236"/>
      <c r="B1868" s="18"/>
      <c r="C1868" s="18"/>
      <c r="D1868" s="213"/>
      <c r="E1868" s="237"/>
      <c r="F1868" s="18"/>
      <c r="G1868" s="18"/>
    </row>
    <row r="1869" spans="1:7" ht="22.5" customHeight="1">
      <c r="A1869" s="236"/>
      <c r="B1869" s="18"/>
      <c r="C1869" s="18"/>
      <c r="D1869" s="213"/>
      <c r="E1869" s="237"/>
      <c r="F1869" s="18"/>
      <c r="G1869" s="18"/>
    </row>
    <row r="1870" spans="1:7" ht="22.5" customHeight="1">
      <c r="A1870" s="236"/>
      <c r="B1870" s="18"/>
      <c r="C1870" s="18"/>
      <c r="D1870" s="213"/>
      <c r="E1870" s="237"/>
      <c r="F1870" s="18"/>
      <c r="G1870" s="18"/>
    </row>
    <row r="1871" spans="1:7" ht="22.5" customHeight="1">
      <c r="A1871" s="236"/>
      <c r="B1871" s="18"/>
      <c r="C1871" s="18"/>
      <c r="D1871" s="213"/>
      <c r="E1871" s="237"/>
      <c r="F1871" s="18"/>
      <c r="G1871" s="18"/>
    </row>
    <row r="1872" spans="1:7" ht="22.5" customHeight="1">
      <c r="A1872" s="236"/>
      <c r="B1872" s="18"/>
      <c r="C1872" s="18"/>
      <c r="D1872" s="213"/>
      <c r="E1872" s="237"/>
      <c r="F1872" s="18"/>
      <c r="G1872" s="18"/>
    </row>
    <row r="1873" spans="1:7" ht="22.5" customHeight="1">
      <c r="A1873" s="236"/>
      <c r="B1873" s="18"/>
      <c r="C1873" s="18"/>
      <c r="D1873" s="213"/>
      <c r="E1873" s="237"/>
      <c r="F1873" s="18"/>
      <c r="G1873" s="18"/>
    </row>
    <row r="1874" spans="1:7" ht="22.5" customHeight="1">
      <c r="A1874" s="236"/>
      <c r="B1874" s="18"/>
      <c r="C1874" s="18"/>
      <c r="D1874" s="213"/>
      <c r="E1874" s="237"/>
      <c r="F1874" s="18"/>
      <c r="G1874" s="18"/>
    </row>
    <row r="1875" spans="1:7" ht="22.5" customHeight="1">
      <c r="A1875" s="236"/>
      <c r="B1875" s="18"/>
      <c r="C1875" s="18"/>
      <c r="D1875" s="213"/>
      <c r="E1875" s="237"/>
      <c r="F1875" s="18"/>
      <c r="G1875" s="18"/>
    </row>
    <row r="1876" spans="1:7" ht="22.5" customHeight="1">
      <c r="A1876" s="236"/>
      <c r="B1876" s="18"/>
      <c r="C1876" s="18"/>
      <c r="D1876" s="213"/>
      <c r="E1876" s="237"/>
      <c r="F1876" s="18"/>
      <c r="G1876" s="18"/>
    </row>
    <row r="1877" spans="1:7" ht="22.5" customHeight="1">
      <c r="A1877" s="236"/>
      <c r="B1877" s="18"/>
      <c r="C1877" s="18"/>
      <c r="D1877" s="213"/>
      <c r="E1877" s="237"/>
      <c r="F1877" s="18"/>
      <c r="G1877" s="18"/>
    </row>
    <row r="1878" spans="1:7" ht="22.5" customHeight="1">
      <c r="A1878" s="236"/>
      <c r="B1878" s="18"/>
      <c r="C1878" s="18"/>
      <c r="D1878" s="213"/>
      <c r="E1878" s="237"/>
      <c r="F1878" s="18"/>
      <c r="G1878" s="18"/>
    </row>
    <row r="1879" spans="1:7" ht="22.5" customHeight="1">
      <c r="A1879" s="236"/>
      <c r="B1879" s="18"/>
      <c r="C1879" s="18"/>
      <c r="D1879" s="213"/>
      <c r="E1879" s="237"/>
      <c r="F1879" s="18"/>
      <c r="G1879" s="18"/>
    </row>
    <row r="1880" spans="1:7" ht="22.5" customHeight="1">
      <c r="A1880" s="236"/>
      <c r="B1880" s="18"/>
      <c r="C1880" s="18"/>
      <c r="D1880" s="213"/>
      <c r="E1880" s="237"/>
      <c r="F1880" s="18"/>
      <c r="G1880" s="18"/>
    </row>
    <row r="1881" spans="1:7" ht="22.5" customHeight="1">
      <c r="A1881" s="236"/>
      <c r="B1881" s="18"/>
      <c r="C1881" s="18"/>
      <c r="D1881" s="213"/>
      <c r="E1881" s="237"/>
      <c r="F1881" s="18"/>
      <c r="G1881" s="18"/>
    </row>
    <row r="1882" spans="1:7" ht="22.5" customHeight="1">
      <c r="A1882" s="236"/>
      <c r="B1882" s="18"/>
      <c r="C1882" s="18"/>
      <c r="D1882" s="213"/>
      <c r="E1882" s="237"/>
      <c r="F1882" s="18"/>
      <c r="G1882" s="18"/>
    </row>
    <row r="1883" spans="1:7" ht="22.5" customHeight="1">
      <c r="A1883" s="236"/>
      <c r="B1883" s="18"/>
      <c r="C1883" s="18"/>
      <c r="D1883" s="213"/>
      <c r="E1883" s="237"/>
      <c r="F1883" s="18"/>
      <c r="G1883" s="18"/>
    </row>
    <row r="1884" spans="1:7" ht="22.5" customHeight="1">
      <c r="A1884" s="236"/>
      <c r="B1884" s="18"/>
      <c r="C1884" s="18"/>
      <c r="D1884" s="213"/>
      <c r="E1884" s="237"/>
      <c r="F1884" s="18"/>
      <c r="G1884" s="18"/>
    </row>
    <row r="1885" spans="1:7" ht="22.5" customHeight="1">
      <c r="A1885" s="236"/>
      <c r="B1885" s="18"/>
      <c r="C1885" s="18"/>
      <c r="D1885" s="213"/>
      <c r="E1885" s="237"/>
      <c r="F1885" s="18"/>
      <c r="G1885" s="18"/>
    </row>
    <row r="1886" spans="1:7" ht="22.5" customHeight="1">
      <c r="A1886" s="236"/>
      <c r="B1886" s="18"/>
      <c r="C1886" s="18"/>
      <c r="D1886" s="213"/>
      <c r="E1886" s="237"/>
      <c r="F1886" s="18"/>
      <c r="G1886" s="18"/>
    </row>
    <row r="1887" spans="1:7" ht="22.5" customHeight="1">
      <c r="A1887" s="236"/>
      <c r="B1887" s="18"/>
      <c r="C1887" s="18"/>
      <c r="D1887" s="213"/>
      <c r="E1887" s="237"/>
      <c r="F1887" s="18"/>
      <c r="G1887" s="18"/>
    </row>
    <row r="1888" spans="1:7" ht="22.5" customHeight="1">
      <c r="A1888" s="236"/>
      <c r="B1888" s="18"/>
      <c r="C1888" s="18"/>
      <c r="D1888" s="213"/>
      <c r="E1888" s="237"/>
      <c r="F1888" s="18"/>
      <c r="G1888" s="18"/>
    </row>
    <row r="1889" spans="1:7" ht="22.5" customHeight="1">
      <c r="A1889" s="236"/>
      <c r="B1889" s="18"/>
      <c r="C1889" s="18"/>
      <c r="D1889" s="213"/>
      <c r="E1889" s="237"/>
      <c r="F1889" s="18"/>
      <c r="G1889" s="18"/>
    </row>
    <row r="1890" spans="1:7" ht="22.5" customHeight="1">
      <c r="A1890" s="236"/>
      <c r="B1890" s="18"/>
      <c r="C1890" s="18"/>
      <c r="D1890" s="213"/>
      <c r="E1890" s="237"/>
      <c r="F1890" s="18"/>
      <c r="G1890" s="18"/>
    </row>
    <row r="1891" spans="1:7" ht="22.5" customHeight="1">
      <c r="A1891" s="236"/>
      <c r="B1891" s="18"/>
      <c r="C1891" s="18"/>
      <c r="D1891" s="213"/>
      <c r="E1891" s="237"/>
      <c r="F1891" s="18"/>
      <c r="G1891" s="18"/>
    </row>
    <row r="1892" spans="1:7" ht="22.5" customHeight="1">
      <c r="A1892" s="236"/>
      <c r="B1892" s="18"/>
      <c r="C1892" s="18"/>
      <c r="D1892" s="213"/>
      <c r="E1892" s="237"/>
      <c r="F1892" s="18"/>
      <c r="G1892" s="18"/>
    </row>
    <row r="1893" spans="1:7" ht="22.5" customHeight="1">
      <c r="A1893" s="236"/>
      <c r="B1893" s="18"/>
      <c r="C1893" s="18"/>
      <c r="D1893" s="213"/>
      <c r="E1893" s="237"/>
      <c r="F1893" s="18"/>
      <c r="G1893" s="18"/>
    </row>
    <row r="1894" spans="1:7" ht="22.5" customHeight="1">
      <c r="A1894" s="236"/>
      <c r="B1894" s="18"/>
      <c r="C1894" s="18"/>
      <c r="D1894" s="213"/>
      <c r="E1894" s="237"/>
      <c r="F1894" s="18"/>
      <c r="G1894" s="18"/>
    </row>
    <row r="1895" spans="1:7" ht="22.5" customHeight="1">
      <c r="A1895" s="236"/>
      <c r="B1895" s="18"/>
      <c r="C1895" s="18"/>
      <c r="D1895" s="213"/>
      <c r="E1895" s="237"/>
      <c r="F1895" s="18"/>
      <c r="G1895" s="18"/>
    </row>
    <row r="1896" spans="1:7" ht="22.5" customHeight="1">
      <c r="A1896" s="236"/>
      <c r="B1896" s="18"/>
      <c r="C1896" s="18"/>
      <c r="D1896" s="213"/>
      <c r="E1896" s="237"/>
      <c r="F1896" s="18"/>
      <c r="G1896" s="18"/>
    </row>
    <row r="1897" spans="1:7" ht="22.5" customHeight="1">
      <c r="A1897" s="236"/>
      <c r="B1897" s="18"/>
      <c r="C1897" s="18"/>
      <c r="D1897" s="213"/>
      <c r="E1897" s="237"/>
      <c r="F1897" s="18"/>
      <c r="G1897" s="18"/>
    </row>
    <row r="1898" spans="1:7" ht="22.5" customHeight="1">
      <c r="A1898" s="236"/>
      <c r="B1898" s="18"/>
      <c r="C1898" s="18"/>
      <c r="D1898" s="213"/>
      <c r="E1898" s="237"/>
      <c r="F1898" s="18"/>
      <c r="G1898" s="18"/>
    </row>
    <row r="1899" spans="1:7" ht="22.5" customHeight="1">
      <c r="A1899" s="236"/>
      <c r="B1899" s="18"/>
      <c r="C1899" s="18"/>
      <c r="D1899" s="213"/>
      <c r="E1899" s="237"/>
      <c r="F1899" s="18"/>
      <c r="G1899" s="18"/>
    </row>
    <row r="1900" spans="1:7" ht="22.5" customHeight="1">
      <c r="A1900" s="236"/>
      <c r="B1900" s="18"/>
      <c r="C1900" s="18"/>
      <c r="D1900" s="213"/>
      <c r="E1900" s="237"/>
      <c r="F1900" s="18"/>
      <c r="G1900" s="18"/>
    </row>
    <row r="1901" spans="1:7" ht="22.5" customHeight="1">
      <c r="A1901" s="236"/>
      <c r="B1901" s="18"/>
      <c r="C1901" s="18"/>
      <c r="D1901" s="213"/>
      <c r="E1901" s="237"/>
      <c r="F1901" s="18"/>
      <c r="G1901" s="18"/>
    </row>
    <row r="1902" spans="1:7" ht="22.5" customHeight="1">
      <c r="A1902" s="236"/>
      <c r="B1902" s="18"/>
      <c r="C1902" s="18"/>
      <c r="D1902" s="213"/>
      <c r="E1902" s="237"/>
      <c r="F1902" s="18"/>
      <c r="G1902" s="18"/>
    </row>
    <row r="1903" spans="1:7" ht="22.5" customHeight="1">
      <c r="A1903" s="236"/>
      <c r="B1903" s="18"/>
      <c r="C1903" s="18"/>
      <c r="D1903" s="213"/>
      <c r="E1903" s="237"/>
      <c r="F1903" s="18"/>
      <c r="G1903" s="18"/>
    </row>
    <row r="1904" spans="1:7" ht="22.5" customHeight="1">
      <c r="A1904" s="236"/>
      <c r="B1904" s="18"/>
      <c r="C1904" s="18"/>
      <c r="D1904" s="213"/>
      <c r="E1904" s="237"/>
      <c r="F1904" s="18"/>
      <c r="G1904" s="18"/>
    </row>
    <row r="1905" spans="1:7" ht="22.5" customHeight="1">
      <c r="A1905" s="236"/>
      <c r="B1905" s="18"/>
      <c r="C1905" s="18"/>
      <c r="D1905" s="213"/>
      <c r="E1905" s="237"/>
      <c r="F1905" s="18"/>
      <c r="G1905" s="18"/>
    </row>
    <row r="1906" spans="1:7" ht="22.5" customHeight="1">
      <c r="A1906" s="236"/>
      <c r="B1906" s="18"/>
      <c r="C1906" s="18"/>
      <c r="D1906" s="213"/>
      <c r="E1906" s="237"/>
      <c r="F1906" s="18"/>
      <c r="G1906" s="18"/>
    </row>
    <row r="1907" spans="1:7" ht="22.5" customHeight="1">
      <c r="A1907" s="236"/>
      <c r="B1907" s="18"/>
      <c r="C1907" s="18"/>
      <c r="D1907" s="213"/>
      <c r="E1907" s="237"/>
      <c r="F1907" s="18"/>
      <c r="G1907" s="18"/>
    </row>
    <row r="1908" spans="1:7" ht="22.5" customHeight="1">
      <c r="A1908" s="236"/>
      <c r="B1908" s="18"/>
      <c r="C1908" s="18"/>
      <c r="D1908" s="213"/>
      <c r="E1908" s="237"/>
      <c r="F1908" s="18"/>
      <c r="G1908" s="18"/>
    </row>
    <row r="1909" spans="1:7" ht="22.5" customHeight="1">
      <c r="A1909" s="236"/>
      <c r="B1909" s="18"/>
      <c r="C1909" s="18"/>
      <c r="D1909" s="213"/>
      <c r="E1909" s="237"/>
      <c r="F1909" s="18"/>
      <c r="G1909" s="18"/>
    </row>
    <row r="1910" spans="1:7" ht="22.5" customHeight="1">
      <c r="A1910" s="236"/>
      <c r="B1910" s="18"/>
      <c r="C1910" s="18"/>
      <c r="D1910" s="213"/>
      <c r="E1910" s="237"/>
      <c r="F1910" s="18"/>
      <c r="G1910" s="18"/>
    </row>
    <row r="1911" spans="1:7" ht="22.5" customHeight="1">
      <c r="A1911" s="236"/>
      <c r="B1911" s="18"/>
      <c r="C1911" s="18"/>
      <c r="D1911" s="213"/>
      <c r="E1911" s="237"/>
      <c r="F1911" s="18"/>
      <c r="G1911" s="18"/>
    </row>
    <row r="1912" spans="1:7" ht="22.5" customHeight="1">
      <c r="A1912" s="236"/>
      <c r="B1912" s="18"/>
      <c r="C1912" s="18"/>
      <c r="D1912" s="213"/>
      <c r="E1912" s="237"/>
      <c r="F1912" s="18"/>
      <c r="G1912" s="18"/>
    </row>
    <row r="1913" spans="1:7" ht="22.5" customHeight="1">
      <c r="A1913" s="236"/>
      <c r="B1913" s="18"/>
      <c r="C1913" s="18"/>
      <c r="D1913" s="213"/>
      <c r="E1913" s="237"/>
      <c r="F1913" s="18"/>
      <c r="G1913" s="18"/>
    </row>
    <row r="1914" spans="1:7" ht="22.5" customHeight="1">
      <c r="A1914" s="236"/>
      <c r="B1914" s="18"/>
      <c r="C1914" s="18"/>
      <c r="D1914" s="213"/>
      <c r="E1914" s="237"/>
      <c r="F1914" s="18"/>
      <c r="G1914" s="18"/>
    </row>
    <row r="1915" spans="1:7" ht="22.5" customHeight="1">
      <c r="A1915" s="236"/>
      <c r="B1915" s="18"/>
      <c r="C1915" s="18"/>
      <c r="D1915" s="213"/>
      <c r="E1915" s="237"/>
      <c r="F1915" s="18"/>
      <c r="G1915" s="18"/>
    </row>
    <row r="1916" spans="1:7" ht="22.5" customHeight="1">
      <c r="A1916" s="236"/>
      <c r="B1916" s="18"/>
      <c r="C1916" s="18"/>
      <c r="D1916" s="213"/>
      <c r="E1916" s="237"/>
      <c r="F1916" s="18"/>
      <c r="G1916" s="18"/>
    </row>
    <row r="1917" spans="1:7" ht="22.5" customHeight="1">
      <c r="A1917" s="236"/>
      <c r="B1917" s="18"/>
      <c r="C1917" s="18"/>
      <c r="D1917" s="213"/>
      <c r="E1917" s="237"/>
      <c r="F1917" s="18"/>
      <c r="G1917" s="18"/>
    </row>
    <row r="1918" spans="1:7" ht="22.5" customHeight="1">
      <c r="A1918" s="236"/>
      <c r="B1918" s="18"/>
      <c r="C1918" s="18"/>
      <c r="D1918" s="213"/>
      <c r="E1918" s="237"/>
      <c r="F1918" s="18"/>
      <c r="G1918" s="18"/>
    </row>
    <row r="1919" spans="1:7" ht="22.5" customHeight="1">
      <c r="A1919" s="236"/>
      <c r="B1919" s="18"/>
      <c r="C1919" s="18"/>
      <c r="D1919" s="213"/>
      <c r="E1919" s="237"/>
      <c r="F1919" s="18"/>
      <c r="G1919" s="18"/>
    </row>
    <row r="1920" spans="1:7" ht="22.5" customHeight="1">
      <c r="A1920" s="236"/>
      <c r="B1920" s="18"/>
      <c r="C1920" s="18"/>
      <c r="D1920" s="213"/>
      <c r="E1920" s="237"/>
      <c r="F1920" s="18"/>
      <c r="G1920" s="18"/>
    </row>
    <row r="1921" spans="1:7" ht="22.5" customHeight="1">
      <c r="A1921" s="236"/>
      <c r="B1921" s="18"/>
      <c r="C1921" s="18"/>
      <c r="D1921" s="213"/>
      <c r="E1921" s="237"/>
      <c r="F1921" s="18"/>
      <c r="G1921" s="18"/>
    </row>
    <row r="1922" spans="1:7" ht="22.5" customHeight="1">
      <c r="A1922" s="236"/>
      <c r="B1922" s="18"/>
      <c r="C1922" s="18"/>
      <c r="D1922" s="213"/>
      <c r="E1922" s="237"/>
      <c r="F1922" s="18"/>
      <c r="G1922" s="18"/>
    </row>
    <row r="1923" spans="1:7" ht="22.5" customHeight="1">
      <c r="A1923" s="236"/>
      <c r="B1923" s="18"/>
      <c r="C1923" s="18"/>
      <c r="D1923" s="213"/>
      <c r="E1923" s="237"/>
      <c r="F1923" s="18"/>
      <c r="G1923" s="18"/>
    </row>
    <row r="1924" spans="1:7" ht="22.5" customHeight="1">
      <c r="A1924" s="236"/>
      <c r="B1924" s="18"/>
      <c r="C1924" s="18"/>
      <c r="D1924" s="213"/>
      <c r="E1924" s="237"/>
      <c r="F1924" s="18"/>
      <c r="G1924" s="18"/>
    </row>
    <row r="1925" spans="1:7" ht="22.5" customHeight="1">
      <c r="A1925" s="236"/>
      <c r="B1925" s="18"/>
      <c r="C1925" s="18"/>
      <c r="D1925" s="213"/>
      <c r="E1925" s="237"/>
      <c r="F1925" s="18"/>
      <c r="G1925" s="18"/>
    </row>
    <row r="1926" spans="1:7" ht="22.5" customHeight="1">
      <c r="A1926" s="236"/>
      <c r="B1926" s="18"/>
      <c r="C1926" s="18"/>
      <c r="D1926" s="213"/>
      <c r="E1926" s="237"/>
      <c r="F1926" s="18"/>
      <c r="G1926" s="18"/>
    </row>
    <row r="1927" spans="1:7" ht="22.5" customHeight="1">
      <c r="A1927" s="236"/>
      <c r="B1927" s="18"/>
      <c r="C1927" s="18"/>
      <c r="D1927" s="213"/>
      <c r="E1927" s="237"/>
      <c r="F1927" s="18"/>
      <c r="G1927" s="18"/>
    </row>
    <row r="1928" spans="1:7" ht="22.5" customHeight="1">
      <c r="A1928" s="236"/>
      <c r="B1928" s="18"/>
      <c r="C1928" s="18"/>
      <c r="D1928" s="213"/>
      <c r="E1928" s="237"/>
      <c r="F1928" s="18"/>
      <c r="G1928" s="18"/>
    </row>
    <row r="1929" spans="1:7" ht="22.5" customHeight="1">
      <c r="A1929" s="236"/>
      <c r="B1929" s="18"/>
      <c r="C1929" s="18"/>
      <c r="D1929" s="213"/>
      <c r="E1929" s="237"/>
      <c r="F1929" s="18"/>
      <c r="G1929" s="18"/>
    </row>
    <row r="1930" spans="1:7" ht="22.5" customHeight="1">
      <c r="A1930" s="236"/>
      <c r="B1930" s="18"/>
      <c r="C1930" s="18"/>
      <c r="D1930" s="213"/>
      <c r="E1930" s="237"/>
      <c r="F1930" s="18"/>
      <c r="G1930" s="18"/>
    </row>
    <row r="1931" spans="1:7" ht="22.5" customHeight="1">
      <c r="A1931" s="236"/>
      <c r="B1931" s="18"/>
      <c r="C1931" s="18"/>
      <c r="D1931" s="213"/>
      <c r="E1931" s="237"/>
      <c r="F1931" s="18"/>
      <c r="G1931" s="18"/>
    </row>
    <row r="1932" spans="1:7" ht="22.5" customHeight="1">
      <c r="A1932" s="236"/>
      <c r="B1932" s="18"/>
      <c r="C1932" s="18"/>
      <c r="D1932" s="213"/>
      <c r="E1932" s="237"/>
      <c r="F1932" s="18"/>
      <c r="G1932" s="18"/>
    </row>
    <row r="1933" spans="1:7" ht="22.5" customHeight="1">
      <c r="A1933" s="236"/>
      <c r="B1933" s="18"/>
      <c r="C1933" s="18"/>
      <c r="D1933" s="213"/>
      <c r="E1933" s="237"/>
      <c r="F1933" s="18"/>
      <c r="G1933" s="18"/>
    </row>
    <row r="1934" spans="1:7" ht="22.5" customHeight="1">
      <c r="A1934" s="236"/>
      <c r="B1934" s="18"/>
      <c r="C1934" s="18"/>
      <c r="D1934" s="213"/>
      <c r="E1934" s="237"/>
      <c r="F1934" s="18"/>
      <c r="G1934" s="18"/>
    </row>
    <row r="1935" spans="1:7" ht="22.5" customHeight="1">
      <c r="A1935" s="236"/>
      <c r="B1935" s="18"/>
      <c r="C1935" s="18"/>
      <c r="D1935" s="213"/>
      <c r="E1935" s="237"/>
      <c r="F1935" s="18"/>
      <c r="G1935" s="18"/>
    </row>
    <row r="1936" spans="1:7" ht="22.5" customHeight="1">
      <c r="A1936" s="236"/>
      <c r="B1936" s="18"/>
      <c r="C1936" s="18"/>
      <c r="D1936" s="213"/>
      <c r="E1936" s="237"/>
      <c r="F1936" s="18"/>
      <c r="G1936" s="18"/>
    </row>
    <row r="1937" spans="1:7" ht="22.5" customHeight="1">
      <c r="A1937" s="236"/>
      <c r="B1937" s="18"/>
      <c r="C1937" s="18"/>
      <c r="D1937" s="213"/>
      <c r="E1937" s="237"/>
      <c r="F1937" s="18"/>
      <c r="G1937" s="18"/>
    </row>
    <row r="1938" spans="1:7" ht="22.5" customHeight="1">
      <c r="A1938" s="236"/>
      <c r="B1938" s="18"/>
      <c r="C1938" s="18"/>
      <c r="D1938" s="213"/>
      <c r="E1938" s="237"/>
      <c r="F1938" s="18"/>
      <c r="G1938" s="18"/>
    </row>
    <row r="1939" spans="1:7" ht="22.5" customHeight="1">
      <c r="A1939" s="236"/>
      <c r="B1939" s="18"/>
      <c r="C1939" s="18"/>
      <c r="D1939" s="213"/>
      <c r="E1939" s="237"/>
      <c r="F1939" s="18"/>
      <c r="G1939" s="18"/>
    </row>
    <row r="1940" spans="1:7" ht="22.5" customHeight="1">
      <c r="A1940" s="236"/>
      <c r="B1940" s="18"/>
      <c r="C1940" s="18"/>
      <c r="D1940" s="213"/>
      <c r="E1940" s="237"/>
      <c r="F1940" s="18"/>
      <c r="G1940" s="18"/>
    </row>
    <row r="1941" spans="1:7" ht="22.5" customHeight="1">
      <c r="A1941" s="236"/>
      <c r="B1941" s="18"/>
      <c r="C1941" s="18"/>
      <c r="D1941" s="213"/>
      <c r="E1941" s="237"/>
      <c r="F1941" s="18"/>
      <c r="G1941" s="18"/>
    </row>
    <row r="1942" spans="1:7" ht="22.5" customHeight="1">
      <c r="A1942" s="236"/>
      <c r="B1942" s="18"/>
      <c r="C1942" s="18"/>
      <c r="D1942" s="213"/>
      <c r="E1942" s="237"/>
      <c r="F1942" s="18"/>
      <c r="G1942" s="18"/>
    </row>
    <row r="1943" spans="1:7" ht="22.5" customHeight="1">
      <c r="A1943" s="236"/>
      <c r="B1943" s="18"/>
      <c r="C1943" s="18"/>
      <c r="D1943" s="213"/>
      <c r="E1943" s="237"/>
      <c r="F1943" s="18"/>
      <c r="G1943" s="18"/>
    </row>
    <row r="1944" spans="1:7" ht="22.5" customHeight="1">
      <c r="A1944" s="236"/>
      <c r="B1944" s="18"/>
      <c r="C1944" s="18"/>
      <c r="D1944" s="213"/>
      <c r="E1944" s="237"/>
      <c r="F1944" s="18"/>
      <c r="G1944" s="18"/>
    </row>
    <row r="1945" spans="1:7" ht="22.5" customHeight="1">
      <c r="A1945" s="236"/>
      <c r="B1945" s="18"/>
      <c r="C1945" s="18"/>
      <c r="D1945" s="213"/>
      <c r="E1945" s="237"/>
      <c r="F1945" s="18"/>
      <c r="G1945" s="18"/>
    </row>
    <row r="1946" spans="1:7" ht="22.5" customHeight="1">
      <c r="A1946" s="236"/>
      <c r="B1946" s="18"/>
      <c r="C1946" s="18"/>
      <c r="D1946" s="213"/>
      <c r="E1946" s="237"/>
      <c r="F1946" s="18"/>
      <c r="G1946" s="18"/>
    </row>
    <row r="1947" spans="1:7" ht="22.5" customHeight="1">
      <c r="A1947" s="236"/>
      <c r="B1947" s="18"/>
      <c r="C1947" s="18"/>
      <c r="D1947" s="213"/>
      <c r="E1947" s="237"/>
      <c r="F1947" s="18"/>
      <c r="G1947" s="18"/>
    </row>
    <row r="1948" spans="1:7" ht="22.5" customHeight="1">
      <c r="A1948" s="236"/>
      <c r="B1948" s="18"/>
      <c r="C1948" s="18"/>
      <c r="D1948" s="213"/>
      <c r="E1948" s="237"/>
      <c r="F1948" s="18"/>
      <c r="G1948" s="18"/>
    </row>
    <row r="1949" spans="1:7" ht="22.5" customHeight="1">
      <c r="A1949" s="236"/>
      <c r="B1949" s="18"/>
      <c r="C1949" s="18"/>
      <c r="D1949" s="213"/>
      <c r="E1949" s="237"/>
      <c r="F1949" s="18"/>
      <c r="G1949" s="18"/>
    </row>
    <row r="1950" spans="1:7" ht="22.5" customHeight="1">
      <c r="A1950" s="236"/>
      <c r="B1950" s="18"/>
      <c r="C1950" s="18"/>
      <c r="D1950" s="213"/>
      <c r="E1950" s="237"/>
      <c r="F1950" s="18"/>
      <c r="G1950" s="18"/>
    </row>
    <row r="1951" spans="1:7" ht="22.5" customHeight="1">
      <c r="A1951" s="236"/>
      <c r="B1951" s="18"/>
      <c r="C1951" s="18"/>
      <c r="D1951" s="213"/>
      <c r="E1951" s="237"/>
      <c r="F1951" s="18"/>
      <c r="G1951" s="18"/>
    </row>
    <row r="1952" spans="1:7" ht="22.5" customHeight="1">
      <c r="A1952" s="236"/>
      <c r="B1952" s="18"/>
      <c r="C1952" s="18"/>
      <c r="D1952" s="213"/>
      <c r="E1952" s="237"/>
      <c r="F1952" s="18"/>
      <c r="G1952" s="18"/>
    </row>
    <row r="1953" spans="1:7" ht="22.5" customHeight="1">
      <c r="A1953" s="236"/>
      <c r="B1953" s="18"/>
      <c r="C1953" s="18"/>
      <c r="D1953" s="213"/>
      <c r="E1953" s="237"/>
      <c r="F1953" s="18"/>
      <c r="G1953" s="18"/>
    </row>
    <row r="1954" spans="1:7" ht="22.5" customHeight="1">
      <c r="A1954" s="236"/>
      <c r="B1954" s="18"/>
      <c r="C1954" s="18"/>
      <c r="D1954" s="213"/>
      <c r="E1954" s="237"/>
      <c r="F1954" s="18"/>
      <c r="G1954" s="18"/>
    </row>
    <row r="1955" spans="1:7" ht="22.5" customHeight="1">
      <c r="A1955" s="236"/>
      <c r="B1955" s="18"/>
      <c r="C1955" s="18"/>
      <c r="D1955" s="213"/>
      <c r="E1955" s="237"/>
      <c r="F1955" s="18"/>
      <c r="G1955" s="18"/>
    </row>
    <row r="1956" spans="1:7" ht="22.5" customHeight="1">
      <c r="A1956" s="236"/>
      <c r="B1956" s="18"/>
      <c r="C1956" s="18"/>
      <c r="D1956" s="213"/>
      <c r="E1956" s="237"/>
      <c r="F1956" s="18"/>
      <c r="G1956" s="18"/>
    </row>
    <row r="1957" spans="1:7" ht="22.5" customHeight="1">
      <c r="A1957" s="236"/>
      <c r="B1957" s="18"/>
      <c r="C1957" s="18"/>
      <c r="D1957" s="213"/>
      <c r="E1957" s="237"/>
      <c r="F1957" s="18"/>
      <c r="G1957" s="18"/>
    </row>
    <row r="1958" spans="1:7" ht="22.5" customHeight="1">
      <c r="A1958" s="236"/>
      <c r="B1958" s="18"/>
      <c r="C1958" s="18"/>
      <c r="D1958" s="213"/>
      <c r="E1958" s="237"/>
      <c r="F1958" s="18"/>
      <c r="G1958" s="18"/>
    </row>
    <row r="1959" spans="1:7" ht="22.5" customHeight="1">
      <c r="A1959" s="236"/>
      <c r="B1959" s="18"/>
      <c r="C1959" s="18"/>
      <c r="D1959" s="213"/>
      <c r="E1959" s="237"/>
      <c r="F1959" s="18"/>
      <c r="G1959" s="18"/>
    </row>
    <row r="1960" spans="1:7" ht="22.5" customHeight="1">
      <c r="A1960" s="236"/>
      <c r="B1960" s="18"/>
      <c r="C1960" s="18"/>
      <c r="D1960" s="213"/>
      <c r="E1960" s="237"/>
      <c r="F1960" s="18"/>
      <c r="G1960" s="18"/>
    </row>
    <row r="1961" spans="1:7" ht="22.5" customHeight="1">
      <c r="A1961" s="236"/>
      <c r="B1961" s="18"/>
      <c r="C1961" s="18"/>
      <c r="D1961" s="213"/>
      <c r="E1961" s="237"/>
      <c r="F1961" s="18"/>
      <c r="G1961" s="18"/>
    </row>
    <row r="1962" spans="1:7" ht="22.5" customHeight="1">
      <c r="A1962" s="236"/>
      <c r="B1962" s="18"/>
      <c r="C1962" s="18"/>
      <c r="D1962" s="213"/>
      <c r="E1962" s="237"/>
      <c r="F1962" s="18"/>
      <c r="G1962" s="18"/>
    </row>
    <row r="1963" spans="1:7" ht="22.5" customHeight="1">
      <c r="A1963" s="236"/>
      <c r="B1963" s="18"/>
      <c r="C1963" s="18"/>
      <c r="D1963" s="213"/>
      <c r="E1963" s="237"/>
      <c r="F1963" s="18"/>
      <c r="G1963" s="18"/>
    </row>
    <row r="1964" spans="1:7" ht="22.5" customHeight="1">
      <c r="A1964" s="236"/>
      <c r="B1964" s="18"/>
      <c r="C1964" s="18"/>
      <c r="D1964" s="213"/>
      <c r="E1964" s="237"/>
      <c r="F1964" s="18"/>
      <c r="G1964" s="18"/>
    </row>
    <row r="1965" spans="1:7" ht="22.5" customHeight="1">
      <c r="A1965" s="236"/>
      <c r="B1965" s="18"/>
      <c r="C1965" s="18"/>
      <c r="D1965" s="213"/>
      <c r="E1965" s="237"/>
      <c r="F1965" s="18"/>
      <c r="G1965" s="18"/>
    </row>
    <row r="1966" spans="1:7" ht="22.5" customHeight="1">
      <c r="A1966" s="236"/>
      <c r="B1966" s="18"/>
      <c r="C1966" s="18"/>
      <c r="D1966" s="213"/>
      <c r="E1966" s="237"/>
      <c r="F1966" s="18"/>
      <c r="G1966" s="18"/>
    </row>
    <row r="1967" spans="1:7" ht="22.5" customHeight="1">
      <c r="A1967" s="236"/>
      <c r="B1967" s="18"/>
      <c r="C1967" s="18"/>
      <c r="D1967" s="213"/>
      <c r="E1967" s="237"/>
      <c r="F1967" s="18"/>
      <c r="G1967" s="18"/>
    </row>
    <row r="1968" spans="1:7" ht="22.5" customHeight="1">
      <c r="A1968" s="236"/>
      <c r="B1968" s="18"/>
      <c r="C1968" s="18"/>
      <c r="D1968" s="213"/>
      <c r="E1968" s="237"/>
      <c r="F1968" s="18"/>
      <c r="G1968" s="18"/>
    </row>
    <row r="1969" spans="1:7" ht="22.5" customHeight="1">
      <c r="A1969" s="236"/>
      <c r="B1969" s="18"/>
      <c r="C1969" s="18"/>
      <c r="D1969" s="213"/>
      <c r="E1969" s="237"/>
      <c r="F1969" s="18"/>
      <c r="G1969" s="18"/>
    </row>
    <row r="1970" spans="1:7" ht="22.5" customHeight="1">
      <c r="A1970" s="236"/>
      <c r="B1970" s="18"/>
      <c r="C1970" s="18"/>
      <c r="D1970" s="213"/>
      <c r="E1970" s="237"/>
      <c r="F1970" s="18"/>
      <c r="G1970" s="18"/>
    </row>
    <row r="1971" spans="1:7" ht="22.5" customHeight="1">
      <c r="A1971" s="236"/>
      <c r="B1971" s="18"/>
      <c r="C1971" s="18"/>
      <c r="D1971" s="213"/>
      <c r="E1971" s="237"/>
      <c r="F1971" s="18"/>
      <c r="G1971" s="18"/>
    </row>
    <row r="1972" spans="1:7" ht="22.5" customHeight="1">
      <c r="A1972" s="236"/>
      <c r="B1972" s="18"/>
      <c r="C1972" s="18"/>
      <c r="D1972" s="213"/>
      <c r="E1972" s="237"/>
      <c r="F1972" s="18"/>
      <c r="G1972" s="18"/>
    </row>
    <row r="1973" spans="1:7" ht="22.5" customHeight="1">
      <c r="A1973" s="236"/>
      <c r="B1973" s="18"/>
      <c r="C1973" s="18"/>
      <c r="D1973" s="213"/>
      <c r="E1973" s="237"/>
      <c r="F1973" s="18"/>
      <c r="G1973" s="18"/>
    </row>
    <row r="1974" spans="1:7" ht="22.5" customHeight="1">
      <c r="A1974" s="236"/>
      <c r="B1974" s="18"/>
      <c r="C1974" s="18"/>
      <c r="D1974" s="213"/>
      <c r="E1974" s="237"/>
      <c r="F1974" s="18"/>
      <c r="G1974" s="18"/>
    </row>
    <row r="1975" spans="1:7" ht="22.5" customHeight="1">
      <c r="A1975" s="236"/>
      <c r="B1975" s="18"/>
      <c r="C1975" s="18"/>
      <c r="D1975" s="213"/>
      <c r="E1975" s="237"/>
      <c r="F1975" s="18"/>
      <c r="G1975" s="18"/>
    </row>
    <row r="1976" spans="1:7" ht="22.5" customHeight="1">
      <c r="A1976" s="236"/>
      <c r="B1976" s="18"/>
      <c r="C1976" s="18"/>
      <c r="D1976" s="213"/>
      <c r="E1976" s="237"/>
      <c r="F1976" s="18"/>
      <c r="G1976" s="18"/>
    </row>
    <row r="1977" spans="1:7" ht="22.5" customHeight="1">
      <c r="A1977" s="236"/>
      <c r="B1977" s="18"/>
      <c r="C1977" s="18"/>
      <c r="D1977" s="213"/>
      <c r="E1977" s="237"/>
      <c r="F1977" s="18"/>
      <c r="G1977" s="18"/>
    </row>
    <row r="1978" spans="1:7" ht="22.5" customHeight="1">
      <c r="A1978" s="236"/>
      <c r="B1978" s="18"/>
      <c r="C1978" s="18"/>
      <c r="D1978" s="213"/>
      <c r="E1978" s="237"/>
      <c r="F1978" s="18"/>
      <c r="G1978" s="18"/>
    </row>
    <row r="1979" spans="1:7" ht="22.5" customHeight="1">
      <c r="A1979" s="236"/>
      <c r="B1979" s="18"/>
      <c r="C1979" s="18"/>
      <c r="D1979" s="213"/>
      <c r="E1979" s="237"/>
      <c r="F1979" s="18"/>
      <c r="G1979" s="18"/>
    </row>
    <row r="1980" spans="1:7" ht="22.5" customHeight="1">
      <c r="A1980" s="236"/>
      <c r="B1980" s="18"/>
      <c r="C1980" s="18"/>
      <c r="D1980" s="213"/>
      <c r="E1980" s="237"/>
      <c r="F1980" s="18"/>
      <c r="G1980" s="18"/>
    </row>
    <row r="1981" spans="1:7" ht="22.5" customHeight="1">
      <c r="A1981" s="236"/>
      <c r="B1981" s="18"/>
      <c r="C1981" s="18"/>
      <c r="D1981" s="213"/>
      <c r="E1981" s="237"/>
      <c r="F1981" s="18"/>
      <c r="G1981" s="18"/>
    </row>
    <row r="1982" spans="1:7" ht="22.5" customHeight="1">
      <c r="A1982" s="236"/>
      <c r="B1982" s="18"/>
      <c r="C1982" s="18"/>
      <c r="D1982" s="213"/>
      <c r="E1982" s="237"/>
      <c r="F1982" s="18"/>
      <c r="G1982" s="18"/>
    </row>
    <row r="1983" spans="1:7" ht="22.5" customHeight="1">
      <c r="A1983" s="236"/>
      <c r="B1983" s="18"/>
      <c r="C1983" s="18"/>
      <c r="D1983" s="213"/>
      <c r="E1983" s="237"/>
      <c r="F1983" s="18"/>
      <c r="G1983" s="18"/>
    </row>
    <row r="1984" spans="1:7" ht="22.5" customHeight="1">
      <c r="A1984" s="236"/>
      <c r="B1984" s="18"/>
      <c r="C1984" s="18"/>
      <c r="D1984" s="213"/>
      <c r="E1984" s="237"/>
      <c r="F1984" s="18"/>
      <c r="G1984" s="18"/>
    </row>
    <row r="1985" spans="1:7" ht="22.5" customHeight="1">
      <c r="A1985" s="236"/>
      <c r="B1985" s="18"/>
      <c r="C1985" s="18"/>
      <c r="D1985" s="213"/>
      <c r="E1985" s="237"/>
      <c r="F1985" s="18"/>
      <c r="G1985" s="18"/>
    </row>
    <row r="1986" spans="1:7" ht="22.5" customHeight="1">
      <c r="A1986" s="236"/>
      <c r="B1986" s="18"/>
      <c r="C1986" s="18"/>
      <c r="D1986" s="213"/>
      <c r="E1986" s="237"/>
      <c r="F1986" s="18"/>
      <c r="G1986" s="18"/>
    </row>
    <row r="1987" spans="1:7" ht="22.5" customHeight="1">
      <c r="A1987" s="236"/>
      <c r="B1987" s="18"/>
      <c r="C1987" s="18"/>
      <c r="D1987" s="213"/>
      <c r="E1987" s="237"/>
      <c r="F1987" s="18"/>
      <c r="G1987" s="18"/>
    </row>
    <row r="1988" spans="1:7" ht="22.5" customHeight="1">
      <c r="A1988" s="236"/>
      <c r="B1988" s="18"/>
      <c r="C1988" s="18"/>
      <c r="D1988" s="213"/>
      <c r="E1988" s="237"/>
      <c r="F1988" s="18"/>
      <c r="G1988" s="18"/>
    </row>
    <row r="1989" spans="1:7" ht="22.5" customHeight="1">
      <c r="A1989" s="236"/>
      <c r="B1989" s="18"/>
      <c r="C1989" s="18"/>
      <c r="D1989" s="213"/>
      <c r="E1989" s="237"/>
      <c r="F1989" s="18"/>
      <c r="G1989" s="18"/>
    </row>
    <row r="1990" spans="1:7" ht="22.5" customHeight="1">
      <c r="A1990" s="236"/>
      <c r="B1990" s="18"/>
      <c r="C1990" s="18"/>
      <c r="D1990" s="213"/>
      <c r="E1990" s="237"/>
      <c r="F1990" s="18"/>
      <c r="G1990" s="18"/>
    </row>
    <row r="1991" spans="1:7" ht="22.5" customHeight="1">
      <c r="A1991" s="236"/>
      <c r="B1991" s="18"/>
      <c r="C1991" s="18"/>
      <c r="D1991" s="213"/>
      <c r="E1991" s="237"/>
      <c r="F1991" s="18"/>
      <c r="G1991" s="18"/>
    </row>
    <row r="1992" spans="1:7" ht="22.5" customHeight="1">
      <c r="A1992" s="236"/>
      <c r="B1992" s="18"/>
      <c r="C1992" s="18"/>
      <c r="D1992" s="213"/>
      <c r="E1992" s="237"/>
      <c r="F1992" s="18"/>
      <c r="G1992" s="18"/>
    </row>
    <row r="1993" spans="1:7" ht="22.5" customHeight="1">
      <c r="A1993" s="236"/>
      <c r="B1993" s="18"/>
      <c r="C1993" s="18"/>
      <c r="D1993" s="213"/>
      <c r="E1993" s="237"/>
      <c r="F1993" s="18"/>
      <c r="G1993" s="18"/>
    </row>
    <row r="1994" spans="1:7" ht="22.5" customHeight="1">
      <c r="A1994" s="236"/>
      <c r="B1994" s="18"/>
      <c r="C1994" s="18"/>
      <c r="D1994" s="213"/>
      <c r="E1994" s="237"/>
      <c r="F1994" s="18"/>
      <c r="G1994" s="18"/>
    </row>
    <row r="1995" spans="1:7" ht="22.5" customHeight="1">
      <c r="A1995" s="236"/>
      <c r="B1995" s="18"/>
      <c r="C1995" s="18"/>
      <c r="D1995" s="213"/>
      <c r="E1995" s="237"/>
      <c r="F1995" s="18"/>
      <c r="G1995" s="18"/>
    </row>
    <row r="1996" spans="1:7" ht="22.5" customHeight="1">
      <c r="A1996" s="236"/>
      <c r="B1996" s="18"/>
      <c r="C1996" s="18"/>
      <c r="D1996" s="213"/>
      <c r="E1996" s="237"/>
      <c r="F1996" s="18"/>
      <c r="G1996" s="18"/>
    </row>
    <row r="1997" spans="1:7" ht="22.5" customHeight="1">
      <c r="A1997" s="236"/>
      <c r="B1997" s="18"/>
      <c r="C1997" s="18"/>
      <c r="D1997" s="213"/>
      <c r="E1997" s="237"/>
      <c r="F1997" s="18"/>
      <c r="G1997" s="18"/>
    </row>
    <row r="1998" spans="1:7" ht="22.5" customHeight="1">
      <c r="A1998" s="236"/>
      <c r="B1998" s="18"/>
      <c r="C1998" s="18"/>
      <c r="D1998" s="213"/>
      <c r="E1998" s="237"/>
      <c r="F1998" s="18"/>
      <c r="G1998" s="18"/>
    </row>
    <row r="1999" spans="1:7" ht="22.5" customHeight="1">
      <c r="A1999" s="236"/>
      <c r="B1999" s="18"/>
      <c r="C1999" s="18"/>
      <c r="D1999" s="213"/>
      <c r="E1999" s="237"/>
      <c r="F1999" s="18"/>
      <c r="G1999" s="18"/>
    </row>
    <row r="2000" spans="1:7" ht="22.5" customHeight="1">
      <c r="A2000" s="236"/>
      <c r="B2000" s="18"/>
      <c r="C2000" s="18"/>
      <c r="D2000" s="213"/>
      <c r="E2000" s="237"/>
      <c r="F2000" s="18"/>
      <c r="G2000" s="18"/>
    </row>
    <row r="2001" spans="1:7" ht="22.5" customHeight="1">
      <c r="A2001" s="236"/>
      <c r="B2001" s="18"/>
      <c r="C2001" s="18"/>
      <c r="D2001" s="213"/>
      <c r="E2001" s="237"/>
      <c r="F2001" s="18"/>
      <c r="G2001" s="18"/>
    </row>
    <row r="2002" spans="1:7" ht="22.5" customHeight="1">
      <c r="A2002" s="236"/>
      <c r="B2002" s="18"/>
      <c r="C2002" s="18"/>
      <c r="D2002" s="213"/>
      <c r="E2002" s="237"/>
      <c r="F2002" s="18"/>
      <c r="G2002" s="18"/>
    </row>
    <row r="2003" spans="1:7" ht="22.5" customHeight="1">
      <c r="A2003" s="236"/>
      <c r="B2003" s="18"/>
      <c r="C2003" s="18"/>
      <c r="D2003" s="213"/>
      <c r="E2003" s="237"/>
      <c r="F2003" s="18"/>
      <c r="G2003" s="18"/>
    </row>
    <row r="2004" spans="1:7" ht="22.5" customHeight="1">
      <c r="A2004" s="236"/>
      <c r="B2004" s="18"/>
      <c r="C2004" s="18"/>
      <c r="D2004" s="213"/>
      <c r="E2004" s="237"/>
      <c r="F2004" s="18"/>
      <c r="G2004" s="18"/>
    </row>
    <row r="2005" spans="1:7" ht="22.5" customHeight="1">
      <c r="A2005" s="236"/>
      <c r="B2005" s="18"/>
      <c r="C2005" s="18"/>
      <c r="D2005" s="213"/>
      <c r="E2005" s="237"/>
      <c r="F2005" s="18"/>
      <c r="G2005" s="18"/>
    </row>
    <row r="2006" spans="1:7" ht="22.5" customHeight="1">
      <c r="A2006" s="236"/>
      <c r="B2006" s="18"/>
      <c r="C2006" s="18"/>
      <c r="D2006" s="213"/>
      <c r="E2006" s="237"/>
      <c r="F2006" s="18"/>
      <c r="G2006" s="18"/>
    </row>
    <row r="2007" spans="1:7" ht="22.5" customHeight="1">
      <c r="A2007" s="236"/>
      <c r="B2007" s="18"/>
      <c r="C2007" s="18"/>
      <c r="D2007" s="213"/>
      <c r="E2007" s="237"/>
      <c r="F2007" s="18"/>
      <c r="G2007" s="18"/>
    </row>
    <row r="2008" spans="1:7" ht="22.5" customHeight="1">
      <c r="A2008" s="236"/>
      <c r="B2008" s="18"/>
      <c r="C2008" s="18"/>
      <c r="D2008" s="213"/>
      <c r="E2008" s="237"/>
      <c r="F2008" s="18"/>
      <c r="G2008" s="18"/>
    </row>
    <row r="2009" spans="1:7" ht="22.5" customHeight="1">
      <c r="A2009" s="236"/>
      <c r="B2009" s="18"/>
      <c r="C2009" s="18"/>
      <c r="D2009" s="213"/>
      <c r="E2009" s="237"/>
      <c r="F2009" s="18"/>
      <c r="G2009" s="18"/>
    </row>
    <row r="2010" spans="1:7" ht="22.5" customHeight="1">
      <c r="A2010" s="236"/>
      <c r="B2010" s="18"/>
      <c r="C2010" s="18"/>
      <c r="D2010" s="213"/>
      <c r="E2010" s="237"/>
      <c r="F2010" s="18"/>
      <c r="G2010" s="18"/>
    </row>
    <row r="2011" spans="1:7" ht="22.5" customHeight="1">
      <c r="A2011" s="236"/>
      <c r="B2011" s="18"/>
      <c r="C2011" s="18"/>
      <c r="D2011" s="213"/>
      <c r="E2011" s="237"/>
      <c r="F2011" s="18"/>
      <c r="G2011" s="18"/>
    </row>
    <row r="2012" spans="1:7" ht="22.5" customHeight="1">
      <c r="A2012" s="236"/>
      <c r="B2012" s="18"/>
      <c r="C2012" s="18"/>
      <c r="D2012" s="213"/>
      <c r="E2012" s="237"/>
      <c r="F2012" s="18"/>
      <c r="G2012" s="18"/>
    </row>
    <row r="2013" spans="1:7" ht="22.5" customHeight="1">
      <c r="A2013" s="236"/>
      <c r="B2013" s="18"/>
      <c r="C2013" s="18"/>
      <c r="D2013" s="213"/>
      <c r="E2013" s="237"/>
      <c r="F2013" s="18"/>
      <c r="G2013" s="18"/>
    </row>
    <row r="2014" spans="1:7" ht="22.5" customHeight="1">
      <c r="A2014" s="236"/>
      <c r="B2014" s="18"/>
      <c r="C2014" s="18"/>
      <c r="D2014" s="213"/>
      <c r="E2014" s="237"/>
      <c r="F2014" s="18"/>
      <c r="G2014" s="18"/>
    </row>
    <row r="2015" spans="1:7" ht="22.5" customHeight="1">
      <c r="A2015" s="236"/>
      <c r="B2015" s="18"/>
      <c r="C2015" s="18"/>
      <c r="D2015" s="213"/>
      <c r="E2015" s="237"/>
      <c r="F2015" s="18"/>
      <c r="G2015" s="18"/>
    </row>
    <row r="2016" spans="1:7" ht="22.5" customHeight="1">
      <c r="A2016" s="236"/>
      <c r="B2016" s="18"/>
      <c r="C2016" s="18"/>
      <c r="D2016" s="213"/>
      <c r="E2016" s="237"/>
      <c r="F2016" s="18"/>
      <c r="G2016" s="18"/>
    </row>
    <row r="2017" spans="1:7" ht="22.5" customHeight="1">
      <c r="A2017" s="236"/>
      <c r="B2017" s="18"/>
      <c r="C2017" s="18"/>
      <c r="D2017" s="213"/>
      <c r="E2017" s="237"/>
      <c r="F2017" s="18"/>
      <c r="G2017" s="18"/>
    </row>
    <row r="2018" spans="1:7" ht="22.5" customHeight="1">
      <c r="A2018" s="236"/>
      <c r="B2018" s="18"/>
      <c r="C2018" s="18"/>
      <c r="D2018" s="213"/>
      <c r="E2018" s="237"/>
      <c r="F2018" s="18"/>
      <c r="G2018" s="18"/>
    </row>
    <row r="2019" spans="1:7" ht="22.5" customHeight="1">
      <c r="A2019" s="236"/>
      <c r="B2019" s="18"/>
      <c r="C2019" s="18"/>
      <c r="D2019" s="213"/>
      <c r="E2019" s="237"/>
      <c r="F2019" s="18"/>
      <c r="G2019" s="18"/>
    </row>
    <row r="2020" spans="1:7" ht="22.5" customHeight="1">
      <c r="A2020" s="236"/>
      <c r="B2020" s="18"/>
      <c r="C2020" s="18"/>
      <c r="D2020" s="213"/>
      <c r="E2020" s="237"/>
      <c r="F2020" s="18"/>
      <c r="G2020" s="18"/>
    </row>
    <row r="2021" spans="1:7" ht="22.5" customHeight="1">
      <c r="A2021" s="236"/>
      <c r="B2021" s="18"/>
      <c r="C2021" s="18"/>
      <c r="D2021" s="213"/>
      <c r="E2021" s="237"/>
      <c r="F2021" s="18"/>
      <c r="G2021" s="18"/>
    </row>
    <row r="2022" spans="1:7" ht="22.5" customHeight="1">
      <c r="A2022" s="236"/>
      <c r="B2022" s="18"/>
      <c r="C2022" s="18"/>
      <c r="D2022" s="213"/>
      <c r="E2022" s="237"/>
      <c r="F2022" s="18"/>
      <c r="G2022" s="18"/>
    </row>
    <row r="2023" spans="1:7" ht="22.5" customHeight="1">
      <c r="A2023" s="236"/>
      <c r="B2023" s="18"/>
      <c r="C2023" s="18"/>
      <c r="D2023" s="213"/>
      <c r="E2023" s="237"/>
      <c r="F2023" s="18"/>
      <c r="G2023" s="18"/>
    </row>
    <row r="2024" spans="1:7" ht="22.5" customHeight="1">
      <c r="A2024" s="236"/>
      <c r="B2024" s="18"/>
      <c r="C2024" s="18"/>
      <c r="D2024" s="213"/>
      <c r="E2024" s="237"/>
      <c r="F2024" s="18"/>
      <c r="G2024" s="18"/>
    </row>
    <row r="2025" spans="1:7" ht="22.5" customHeight="1">
      <c r="A2025" s="236"/>
      <c r="B2025" s="18"/>
      <c r="C2025" s="18"/>
      <c r="D2025" s="213"/>
      <c r="E2025" s="237"/>
      <c r="F2025" s="18"/>
      <c r="G2025" s="18"/>
    </row>
    <row r="2026" spans="1:7" ht="22.5" customHeight="1">
      <c r="A2026" s="236"/>
      <c r="B2026" s="18"/>
      <c r="C2026" s="18"/>
      <c r="D2026" s="213"/>
      <c r="E2026" s="237"/>
      <c r="F2026" s="18"/>
      <c r="G2026" s="18"/>
    </row>
    <row r="2027" spans="1:7" ht="22.5" customHeight="1">
      <c r="A2027" s="236"/>
      <c r="B2027" s="18"/>
      <c r="C2027" s="18"/>
      <c r="D2027" s="213"/>
      <c r="E2027" s="237"/>
      <c r="F2027" s="18"/>
      <c r="G2027" s="18"/>
    </row>
    <row r="2028" spans="1:7" ht="22.5" customHeight="1">
      <c r="A2028" s="236"/>
      <c r="B2028" s="18"/>
      <c r="C2028" s="18"/>
      <c r="D2028" s="213"/>
      <c r="E2028" s="237"/>
      <c r="F2028" s="18"/>
      <c r="G2028" s="18"/>
    </row>
    <row r="2029" spans="1:7" ht="22.5" customHeight="1">
      <c r="A2029" s="236"/>
      <c r="B2029" s="18"/>
      <c r="C2029" s="18"/>
      <c r="D2029" s="213"/>
      <c r="E2029" s="237"/>
      <c r="F2029" s="18"/>
      <c r="G2029" s="18"/>
    </row>
    <row r="2030" spans="1:7" ht="22.5" customHeight="1">
      <c r="A2030" s="236"/>
      <c r="B2030" s="18"/>
      <c r="C2030" s="18"/>
      <c r="D2030" s="213"/>
      <c r="E2030" s="237"/>
      <c r="F2030" s="18"/>
      <c r="G2030" s="18"/>
    </row>
    <row r="2031" spans="1:7" ht="22.5" customHeight="1">
      <c r="A2031" s="236"/>
      <c r="B2031" s="18"/>
      <c r="C2031" s="18"/>
      <c r="D2031" s="213"/>
      <c r="E2031" s="237"/>
      <c r="F2031" s="18"/>
      <c r="G2031" s="18"/>
    </row>
    <row r="2032" spans="1:7" ht="22.5" customHeight="1">
      <c r="A2032" s="236"/>
      <c r="B2032" s="18"/>
      <c r="C2032" s="18"/>
      <c r="D2032" s="213"/>
      <c r="E2032" s="237"/>
      <c r="F2032" s="18"/>
      <c r="G2032" s="18"/>
    </row>
    <row r="2033" spans="1:7" ht="22.5" customHeight="1">
      <c r="A2033" s="236"/>
      <c r="B2033" s="18"/>
      <c r="C2033" s="18"/>
      <c r="D2033" s="213"/>
      <c r="E2033" s="237"/>
      <c r="F2033" s="18"/>
      <c r="G2033" s="18"/>
    </row>
    <row r="2034" spans="1:7" ht="22.5" customHeight="1">
      <c r="A2034" s="236"/>
      <c r="B2034" s="18"/>
      <c r="C2034" s="18"/>
      <c r="D2034" s="213"/>
      <c r="E2034" s="237"/>
      <c r="F2034" s="18"/>
      <c r="G2034" s="18"/>
    </row>
    <row r="2035" spans="1:7" ht="22.5" customHeight="1">
      <c r="A2035" s="236"/>
      <c r="B2035" s="18"/>
      <c r="C2035" s="18"/>
      <c r="D2035" s="213"/>
      <c r="E2035" s="237"/>
      <c r="F2035" s="18"/>
      <c r="G2035" s="18"/>
    </row>
    <row r="2036" spans="1:7" ht="22.5" customHeight="1">
      <c r="A2036" s="236"/>
      <c r="B2036" s="18"/>
      <c r="C2036" s="18"/>
      <c r="D2036" s="213"/>
      <c r="E2036" s="237"/>
      <c r="F2036" s="18"/>
      <c r="G2036" s="18"/>
    </row>
    <row r="2037" spans="1:7" ht="22.5" customHeight="1">
      <c r="A2037" s="236"/>
      <c r="B2037" s="18"/>
      <c r="C2037" s="18"/>
      <c r="D2037" s="213"/>
      <c r="E2037" s="237"/>
      <c r="F2037" s="18"/>
      <c r="G2037" s="18"/>
    </row>
    <row r="2038" spans="1:7" ht="22.5" customHeight="1">
      <c r="A2038" s="236"/>
      <c r="B2038" s="18"/>
      <c r="C2038" s="18"/>
      <c r="D2038" s="213"/>
      <c r="E2038" s="237"/>
      <c r="F2038" s="18"/>
      <c r="G2038" s="18"/>
    </row>
    <row r="2039" spans="1:7" ht="22.5" customHeight="1">
      <c r="A2039" s="236"/>
      <c r="B2039" s="18"/>
      <c r="C2039" s="18"/>
      <c r="D2039" s="213"/>
      <c r="E2039" s="237"/>
      <c r="F2039" s="18"/>
      <c r="G2039" s="18"/>
    </row>
    <row r="2040" spans="1:7" ht="22.5" customHeight="1">
      <c r="A2040" s="236"/>
      <c r="B2040" s="18"/>
      <c r="C2040" s="18"/>
      <c r="D2040" s="213"/>
      <c r="E2040" s="237"/>
      <c r="F2040" s="18"/>
      <c r="G2040" s="18"/>
    </row>
    <row r="2041" spans="1:7" ht="22.5" customHeight="1">
      <c r="A2041" s="236"/>
      <c r="B2041" s="18"/>
      <c r="C2041" s="18"/>
      <c r="D2041" s="213"/>
      <c r="E2041" s="237"/>
      <c r="F2041" s="18"/>
      <c r="G2041" s="18"/>
    </row>
    <row r="2042" spans="1:7" ht="22.5" customHeight="1">
      <c r="A2042" s="236"/>
      <c r="B2042" s="18"/>
      <c r="C2042" s="18"/>
      <c r="D2042" s="213"/>
      <c r="E2042" s="237"/>
      <c r="F2042" s="18"/>
      <c r="G2042" s="18"/>
    </row>
    <row r="2043" spans="1:7" ht="22.5" customHeight="1">
      <c r="A2043" s="236"/>
      <c r="B2043" s="18"/>
      <c r="C2043" s="18"/>
      <c r="D2043" s="213"/>
      <c r="E2043" s="237"/>
      <c r="F2043" s="18"/>
      <c r="G2043" s="18"/>
    </row>
    <row r="2044" spans="1:7" ht="22.5" customHeight="1">
      <c r="A2044" s="236"/>
      <c r="B2044" s="18"/>
      <c r="C2044" s="18"/>
      <c r="D2044" s="213"/>
      <c r="E2044" s="237"/>
      <c r="F2044" s="18"/>
      <c r="G2044" s="18"/>
    </row>
    <row r="2045" spans="1:7" ht="22.5" customHeight="1">
      <c r="A2045" s="236"/>
      <c r="B2045" s="18"/>
      <c r="C2045" s="18"/>
      <c r="D2045" s="213"/>
      <c r="E2045" s="237"/>
      <c r="F2045" s="18"/>
      <c r="G2045" s="18"/>
    </row>
    <row r="2046" spans="1:7" ht="22.5" customHeight="1">
      <c r="A2046" s="236"/>
      <c r="B2046" s="18"/>
      <c r="C2046" s="18"/>
      <c r="D2046" s="213"/>
      <c r="E2046" s="237"/>
      <c r="F2046" s="18"/>
      <c r="G2046" s="18"/>
    </row>
    <row r="2047" spans="1:7" ht="22.5" customHeight="1">
      <c r="A2047" s="236"/>
      <c r="B2047" s="18"/>
      <c r="C2047" s="18"/>
      <c r="D2047" s="213"/>
      <c r="E2047" s="237"/>
      <c r="F2047" s="18"/>
      <c r="G2047" s="18"/>
    </row>
    <row r="2048" spans="1:7" ht="22.5" customHeight="1">
      <c r="A2048" s="236"/>
      <c r="B2048" s="18"/>
      <c r="C2048" s="18"/>
      <c r="D2048" s="213"/>
      <c r="E2048" s="237"/>
      <c r="F2048" s="18"/>
      <c r="G2048" s="18"/>
    </row>
    <row r="2049" spans="1:7" ht="22.5" customHeight="1">
      <c r="A2049" s="236"/>
      <c r="B2049" s="18"/>
      <c r="C2049" s="18"/>
      <c r="D2049" s="213"/>
      <c r="E2049" s="237"/>
      <c r="F2049" s="18"/>
      <c r="G2049" s="18"/>
    </row>
    <row r="2050" spans="1:7" ht="22.5" customHeight="1">
      <c r="A2050" s="236"/>
      <c r="B2050" s="18"/>
      <c r="C2050" s="18"/>
      <c r="D2050" s="213"/>
      <c r="E2050" s="237"/>
      <c r="F2050" s="18"/>
      <c r="G2050" s="18"/>
    </row>
    <row r="2051" spans="1:7" ht="22.5" customHeight="1">
      <c r="A2051" s="236"/>
      <c r="B2051" s="18"/>
      <c r="C2051" s="18"/>
      <c r="D2051" s="213"/>
      <c r="E2051" s="237"/>
      <c r="F2051" s="18"/>
      <c r="G2051" s="18"/>
    </row>
    <row r="2052" spans="1:7" ht="22.5" customHeight="1">
      <c r="A2052" s="236"/>
      <c r="B2052" s="18"/>
      <c r="C2052" s="18"/>
      <c r="D2052" s="213"/>
      <c r="E2052" s="237"/>
      <c r="F2052" s="18"/>
      <c r="G2052" s="18"/>
    </row>
    <row r="2053" spans="1:7" ht="22.5" customHeight="1">
      <c r="A2053" s="236"/>
      <c r="B2053" s="18"/>
      <c r="C2053" s="18"/>
      <c r="D2053" s="213"/>
      <c r="E2053" s="237"/>
      <c r="F2053" s="18"/>
      <c r="G2053" s="18"/>
    </row>
    <row r="2054" spans="1:7" ht="22.5" customHeight="1">
      <c r="A2054" s="236"/>
      <c r="B2054" s="18"/>
      <c r="C2054" s="18"/>
      <c r="D2054" s="213"/>
      <c r="E2054" s="237"/>
      <c r="F2054" s="18"/>
      <c r="G2054" s="18"/>
    </row>
    <row r="2055" spans="1:7" ht="22.5" customHeight="1">
      <c r="A2055" s="236"/>
      <c r="B2055" s="18"/>
      <c r="C2055" s="18"/>
      <c r="D2055" s="213"/>
      <c r="E2055" s="237"/>
      <c r="F2055" s="18"/>
      <c r="G2055" s="18"/>
    </row>
    <row r="2056" spans="1:7" ht="22.5" customHeight="1">
      <c r="A2056" s="236"/>
      <c r="B2056" s="18"/>
      <c r="C2056" s="18"/>
      <c r="D2056" s="213"/>
      <c r="E2056" s="237"/>
      <c r="F2056" s="18"/>
      <c r="G2056" s="18"/>
    </row>
    <row r="2057" spans="1:7" ht="22.5" customHeight="1">
      <c r="A2057" s="236"/>
      <c r="B2057" s="18"/>
      <c r="C2057" s="18"/>
      <c r="D2057" s="213"/>
      <c r="E2057" s="237"/>
      <c r="F2057" s="18"/>
      <c r="G2057" s="18"/>
    </row>
    <row r="2058" spans="1:7" ht="22.5" customHeight="1">
      <c r="A2058" s="236"/>
      <c r="B2058" s="18"/>
      <c r="C2058" s="18"/>
      <c r="D2058" s="213"/>
      <c r="E2058" s="237"/>
      <c r="F2058" s="18"/>
      <c r="G2058" s="18"/>
    </row>
    <row r="2059" spans="1:7" ht="22.5" customHeight="1">
      <c r="A2059" s="236"/>
      <c r="B2059" s="18"/>
      <c r="C2059" s="18"/>
      <c r="D2059" s="213"/>
      <c r="E2059" s="237"/>
      <c r="F2059" s="18"/>
      <c r="G2059" s="18"/>
    </row>
    <row r="2060" spans="1:7" ht="22.5" customHeight="1">
      <c r="A2060" s="236"/>
      <c r="B2060" s="18"/>
      <c r="C2060" s="18"/>
      <c r="D2060" s="213"/>
      <c r="E2060" s="237"/>
      <c r="F2060" s="18"/>
      <c r="G2060" s="18"/>
    </row>
    <row r="2061" spans="1:7" ht="22.5" customHeight="1">
      <c r="A2061" s="236"/>
      <c r="B2061" s="18"/>
      <c r="C2061" s="18"/>
      <c r="D2061" s="213"/>
      <c r="E2061" s="237"/>
      <c r="F2061" s="18"/>
      <c r="G2061" s="18"/>
    </row>
    <row r="2062" spans="1:7" ht="22.5" customHeight="1">
      <c r="A2062" s="236"/>
      <c r="B2062" s="18"/>
      <c r="C2062" s="18"/>
      <c r="D2062" s="213"/>
      <c r="E2062" s="237"/>
      <c r="F2062" s="18"/>
      <c r="G2062" s="18"/>
    </row>
    <row r="2063" spans="1:7" ht="22.5" customHeight="1">
      <c r="A2063" s="236"/>
      <c r="B2063" s="18"/>
      <c r="C2063" s="18"/>
      <c r="D2063" s="213"/>
      <c r="E2063" s="237"/>
      <c r="F2063" s="18"/>
      <c r="G2063" s="18"/>
    </row>
    <row r="2064" spans="1:7" ht="22.5" customHeight="1">
      <c r="A2064" s="236"/>
      <c r="B2064" s="18"/>
      <c r="C2064" s="18"/>
      <c r="D2064" s="213"/>
      <c r="E2064" s="237"/>
      <c r="F2064" s="18"/>
      <c r="G2064" s="18"/>
    </row>
    <row r="2065" spans="1:7" ht="22.5" customHeight="1">
      <c r="A2065" s="236"/>
      <c r="B2065" s="18"/>
      <c r="C2065" s="18"/>
      <c r="D2065" s="213"/>
      <c r="E2065" s="237"/>
      <c r="F2065" s="18"/>
      <c r="G2065" s="18"/>
    </row>
    <row r="2066" spans="1:7" ht="22.5" customHeight="1">
      <c r="A2066" s="236"/>
      <c r="B2066" s="18"/>
      <c r="C2066" s="18"/>
      <c r="D2066" s="213"/>
      <c r="E2066" s="237"/>
      <c r="F2066" s="18"/>
      <c r="G2066" s="18"/>
    </row>
    <row r="2067" spans="1:7" ht="22.5" customHeight="1">
      <c r="A2067" s="236"/>
      <c r="B2067" s="18"/>
      <c r="C2067" s="18"/>
      <c r="D2067" s="213"/>
      <c r="E2067" s="237"/>
      <c r="F2067" s="18"/>
      <c r="G2067" s="18"/>
    </row>
    <row r="2068" spans="1:7" ht="22.5" customHeight="1">
      <c r="A2068" s="236"/>
      <c r="B2068" s="18"/>
      <c r="C2068" s="18"/>
      <c r="D2068" s="213"/>
      <c r="E2068" s="237"/>
      <c r="F2068" s="18"/>
      <c r="G2068" s="18"/>
    </row>
    <row r="2069" spans="1:7" ht="22.5" customHeight="1">
      <c r="A2069" s="236"/>
      <c r="B2069" s="18"/>
      <c r="C2069" s="18"/>
      <c r="D2069" s="213"/>
      <c r="E2069" s="237"/>
      <c r="F2069" s="18"/>
      <c r="G2069" s="18"/>
    </row>
    <row r="2070" spans="1:7" ht="22.5" customHeight="1">
      <c r="A2070" s="236"/>
      <c r="B2070" s="18"/>
      <c r="C2070" s="18"/>
      <c r="D2070" s="213"/>
      <c r="E2070" s="237"/>
      <c r="F2070" s="18"/>
      <c r="G2070" s="18"/>
    </row>
    <row r="2071" spans="1:7" ht="22.5" customHeight="1">
      <c r="A2071" s="236"/>
      <c r="B2071" s="18"/>
      <c r="C2071" s="18"/>
      <c r="D2071" s="213"/>
      <c r="E2071" s="237"/>
      <c r="F2071" s="18"/>
      <c r="G2071" s="18"/>
    </row>
    <row r="2072" spans="1:7" ht="22.5" customHeight="1">
      <c r="A2072" s="236"/>
      <c r="B2072" s="18"/>
      <c r="C2072" s="18"/>
      <c r="D2072" s="213"/>
      <c r="E2072" s="237"/>
      <c r="F2072" s="18"/>
      <c r="G2072" s="18"/>
    </row>
    <row r="2073" spans="1:7" ht="22.5" customHeight="1">
      <c r="A2073" s="236"/>
      <c r="B2073" s="18"/>
      <c r="C2073" s="18"/>
      <c r="D2073" s="213"/>
      <c r="E2073" s="237"/>
      <c r="F2073" s="18"/>
      <c r="G2073" s="18"/>
    </row>
    <row r="2074" spans="1:7" ht="22.5" customHeight="1">
      <c r="A2074" s="236"/>
      <c r="B2074" s="18"/>
      <c r="C2074" s="18"/>
      <c r="D2074" s="213"/>
      <c r="E2074" s="237"/>
      <c r="F2074" s="18"/>
      <c r="G2074" s="18"/>
    </row>
    <row r="2075" spans="1:7" ht="22.5" customHeight="1">
      <c r="A2075" s="236"/>
      <c r="B2075" s="18"/>
      <c r="C2075" s="18"/>
      <c r="D2075" s="213"/>
      <c r="E2075" s="237"/>
      <c r="F2075" s="18"/>
      <c r="G2075" s="18"/>
    </row>
    <row r="2076" spans="1:7" ht="22.5" customHeight="1">
      <c r="A2076" s="236"/>
      <c r="B2076" s="18"/>
      <c r="C2076" s="18"/>
      <c r="D2076" s="213"/>
      <c r="E2076" s="237"/>
      <c r="F2076" s="18"/>
      <c r="G2076" s="18"/>
    </row>
    <row r="2077" spans="1:7" ht="22.5" customHeight="1">
      <c r="A2077" s="236"/>
      <c r="B2077" s="18"/>
      <c r="C2077" s="18"/>
      <c r="D2077" s="213"/>
      <c r="E2077" s="237"/>
      <c r="F2077" s="18"/>
      <c r="G2077" s="18"/>
    </row>
    <row r="2078" spans="1:7" ht="22.5" customHeight="1">
      <c r="A2078" s="236"/>
      <c r="B2078" s="18"/>
      <c r="C2078" s="18"/>
      <c r="D2078" s="213"/>
      <c r="E2078" s="237"/>
      <c r="F2078" s="18"/>
      <c r="G2078" s="18"/>
    </row>
    <row r="2079" spans="1:7" ht="22.5" customHeight="1">
      <c r="A2079" s="236"/>
      <c r="B2079" s="18"/>
      <c r="C2079" s="18"/>
      <c r="D2079" s="213"/>
      <c r="E2079" s="237"/>
      <c r="F2079" s="18"/>
      <c r="G2079" s="18"/>
    </row>
    <row r="2080" spans="1:7" ht="22.5" customHeight="1">
      <c r="A2080" s="236"/>
      <c r="B2080" s="18"/>
      <c r="C2080" s="18"/>
      <c r="D2080" s="213"/>
      <c r="E2080" s="237"/>
      <c r="F2080" s="18"/>
      <c r="G2080" s="18"/>
    </row>
    <row r="2081" spans="1:7" ht="22.5" customHeight="1">
      <c r="A2081" s="236"/>
      <c r="B2081" s="18"/>
      <c r="C2081" s="18"/>
      <c r="D2081" s="213"/>
      <c r="E2081" s="237"/>
      <c r="F2081" s="18"/>
      <c r="G2081" s="18"/>
    </row>
    <row r="2082" spans="1:7" ht="22.5" customHeight="1">
      <c r="A2082" s="236"/>
      <c r="B2082" s="18"/>
      <c r="C2082" s="18"/>
      <c r="D2082" s="213"/>
      <c r="E2082" s="237"/>
      <c r="F2082" s="18"/>
      <c r="G2082" s="18"/>
    </row>
    <row r="2083" spans="1:7" ht="22.5" customHeight="1">
      <c r="A2083" s="236"/>
      <c r="B2083" s="18"/>
      <c r="C2083" s="18"/>
      <c r="D2083" s="213"/>
      <c r="E2083" s="237"/>
      <c r="F2083" s="18"/>
      <c r="G2083" s="18"/>
    </row>
    <row r="2084" spans="1:7" ht="22.5" customHeight="1">
      <c r="A2084" s="236"/>
      <c r="B2084" s="18"/>
      <c r="C2084" s="18"/>
      <c r="D2084" s="213"/>
      <c r="E2084" s="237"/>
      <c r="F2084" s="18"/>
      <c r="G2084" s="18"/>
    </row>
    <row r="2085" spans="1:7" ht="22.5" customHeight="1">
      <c r="A2085" s="236"/>
      <c r="B2085" s="18"/>
      <c r="C2085" s="18"/>
      <c r="D2085" s="213"/>
      <c r="E2085" s="237"/>
      <c r="F2085" s="18"/>
      <c r="G2085" s="18"/>
    </row>
    <row r="2086" spans="1:7" ht="22.5" customHeight="1">
      <c r="A2086" s="236"/>
      <c r="B2086" s="18"/>
      <c r="C2086" s="18"/>
      <c r="D2086" s="213"/>
      <c r="E2086" s="237"/>
      <c r="F2086" s="18"/>
      <c r="G2086" s="18"/>
    </row>
    <row r="2087" spans="1:7" ht="22.5" customHeight="1">
      <c r="A2087" s="236"/>
      <c r="B2087" s="18"/>
      <c r="C2087" s="18"/>
      <c r="D2087" s="213"/>
      <c r="E2087" s="237"/>
      <c r="F2087" s="18"/>
      <c r="G2087" s="18"/>
    </row>
    <row r="2088" spans="1:7" ht="22.5" customHeight="1">
      <c r="A2088" s="236"/>
      <c r="B2088" s="18"/>
      <c r="C2088" s="18"/>
      <c r="D2088" s="213"/>
      <c r="E2088" s="237"/>
      <c r="F2088" s="18"/>
      <c r="G2088" s="18"/>
    </row>
    <row r="2089" spans="1:7" ht="22.5" customHeight="1">
      <c r="A2089" s="236"/>
      <c r="B2089" s="18"/>
      <c r="C2089" s="18"/>
      <c r="D2089" s="213"/>
      <c r="E2089" s="237"/>
      <c r="F2089" s="18"/>
      <c r="G2089" s="18"/>
    </row>
    <row r="2090" spans="1:7" ht="22.5" customHeight="1">
      <c r="A2090" s="236"/>
      <c r="B2090" s="18"/>
      <c r="C2090" s="18"/>
      <c r="D2090" s="213"/>
      <c r="E2090" s="237"/>
      <c r="F2090" s="18"/>
      <c r="G2090" s="18"/>
    </row>
    <row r="2091" spans="1:7" ht="22.5" customHeight="1">
      <c r="A2091" s="236"/>
      <c r="B2091" s="18"/>
      <c r="C2091" s="18"/>
      <c r="D2091" s="213"/>
      <c r="E2091" s="237"/>
      <c r="F2091" s="18"/>
      <c r="G2091" s="18"/>
    </row>
    <row r="2092" spans="1:7" ht="22.5" customHeight="1">
      <c r="A2092" s="236"/>
      <c r="B2092" s="18"/>
      <c r="C2092" s="18"/>
      <c r="D2092" s="213"/>
      <c r="E2092" s="237"/>
      <c r="F2092" s="18"/>
      <c r="G2092" s="18"/>
    </row>
    <row r="2093" spans="1:7" ht="22.5" customHeight="1">
      <c r="A2093" s="236"/>
      <c r="B2093" s="18"/>
      <c r="C2093" s="18"/>
      <c r="D2093" s="213"/>
      <c r="E2093" s="237"/>
      <c r="F2093" s="18"/>
      <c r="G2093" s="18"/>
    </row>
    <row r="2094" spans="1:7" ht="22.5" customHeight="1">
      <c r="A2094" s="236"/>
      <c r="B2094" s="18"/>
      <c r="C2094" s="18"/>
      <c r="D2094" s="213"/>
      <c r="E2094" s="237"/>
      <c r="F2094" s="18"/>
      <c r="G2094" s="18"/>
    </row>
    <row r="2095" spans="1:7" ht="22.5" customHeight="1">
      <c r="A2095" s="236"/>
      <c r="B2095" s="18"/>
      <c r="C2095" s="18"/>
      <c r="D2095" s="213"/>
      <c r="E2095" s="237"/>
      <c r="F2095" s="18"/>
      <c r="G2095" s="18"/>
    </row>
    <row r="2096" spans="1:7" ht="22.5" customHeight="1">
      <c r="A2096" s="236"/>
      <c r="B2096" s="18"/>
      <c r="C2096" s="18"/>
      <c r="D2096" s="213"/>
      <c r="E2096" s="237"/>
      <c r="F2096" s="18"/>
      <c r="G2096" s="18"/>
    </row>
    <row r="2097" spans="1:7" ht="22.5" customHeight="1">
      <c r="A2097" s="236"/>
      <c r="B2097" s="18"/>
      <c r="C2097" s="18"/>
      <c r="D2097" s="213"/>
      <c r="E2097" s="237"/>
      <c r="F2097" s="18"/>
      <c r="G2097" s="18"/>
    </row>
    <row r="2098" spans="1:7" ht="22.5" customHeight="1">
      <c r="A2098" s="236"/>
      <c r="B2098" s="18"/>
      <c r="C2098" s="18"/>
      <c r="D2098" s="213"/>
      <c r="E2098" s="237"/>
      <c r="F2098" s="18"/>
      <c r="G2098" s="18"/>
    </row>
    <row r="2099" spans="1:7" ht="22.5" customHeight="1">
      <c r="A2099" s="236"/>
      <c r="B2099" s="18"/>
      <c r="C2099" s="18"/>
      <c r="D2099" s="213"/>
      <c r="E2099" s="237"/>
      <c r="F2099" s="18"/>
      <c r="G2099" s="18"/>
    </row>
    <row r="2100" spans="1:7" ht="22.5" customHeight="1">
      <c r="A2100" s="236"/>
      <c r="B2100" s="18"/>
      <c r="C2100" s="18"/>
      <c r="D2100" s="213"/>
      <c r="E2100" s="237"/>
      <c r="F2100" s="18"/>
      <c r="G2100" s="18"/>
    </row>
    <row r="2101" spans="1:7" ht="22.5" customHeight="1">
      <c r="A2101" s="236"/>
      <c r="B2101" s="18"/>
      <c r="C2101" s="18"/>
      <c r="D2101" s="213"/>
      <c r="E2101" s="237"/>
      <c r="F2101" s="18"/>
      <c r="G2101" s="18"/>
    </row>
    <row r="2102" spans="1:7" ht="22.5" customHeight="1">
      <c r="A2102" s="236"/>
      <c r="B2102" s="18"/>
      <c r="C2102" s="18"/>
      <c r="D2102" s="213"/>
      <c r="E2102" s="237"/>
      <c r="F2102" s="18"/>
      <c r="G2102" s="18"/>
    </row>
    <row r="2103" spans="1:7" ht="22.5" customHeight="1">
      <c r="A2103" s="236"/>
      <c r="B2103" s="18"/>
      <c r="C2103" s="18"/>
      <c r="D2103" s="213"/>
      <c r="E2103" s="237"/>
      <c r="F2103" s="18"/>
      <c r="G2103" s="18"/>
    </row>
    <row r="2104" spans="1:7" ht="22.5" customHeight="1">
      <c r="A2104" s="236"/>
      <c r="B2104" s="18"/>
      <c r="C2104" s="18"/>
      <c r="D2104" s="213"/>
      <c r="E2104" s="237"/>
      <c r="F2104" s="18"/>
      <c r="G2104" s="18"/>
    </row>
    <row r="2105" spans="1:7" ht="22.5" customHeight="1">
      <c r="A2105" s="236"/>
      <c r="B2105" s="18"/>
      <c r="C2105" s="18"/>
      <c r="D2105" s="213"/>
      <c r="E2105" s="237"/>
      <c r="F2105" s="18"/>
      <c r="G2105" s="18"/>
    </row>
    <row r="2106" spans="1:7" ht="22.5" customHeight="1">
      <c r="A2106" s="236"/>
      <c r="B2106" s="18"/>
      <c r="C2106" s="18"/>
      <c r="D2106" s="213"/>
      <c r="E2106" s="237"/>
      <c r="F2106" s="18"/>
      <c r="G2106" s="18"/>
    </row>
    <row r="2107" spans="1:7" ht="22.5" customHeight="1">
      <c r="A2107" s="236"/>
      <c r="B2107" s="18"/>
      <c r="C2107" s="18"/>
      <c r="D2107" s="213"/>
      <c r="E2107" s="237"/>
      <c r="F2107" s="18"/>
      <c r="G2107" s="18"/>
    </row>
    <row r="2108" spans="1:7" ht="22.5" customHeight="1">
      <c r="A2108" s="236"/>
      <c r="B2108" s="18"/>
      <c r="C2108" s="18"/>
      <c r="D2108" s="213"/>
      <c r="E2108" s="237"/>
      <c r="F2108" s="18"/>
      <c r="G2108" s="18"/>
    </row>
    <row r="2109" spans="1:7" ht="22.5" customHeight="1">
      <c r="A2109" s="236"/>
      <c r="B2109" s="18"/>
      <c r="C2109" s="18"/>
      <c r="D2109" s="213"/>
      <c r="E2109" s="237"/>
      <c r="F2109" s="18"/>
      <c r="G2109" s="18"/>
    </row>
    <row r="2110" spans="1:7" ht="22.5" customHeight="1">
      <c r="A2110" s="236"/>
      <c r="B2110" s="18"/>
      <c r="C2110" s="18"/>
      <c r="D2110" s="213"/>
      <c r="E2110" s="237"/>
      <c r="F2110" s="18"/>
      <c r="G2110" s="18"/>
    </row>
    <row r="2111" spans="1:7" ht="22.5" customHeight="1">
      <c r="A2111" s="236"/>
      <c r="B2111" s="18"/>
      <c r="C2111" s="18"/>
      <c r="D2111" s="213"/>
      <c r="E2111" s="237"/>
      <c r="F2111" s="18"/>
      <c r="G2111" s="18"/>
    </row>
    <row r="2112" spans="1:7" ht="22.5" customHeight="1">
      <c r="A2112" s="236"/>
      <c r="B2112" s="18"/>
      <c r="C2112" s="18"/>
      <c r="D2112" s="213"/>
      <c r="E2112" s="237"/>
      <c r="F2112" s="18"/>
      <c r="G2112" s="18"/>
    </row>
    <row r="2113" spans="1:7" ht="22.5" customHeight="1">
      <c r="A2113" s="236"/>
      <c r="B2113" s="18"/>
      <c r="C2113" s="18"/>
      <c r="D2113" s="213"/>
      <c r="E2113" s="237"/>
      <c r="F2113" s="18"/>
      <c r="G2113" s="18"/>
    </row>
    <row r="2114" spans="1:7" ht="22.5" customHeight="1">
      <c r="A2114" s="236"/>
      <c r="B2114" s="18"/>
      <c r="C2114" s="18"/>
      <c r="D2114" s="213"/>
      <c r="E2114" s="237"/>
      <c r="F2114" s="18"/>
      <c r="G2114" s="18"/>
    </row>
    <row r="2115" spans="1:7" ht="22.5" customHeight="1">
      <c r="A2115" s="236"/>
      <c r="B2115" s="18"/>
      <c r="C2115" s="18"/>
      <c r="D2115" s="213"/>
      <c r="E2115" s="237"/>
      <c r="F2115" s="18"/>
      <c r="G2115" s="18"/>
    </row>
    <row r="2116" spans="1:7" ht="22.5" customHeight="1">
      <c r="A2116" s="236"/>
      <c r="B2116" s="18"/>
      <c r="C2116" s="18"/>
      <c r="D2116" s="213"/>
      <c r="E2116" s="237"/>
      <c r="F2116" s="18"/>
      <c r="G2116" s="18"/>
    </row>
    <row r="2117" spans="1:7" ht="22.5" customHeight="1">
      <c r="A2117" s="236"/>
      <c r="B2117" s="18"/>
      <c r="C2117" s="18"/>
      <c r="D2117" s="213"/>
      <c r="E2117" s="237"/>
      <c r="F2117" s="18"/>
      <c r="G2117" s="18"/>
    </row>
    <row r="2118" spans="1:7" ht="22.5" customHeight="1">
      <c r="A2118" s="236"/>
      <c r="B2118" s="18"/>
      <c r="C2118" s="18"/>
      <c r="D2118" s="213"/>
      <c r="E2118" s="237"/>
      <c r="F2118" s="18"/>
      <c r="G2118" s="18"/>
    </row>
    <row r="2119" spans="1:7" ht="22.5" customHeight="1">
      <c r="A2119" s="236"/>
      <c r="B2119" s="18"/>
      <c r="C2119" s="18"/>
      <c r="D2119" s="213"/>
      <c r="E2119" s="237"/>
      <c r="F2119" s="18"/>
      <c r="G2119" s="18"/>
    </row>
    <row r="2120" spans="1:7" ht="22.5" customHeight="1">
      <c r="A2120" s="236"/>
      <c r="B2120" s="18"/>
      <c r="C2120" s="18"/>
      <c r="D2120" s="213"/>
      <c r="E2120" s="237"/>
      <c r="F2120" s="18"/>
      <c r="G2120" s="18"/>
    </row>
    <row r="2121" spans="1:7" ht="22.5" customHeight="1">
      <c r="A2121" s="236"/>
      <c r="B2121" s="18"/>
      <c r="C2121" s="18"/>
      <c r="D2121" s="213"/>
      <c r="E2121" s="237"/>
      <c r="F2121" s="18"/>
      <c r="G2121" s="18"/>
    </row>
    <row r="2122" spans="1:7" ht="22.5" customHeight="1">
      <c r="A2122" s="236"/>
      <c r="B2122" s="18"/>
      <c r="C2122" s="18"/>
      <c r="D2122" s="213"/>
      <c r="E2122" s="237"/>
      <c r="F2122" s="18"/>
      <c r="G2122" s="18"/>
    </row>
    <row r="2123" spans="1:7" ht="22.5" customHeight="1">
      <c r="A2123" s="236"/>
      <c r="B2123" s="18"/>
      <c r="C2123" s="18"/>
      <c r="D2123" s="213"/>
      <c r="E2123" s="237"/>
      <c r="F2123" s="18"/>
      <c r="G2123" s="18"/>
    </row>
    <row r="2124" spans="1:7" ht="22.5" customHeight="1">
      <c r="A2124" s="236"/>
      <c r="B2124" s="18"/>
      <c r="C2124" s="18"/>
      <c r="D2124" s="213"/>
      <c r="E2124" s="237"/>
      <c r="F2124" s="18"/>
      <c r="G2124" s="18"/>
    </row>
    <row r="2125" spans="1:7" ht="22.5" customHeight="1">
      <c r="A2125" s="236"/>
      <c r="B2125" s="18"/>
      <c r="C2125" s="18"/>
      <c r="D2125" s="213"/>
      <c r="E2125" s="237"/>
      <c r="F2125" s="18"/>
      <c r="G2125" s="18"/>
    </row>
    <row r="2126" spans="1:7" ht="22.5" customHeight="1">
      <c r="A2126" s="236"/>
      <c r="B2126" s="18"/>
      <c r="C2126" s="18"/>
      <c r="D2126" s="213"/>
      <c r="E2126" s="237"/>
      <c r="F2126" s="18"/>
      <c r="G2126" s="18"/>
    </row>
    <row r="2127" spans="1:7" ht="22.5" customHeight="1">
      <c r="A2127" s="236"/>
      <c r="B2127" s="18"/>
      <c r="C2127" s="18"/>
      <c r="D2127" s="213"/>
      <c r="E2127" s="237"/>
      <c r="F2127" s="18"/>
      <c r="G2127" s="18"/>
    </row>
    <row r="2128" spans="1:7" ht="22.5" customHeight="1">
      <c r="A2128" s="236"/>
      <c r="B2128" s="18"/>
      <c r="C2128" s="18"/>
      <c r="D2128" s="213"/>
      <c r="E2128" s="237"/>
      <c r="F2128" s="18"/>
      <c r="G2128" s="18"/>
    </row>
    <row r="2129" spans="1:7" ht="22.5" customHeight="1">
      <c r="A2129" s="236"/>
      <c r="B2129" s="18"/>
      <c r="C2129" s="18"/>
      <c r="D2129" s="213"/>
      <c r="E2129" s="237"/>
      <c r="F2129" s="18"/>
      <c r="G2129" s="18"/>
    </row>
    <row r="2130" spans="1:7" ht="22.5" customHeight="1">
      <c r="A2130" s="236"/>
      <c r="B2130" s="18"/>
      <c r="C2130" s="18"/>
      <c r="D2130" s="213"/>
      <c r="E2130" s="237"/>
      <c r="F2130" s="18"/>
      <c r="G2130" s="18"/>
    </row>
    <row r="2131" spans="1:7" ht="22.5" customHeight="1">
      <c r="A2131" s="236"/>
      <c r="B2131" s="18"/>
      <c r="C2131" s="18"/>
      <c r="D2131" s="213"/>
      <c r="E2131" s="237"/>
      <c r="F2131" s="18"/>
      <c r="G2131" s="18"/>
    </row>
    <row r="2132" spans="1:7" ht="22.5" customHeight="1">
      <c r="A2132" s="236"/>
      <c r="B2132" s="18"/>
      <c r="C2132" s="18"/>
      <c r="D2132" s="213"/>
      <c r="E2132" s="237"/>
      <c r="F2132" s="18"/>
      <c r="G2132" s="18"/>
    </row>
    <row r="2133" spans="1:7" ht="22.5" customHeight="1">
      <c r="A2133" s="236"/>
      <c r="B2133" s="18"/>
      <c r="C2133" s="18"/>
      <c r="D2133" s="213"/>
      <c r="E2133" s="237"/>
      <c r="F2133" s="18"/>
      <c r="G2133" s="18"/>
    </row>
    <row r="2134" spans="1:7" ht="22.5" customHeight="1">
      <c r="A2134" s="236"/>
      <c r="B2134" s="18"/>
      <c r="C2134" s="18"/>
      <c r="D2134" s="213"/>
      <c r="E2134" s="237"/>
      <c r="F2134" s="18"/>
      <c r="G2134" s="18"/>
    </row>
    <row r="2135" spans="1:7" ht="22.5" customHeight="1">
      <c r="A2135" s="236"/>
      <c r="B2135" s="18"/>
      <c r="C2135" s="18"/>
      <c r="D2135" s="213"/>
      <c r="E2135" s="237"/>
      <c r="F2135" s="18"/>
      <c r="G2135" s="18"/>
    </row>
    <row r="2136" spans="1:7" ht="22.5" customHeight="1">
      <c r="A2136" s="236"/>
      <c r="B2136" s="18"/>
      <c r="C2136" s="18"/>
      <c r="D2136" s="213"/>
      <c r="E2136" s="237"/>
      <c r="F2136" s="18"/>
      <c r="G2136" s="18"/>
    </row>
    <row r="2137" spans="1:7" ht="22.5" customHeight="1">
      <c r="A2137" s="236"/>
      <c r="B2137" s="18"/>
      <c r="C2137" s="18"/>
      <c r="D2137" s="213"/>
      <c r="E2137" s="237"/>
      <c r="F2137" s="18"/>
      <c r="G2137" s="18"/>
    </row>
    <row r="2138" spans="1:7" ht="22.5" customHeight="1">
      <c r="A2138" s="236"/>
      <c r="B2138" s="18"/>
      <c r="C2138" s="18"/>
      <c r="D2138" s="213"/>
      <c r="E2138" s="237"/>
      <c r="F2138" s="18"/>
      <c r="G2138" s="18"/>
    </row>
    <row r="2139" spans="1:7" ht="22.5" customHeight="1">
      <c r="A2139" s="236"/>
      <c r="B2139" s="18"/>
      <c r="C2139" s="18"/>
      <c r="D2139" s="213"/>
      <c r="E2139" s="237"/>
      <c r="F2139" s="18"/>
      <c r="G2139" s="18"/>
    </row>
    <row r="2140" spans="1:7" ht="22.5" customHeight="1">
      <c r="A2140" s="236"/>
      <c r="B2140" s="18"/>
      <c r="C2140" s="18"/>
      <c r="D2140" s="213"/>
      <c r="E2140" s="237"/>
      <c r="F2140" s="18"/>
      <c r="G2140" s="18"/>
    </row>
    <row r="2141" spans="1:7" ht="22.5" customHeight="1">
      <c r="A2141" s="236"/>
      <c r="B2141" s="18"/>
      <c r="C2141" s="18"/>
      <c r="D2141" s="213"/>
      <c r="E2141" s="237"/>
      <c r="F2141" s="18"/>
      <c r="G2141" s="18"/>
    </row>
    <row r="2142" spans="1:7" ht="22.5" customHeight="1">
      <c r="A2142" s="236"/>
      <c r="B2142" s="18"/>
      <c r="C2142" s="18"/>
      <c r="D2142" s="213"/>
      <c r="E2142" s="237"/>
      <c r="F2142" s="18"/>
      <c r="G2142" s="18"/>
    </row>
    <row r="2143" spans="1:7" ht="22.5" customHeight="1">
      <c r="A2143" s="236"/>
      <c r="B2143" s="18"/>
      <c r="C2143" s="18"/>
      <c r="D2143" s="213"/>
      <c r="E2143" s="237"/>
      <c r="F2143" s="18"/>
      <c r="G2143" s="18"/>
    </row>
    <row r="2144" spans="1:7" ht="22.5" customHeight="1">
      <c r="A2144" s="236"/>
      <c r="B2144" s="18"/>
      <c r="C2144" s="18"/>
      <c r="D2144" s="213"/>
      <c r="E2144" s="237"/>
      <c r="F2144" s="18"/>
      <c r="G2144" s="18"/>
    </row>
    <row r="2145" spans="1:7" ht="22.5" customHeight="1">
      <c r="A2145" s="236"/>
      <c r="B2145" s="18"/>
      <c r="C2145" s="18"/>
      <c r="D2145" s="213"/>
      <c r="E2145" s="237"/>
      <c r="F2145" s="18"/>
      <c r="G2145" s="18"/>
    </row>
    <row r="2146" spans="1:7" ht="22.5" customHeight="1">
      <c r="A2146" s="236"/>
      <c r="B2146" s="18"/>
      <c r="C2146" s="18"/>
      <c r="D2146" s="213"/>
      <c r="E2146" s="237"/>
      <c r="F2146" s="18"/>
      <c r="G2146" s="18"/>
    </row>
    <row r="2147" spans="1:7" ht="22.5" customHeight="1">
      <c r="A2147" s="236"/>
      <c r="B2147" s="18"/>
      <c r="C2147" s="18"/>
      <c r="D2147" s="213"/>
      <c r="E2147" s="237"/>
      <c r="F2147" s="18"/>
      <c r="G2147" s="18"/>
    </row>
    <row r="2148" spans="1:7" ht="22.5" customHeight="1">
      <c r="A2148" s="236"/>
      <c r="B2148" s="18"/>
      <c r="C2148" s="18"/>
      <c r="D2148" s="213"/>
      <c r="E2148" s="237"/>
      <c r="F2148" s="18"/>
      <c r="G2148" s="18"/>
    </row>
    <row r="2149" spans="1:7" ht="22.5" customHeight="1">
      <c r="A2149" s="236"/>
      <c r="B2149" s="18"/>
      <c r="C2149" s="18"/>
      <c r="D2149" s="213"/>
      <c r="E2149" s="237"/>
      <c r="F2149" s="18"/>
      <c r="G2149" s="18"/>
    </row>
    <row r="2150" spans="1:7" ht="22.5" customHeight="1">
      <c r="A2150" s="236"/>
      <c r="B2150" s="18"/>
      <c r="C2150" s="18"/>
      <c r="D2150" s="213"/>
      <c r="E2150" s="237"/>
      <c r="F2150" s="18"/>
      <c r="G2150" s="18"/>
    </row>
    <row r="2151" spans="1:7" ht="22.5" customHeight="1">
      <c r="A2151" s="236"/>
      <c r="B2151" s="18"/>
      <c r="C2151" s="18"/>
      <c r="D2151" s="213"/>
      <c r="E2151" s="237"/>
      <c r="F2151" s="18"/>
      <c r="G2151" s="18"/>
    </row>
    <row r="2152" spans="1:7" ht="22.5" customHeight="1">
      <c r="A2152" s="236"/>
      <c r="B2152" s="18"/>
      <c r="C2152" s="18"/>
      <c r="D2152" s="213"/>
      <c r="E2152" s="237"/>
      <c r="F2152" s="18"/>
      <c r="G2152" s="18"/>
    </row>
    <row r="2153" spans="1:7" ht="22.5" customHeight="1">
      <c r="A2153" s="236"/>
      <c r="B2153" s="18"/>
      <c r="C2153" s="18"/>
      <c r="D2153" s="213"/>
      <c r="E2153" s="237"/>
      <c r="F2153" s="18"/>
      <c r="G2153" s="18"/>
    </row>
    <row r="2154" spans="1:7" ht="22.5" customHeight="1">
      <c r="A2154" s="236"/>
      <c r="B2154" s="18"/>
      <c r="C2154" s="18"/>
      <c r="D2154" s="213"/>
      <c r="E2154" s="237"/>
      <c r="F2154" s="18"/>
      <c r="G2154" s="18"/>
    </row>
    <row r="2155" spans="1:7" ht="22.5" customHeight="1">
      <c r="A2155" s="236"/>
      <c r="B2155" s="18"/>
      <c r="C2155" s="18"/>
      <c r="D2155" s="213"/>
      <c r="E2155" s="237"/>
      <c r="F2155" s="18"/>
      <c r="G2155" s="18"/>
    </row>
    <row r="2156" spans="1:7" ht="22.5" customHeight="1">
      <c r="A2156" s="236"/>
      <c r="B2156" s="18"/>
      <c r="C2156" s="18"/>
      <c r="D2156" s="213"/>
      <c r="E2156" s="237"/>
      <c r="F2156" s="18"/>
      <c r="G2156" s="18"/>
    </row>
    <row r="2157" spans="1:7" ht="22.5" customHeight="1">
      <c r="A2157" s="236"/>
      <c r="B2157" s="18"/>
      <c r="C2157" s="18"/>
      <c r="D2157" s="213"/>
      <c r="E2157" s="237"/>
      <c r="F2157" s="18"/>
      <c r="G2157" s="18"/>
    </row>
    <row r="2158" spans="1:7" ht="22.5" customHeight="1">
      <c r="A2158" s="236"/>
      <c r="B2158" s="18"/>
      <c r="C2158" s="18"/>
      <c r="D2158" s="213"/>
      <c r="E2158" s="237"/>
      <c r="F2158" s="18"/>
      <c r="G2158" s="18"/>
    </row>
    <row r="2159" spans="1:7" ht="22.5" customHeight="1">
      <c r="A2159" s="236"/>
      <c r="B2159" s="18"/>
      <c r="C2159" s="18"/>
      <c r="D2159" s="213"/>
      <c r="E2159" s="237"/>
      <c r="F2159" s="18"/>
      <c r="G2159" s="18"/>
    </row>
    <row r="2160" spans="1:7" ht="22.5" customHeight="1">
      <c r="A2160" s="236"/>
      <c r="B2160" s="18"/>
      <c r="C2160" s="18"/>
      <c r="D2160" s="213"/>
      <c r="E2160" s="237"/>
      <c r="F2160" s="18"/>
      <c r="G2160" s="18"/>
    </row>
    <row r="2161" spans="1:7" ht="22.5" customHeight="1">
      <c r="A2161" s="236"/>
      <c r="B2161" s="18"/>
      <c r="C2161" s="18"/>
      <c r="D2161" s="213"/>
      <c r="E2161" s="237"/>
      <c r="F2161" s="18"/>
      <c r="G2161" s="18"/>
    </row>
    <row r="2162" spans="1:7" ht="22.5" customHeight="1">
      <c r="A2162" s="236"/>
      <c r="B2162" s="18"/>
      <c r="C2162" s="18"/>
      <c r="D2162" s="213"/>
      <c r="E2162" s="237"/>
      <c r="F2162" s="18"/>
      <c r="G2162" s="18"/>
    </row>
    <row r="2163" spans="1:7" ht="22.5" customHeight="1">
      <c r="A2163" s="236"/>
      <c r="B2163" s="18"/>
      <c r="C2163" s="18"/>
      <c r="D2163" s="213"/>
      <c r="E2163" s="237"/>
      <c r="F2163" s="18"/>
      <c r="G2163" s="18"/>
    </row>
    <row r="2164" spans="1:7" ht="22.5" customHeight="1">
      <c r="A2164" s="236"/>
      <c r="B2164" s="18"/>
      <c r="C2164" s="18"/>
      <c r="D2164" s="213"/>
      <c r="E2164" s="237"/>
      <c r="F2164" s="18"/>
      <c r="G2164" s="18"/>
    </row>
    <row r="2165" spans="1:7" ht="22.5" customHeight="1">
      <c r="A2165" s="236"/>
      <c r="B2165" s="18"/>
      <c r="C2165" s="18"/>
      <c r="D2165" s="213"/>
      <c r="E2165" s="237"/>
      <c r="F2165" s="18"/>
      <c r="G2165" s="18"/>
    </row>
    <row r="2166" spans="1:7" ht="22.5" customHeight="1">
      <c r="A2166" s="236"/>
      <c r="B2166" s="18"/>
      <c r="C2166" s="18"/>
      <c r="D2166" s="213"/>
      <c r="E2166" s="237"/>
      <c r="F2166" s="18"/>
      <c r="G2166" s="18"/>
    </row>
    <row r="2167" spans="1:7" ht="22.5" customHeight="1">
      <c r="A2167" s="236"/>
      <c r="B2167" s="18"/>
      <c r="C2167" s="18"/>
      <c r="D2167" s="213"/>
      <c r="E2167" s="237"/>
      <c r="F2167" s="18"/>
      <c r="G2167" s="18"/>
    </row>
    <row r="2168" spans="1:7" ht="22.5" customHeight="1">
      <c r="A2168" s="236"/>
      <c r="B2168" s="18"/>
      <c r="C2168" s="18"/>
      <c r="D2168" s="213"/>
      <c r="E2168" s="237"/>
      <c r="F2168" s="18"/>
      <c r="G2168" s="18"/>
    </row>
    <row r="2169" spans="1:7" ht="22.5" customHeight="1">
      <c r="A2169" s="236"/>
      <c r="B2169" s="18"/>
      <c r="C2169" s="18"/>
      <c r="D2169" s="213"/>
      <c r="E2169" s="237"/>
      <c r="F2169" s="18"/>
      <c r="G2169" s="18"/>
    </row>
    <row r="2170" spans="1:7" ht="22.5" customHeight="1">
      <c r="A2170" s="236"/>
      <c r="B2170" s="18"/>
      <c r="C2170" s="18"/>
      <c r="D2170" s="213"/>
      <c r="E2170" s="237"/>
      <c r="F2170" s="18"/>
      <c r="G2170" s="18"/>
    </row>
    <row r="2171" spans="1:7" ht="22.5" customHeight="1">
      <c r="A2171" s="236"/>
      <c r="B2171" s="18"/>
      <c r="C2171" s="18"/>
      <c r="D2171" s="213"/>
      <c r="E2171" s="237"/>
      <c r="F2171" s="18"/>
      <c r="G2171" s="18"/>
    </row>
    <row r="2172" spans="1:7" ht="22.5" customHeight="1">
      <c r="A2172" s="236"/>
      <c r="B2172" s="18"/>
      <c r="C2172" s="18"/>
      <c r="D2172" s="213"/>
      <c r="E2172" s="237"/>
      <c r="F2172" s="18"/>
      <c r="G2172" s="18"/>
    </row>
    <row r="2173" spans="1:7" ht="22.5" customHeight="1">
      <c r="A2173" s="236"/>
      <c r="B2173" s="18"/>
      <c r="C2173" s="18"/>
      <c r="D2173" s="213"/>
      <c r="E2173" s="237"/>
      <c r="F2173" s="18"/>
      <c r="G2173" s="18"/>
    </row>
    <row r="2174" spans="1:7" ht="22.5" customHeight="1">
      <c r="A2174" s="236"/>
      <c r="B2174" s="18"/>
      <c r="C2174" s="18"/>
      <c r="D2174" s="213"/>
      <c r="E2174" s="237"/>
      <c r="F2174" s="18"/>
      <c r="G2174" s="18"/>
    </row>
    <row r="2175" spans="1:7" ht="22.5" customHeight="1">
      <c r="A2175" s="236"/>
      <c r="B2175" s="18"/>
      <c r="C2175" s="18"/>
      <c r="D2175" s="213"/>
      <c r="E2175" s="237"/>
      <c r="F2175" s="18"/>
      <c r="G2175" s="18"/>
    </row>
    <row r="2176" spans="1:7" ht="22.5" customHeight="1">
      <c r="A2176" s="236"/>
      <c r="B2176" s="18"/>
      <c r="C2176" s="18"/>
      <c r="D2176" s="213"/>
      <c r="E2176" s="237"/>
      <c r="F2176" s="18"/>
      <c r="G2176" s="18"/>
    </row>
    <row r="2177" spans="1:7" ht="22.5" customHeight="1">
      <c r="A2177" s="236"/>
      <c r="B2177" s="18"/>
      <c r="C2177" s="18"/>
      <c r="D2177" s="213"/>
      <c r="E2177" s="237"/>
      <c r="F2177" s="18"/>
      <c r="G2177" s="18"/>
    </row>
    <row r="2178" spans="1:7" ht="22.5" customHeight="1">
      <c r="A2178" s="236"/>
      <c r="B2178" s="18"/>
      <c r="C2178" s="18"/>
      <c r="D2178" s="213"/>
      <c r="E2178" s="237"/>
      <c r="F2178" s="18"/>
      <c r="G2178" s="18"/>
    </row>
    <row r="2179" spans="1:7" ht="22.5" customHeight="1">
      <c r="A2179" s="236"/>
      <c r="B2179" s="18"/>
      <c r="C2179" s="18"/>
      <c r="D2179" s="213"/>
      <c r="E2179" s="237"/>
      <c r="F2179" s="18"/>
      <c r="G2179" s="18"/>
    </row>
    <row r="2180" spans="1:7" ht="22.5" customHeight="1">
      <c r="A2180" s="236"/>
      <c r="B2180" s="18"/>
      <c r="C2180" s="18"/>
      <c r="D2180" s="213"/>
      <c r="E2180" s="237"/>
      <c r="F2180" s="18"/>
      <c r="G2180" s="18"/>
    </row>
    <row r="2181" spans="1:7" ht="22.5" customHeight="1">
      <c r="A2181" s="236"/>
      <c r="B2181" s="18"/>
      <c r="C2181" s="18"/>
      <c r="D2181" s="213"/>
      <c r="E2181" s="237"/>
      <c r="F2181" s="18"/>
      <c r="G2181" s="18"/>
    </row>
    <row r="2182" spans="1:7" ht="22.5" customHeight="1">
      <c r="A2182" s="236"/>
      <c r="B2182" s="18"/>
      <c r="C2182" s="18"/>
      <c r="D2182" s="213"/>
      <c r="E2182" s="237"/>
      <c r="F2182" s="18"/>
      <c r="G2182" s="18"/>
    </row>
    <row r="2183" spans="1:7" ht="22.5" customHeight="1">
      <c r="A2183" s="236"/>
      <c r="B2183" s="18"/>
      <c r="C2183" s="18"/>
      <c r="D2183" s="213"/>
      <c r="E2183" s="237"/>
      <c r="F2183" s="18"/>
      <c r="G2183" s="18"/>
    </row>
    <row r="2184" spans="1:7" ht="22.5" customHeight="1">
      <c r="A2184" s="236"/>
      <c r="B2184" s="18"/>
      <c r="C2184" s="18"/>
      <c r="D2184" s="213"/>
      <c r="E2184" s="237"/>
      <c r="F2184" s="18"/>
      <c r="G2184" s="18"/>
    </row>
    <row r="2185" spans="1:7" ht="22.5" customHeight="1">
      <c r="A2185" s="236"/>
      <c r="B2185" s="18"/>
      <c r="C2185" s="18"/>
      <c r="D2185" s="213"/>
      <c r="E2185" s="237"/>
      <c r="F2185" s="18"/>
      <c r="G2185" s="18"/>
    </row>
    <row r="2186" spans="1:7" ht="22.5" customHeight="1">
      <c r="A2186" s="236"/>
      <c r="B2186" s="18"/>
      <c r="C2186" s="18"/>
      <c r="D2186" s="213"/>
      <c r="E2186" s="237"/>
      <c r="F2186" s="18"/>
      <c r="G2186" s="18"/>
    </row>
    <row r="2187" spans="1:7" ht="22.5" customHeight="1">
      <c r="A2187" s="236"/>
      <c r="B2187" s="18"/>
      <c r="C2187" s="18"/>
      <c r="D2187" s="213"/>
      <c r="E2187" s="237"/>
      <c r="F2187" s="18"/>
      <c r="G2187" s="18"/>
    </row>
    <row r="2188" spans="1:7" ht="22.5" customHeight="1">
      <c r="A2188" s="236"/>
      <c r="B2188" s="18"/>
      <c r="C2188" s="18"/>
      <c r="D2188" s="213"/>
      <c r="E2188" s="237"/>
      <c r="F2188" s="18"/>
      <c r="G2188" s="18"/>
    </row>
    <row r="2189" spans="1:7" ht="22.5" customHeight="1">
      <c r="A2189" s="236"/>
      <c r="B2189" s="18"/>
      <c r="C2189" s="18"/>
      <c r="D2189" s="213"/>
      <c r="E2189" s="237"/>
      <c r="F2189" s="18"/>
      <c r="G2189" s="18"/>
    </row>
    <row r="2190" spans="1:7" ht="22.5" customHeight="1">
      <c r="A2190" s="236"/>
      <c r="B2190" s="18"/>
      <c r="C2190" s="18"/>
      <c r="D2190" s="213"/>
      <c r="E2190" s="237"/>
      <c r="F2190" s="18"/>
      <c r="G2190" s="18"/>
    </row>
    <row r="2191" spans="1:7" ht="22.5" customHeight="1">
      <c r="A2191" s="236"/>
      <c r="B2191" s="18"/>
      <c r="C2191" s="18"/>
      <c r="D2191" s="213"/>
      <c r="E2191" s="237"/>
      <c r="F2191" s="18"/>
      <c r="G2191" s="18"/>
    </row>
    <row r="2192" spans="1:7" ht="22.5" customHeight="1">
      <c r="A2192" s="236"/>
      <c r="B2192" s="18"/>
      <c r="C2192" s="18"/>
      <c r="D2192" s="213"/>
      <c r="E2192" s="237"/>
      <c r="F2192" s="18"/>
      <c r="G2192" s="18"/>
    </row>
    <row r="2193" spans="1:7" ht="22.5" customHeight="1">
      <c r="A2193" s="236"/>
      <c r="B2193" s="18"/>
      <c r="C2193" s="18"/>
      <c r="D2193" s="213"/>
      <c r="E2193" s="237"/>
      <c r="F2193" s="18"/>
      <c r="G2193" s="18"/>
    </row>
    <row r="2194" spans="1:7" ht="22.5" customHeight="1">
      <c r="A2194" s="236"/>
      <c r="B2194" s="18"/>
      <c r="C2194" s="18"/>
      <c r="D2194" s="213"/>
      <c r="E2194" s="237"/>
      <c r="F2194" s="18"/>
      <c r="G2194" s="18"/>
    </row>
    <row r="2195" spans="1:7" ht="22.5" customHeight="1">
      <c r="A2195" s="236"/>
      <c r="B2195" s="18"/>
      <c r="C2195" s="18"/>
      <c r="D2195" s="213"/>
      <c r="E2195" s="237"/>
      <c r="F2195" s="18"/>
      <c r="G2195" s="18"/>
    </row>
    <row r="2196" spans="1:7" ht="22.5" customHeight="1">
      <c r="A2196" s="236"/>
      <c r="B2196" s="18"/>
      <c r="C2196" s="18"/>
      <c r="D2196" s="213"/>
      <c r="E2196" s="237"/>
      <c r="F2196" s="18"/>
      <c r="G2196" s="18"/>
    </row>
    <row r="2197" spans="1:7" ht="22.5" customHeight="1">
      <c r="A2197" s="236"/>
      <c r="B2197" s="18"/>
      <c r="C2197" s="18"/>
      <c r="D2197" s="213"/>
      <c r="E2197" s="237"/>
      <c r="F2197" s="18"/>
      <c r="G2197" s="18"/>
    </row>
    <row r="2198" spans="1:7" ht="22.5" customHeight="1">
      <c r="A2198" s="236"/>
      <c r="B2198" s="18"/>
      <c r="C2198" s="18"/>
      <c r="D2198" s="213"/>
      <c r="E2198" s="237"/>
      <c r="F2198" s="18"/>
      <c r="G2198" s="18"/>
    </row>
    <row r="2199" spans="1:7" ht="22.5" customHeight="1">
      <c r="A2199" s="236"/>
      <c r="B2199" s="18"/>
      <c r="C2199" s="18"/>
      <c r="D2199" s="213"/>
      <c r="E2199" s="237"/>
      <c r="F2199" s="18"/>
      <c r="G2199" s="18"/>
    </row>
    <row r="2200" spans="1:7" ht="22.5" customHeight="1">
      <c r="A2200" s="236"/>
      <c r="B2200" s="18"/>
      <c r="C2200" s="18"/>
      <c r="D2200" s="213"/>
      <c r="E2200" s="237"/>
      <c r="F2200" s="18"/>
      <c r="G2200" s="18"/>
    </row>
    <row r="2201" spans="1:7" ht="22.5" customHeight="1">
      <c r="A2201" s="236"/>
      <c r="B2201" s="18"/>
      <c r="C2201" s="18"/>
      <c r="D2201" s="213"/>
      <c r="E2201" s="237"/>
      <c r="F2201" s="18"/>
      <c r="G2201" s="18"/>
    </row>
    <row r="2202" spans="1:7" ht="22.5" customHeight="1">
      <c r="A2202" s="236"/>
      <c r="B2202" s="18"/>
      <c r="C2202" s="18"/>
      <c r="D2202" s="213"/>
      <c r="E2202" s="237"/>
      <c r="F2202" s="18"/>
      <c r="G2202" s="18"/>
    </row>
    <row r="2203" spans="1:7" ht="22.5" customHeight="1">
      <c r="A2203" s="236"/>
      <c r="B2203" s="18"/>
      <c r="C2203" s="18"/>
      <c r="D2203" s="213"/>
      <c r="E2203" s="237"/>
      <c r="F2203" s="18"/>
      <c r="G2203" s="18"/>
    </row>
    <row r="2204" spans="1:7" ht="22.5" customHeight="1">
      <c r="A2204" s="236"/>
      <c r="B2204" s="18"/>
      <c r="C2204" s="18"/>
      <c r="D2204" s="213"/>
      <c r="E2204" s="237"/>
      <c r="F2204" s="18"/>
      <c r="G2204" s="18"/>
    </row>
    <row r="2205" spans="1:7" ht="22.5" customHeight="1">
      <c r="A2205" s="236"/>
      <c r="B2205" s="18"/>
      <c r="C2205" s="18"/>
      <c r="D2205" s="213"/>
      <c r="E2205" s="237"/>
      <c r="F2205" s="18"/>
      <c r="G2205" s="18"/>
    </row>
    <row r="2206" spans="1:7" ht="22.5" customHeight="1">
      <c r="A2206" s="236"/>
      <c r="B2206" s="18"/>
      <c r="C2206" s="18"/>
      <c r="D2206" s="213"/>
      <c r="E2206" s="237"/>
      <c r="F2206" s="18"/>
      <c r="G2206" s="18"/>
    </row>
    <row r="2207" spans="1:7" ht="22.5" customHeight="1">
      <c r="A2207" s="236"/>
      <c r="B2207" s="18"/>
      <c r="C2207" s="18"/>
      <c r="D2207" s="213"/>
      <c r="E2207" s="237"/>
      <c r="F2207" s="18"/>
      <c r="G2207" s="18"/>
    </row>
    <row r="2208" spans="1:7" ht="22.5" customHeight="1">
      <c r="A2208" s="236"/>
      <c r="B2208" s="18"/>
      <c r="C2208" s="18"/>
      <c r="D2208" s="213"/>
      <c r="E2208" s="237"/>
      <c r="F2208" s="18"/>
      <c r="G2208" s="18"/>
    </row>
    <row r="2209" spans="1:7" ht="22.5" customHeight="1">
      <c r="A2209" s="236"/>
      <c r="B2209" s="18"/>
      <c r="C2209" s="18"/>
      <c r="D2209" s="213"/>
      <c r="E2209" s="237"/>
      <c r="F2209" s="18"/>
      <c r="G2209" s="18"/>
    </row>
    <row r="2210" spans="1:7" ht="22.5" customHeight="1">
      <c r="A2210" s="236"/>
      <c r="B2210" s="18"/>
      <c r="C2210" s="18"/>
      <c r="D2210" s="213"/>
      <c r="E2210" s="237"/>
      <c r="F2210" s="18"/>
      <c r="G2210" s="18"/>
    </row>
    <row r="2211" spans="1:7" ht="22.5" customHeight="1">
      <c r="A2211" s="236"/>
      <c r="B2211" s="18"/>
      <c r="C2211" s="18"/>
      <c r="D2211" s="213"/>
      <c r="E2211" s="237"/>
      <c r="F2211" s="18"/>
      <c r="G2211" s="18"/>
    </row>
    <row r="2212" spans="1:7" ht="22.5" customHeight="1">
      <c r="A2212" s="236"/>
      <c r="B2212" s="18"/>
      <c r="C2212" s="18"/>
      <c r="D2212" s="213"/>
      <c r="E2212" s="237"/>
      <c r="F2212" s="18"/>
      <c r="G2212" s="18"/>
    </row>
    <row r="2213" spans="1:7" ht="22.5" customHeight="1">
      <c r="A2213" s="236"/>
      <c r="B2213" s="18"/>
      <c r="C2213" s="18"/>
      <c r="D2213" s="213"/>
      <c r="E2213" s="237"/>
      <c r="F2213" s="18"/>
      <c r="G2213" s="18"/>
    </row>
    <row r="2214" spans="1:7" ht="22.5" customHeight="1">
      <c r="A2214" s="236"/>
      <c r="B2214" s="18"/>
      <c r="C2214" s="18"/>
      <c r="D2214" s="213"/>
      <c r="E2214" s="237"/>
      <c r="F2214" s="18"/>
      <c r="G2214" s="18"/>
    </row>
    <row r="2215" spans="1:7" ht="22.5" customHeight="1">
      <c r="A2215" s="236"/>
      <c r="B2215" s="18"/>
      <c r="C2215" s="18"/>
      <c r="D2215" s="213"/>
      <c r="E2215" s="237"/>
      <c r="F2215" s="18"/>
      <c r="G2215" s="18"/>
    </row>
    <row r="2216" spans="1:7" ht="22.5" customHeight="1">
      <c r="A2216" s="236"/>
      <c r="B2216" s="18"/>
      <c r="C2216" s="18"/>
      <c r="D2216" s="213"/>
      <c r="E2216" s="237"/>
      <c r="F2216" s="18"/>
      <c r="G2216" s="18"/>
    </row>
    <row r="2217" spans="1:7" ht="22.5" customHeight="1">
      <c r="A2217" s="236"/>
      <c r="B2217" s="18"/>
      <c r="C2217" s="18"/>
      <c r="D2217" s="213"/>
      <c r="E2217" s="237"/>
      <c r="F2217" s="18"/>
      <c r="G2217" s="18"/>
    </row>
    <row r="2218" spans="1:7" ht="22.5" customHeight="1">
      <c r="A2218" s="236"/>
      <c r="B2218" s="18"/>
      <c r="C2218" s="18"/>
      <c r="D2218" s="213"/>
      <c r="E2218" s="237"/>
      <c r="F2218" s="18"/>
      <c r="G2218" s="18"/>
    </row>
    <row r="2219" spans="1:7" ht="22.5" customHeight="1">
      <c r="A2219" s="236"/>
      <c r="B2219" s="18"/>
      <c r="C2219" s="18"/>
      <c r="D2219" s="213"/>
      <c r="E2219" s="237"/>
      <c r="F2219" s="18"/>
      <c r="G2219" s="18"/>
    </row>
    <row r="2220" spans="1:7" ht="22.5" customHeight="1">
      <c r="A2220" s="236"/>
      <c r="B2220" s="18"/>
      <c r="C2220" s="18"/>
      <c r="D2220" s="213"/>
      <c r="E2220" s="237"/>
      <c r="F2220" s="18"/>
      <c r="G2220" s="18"/>
    </row>
    <row r="2221" spans="1:7" ht="22.5" customHeight="1">
      <c r="A2221" s="236"/>
      <c r="B2221" s="18"/>
      <c r="C2221" s="18"/>
      <c r="D2221" s="213"/>
      <c r="E2221" s="237"/>
      <c r="F2221" s="18"/>
      <c r="G2221" s="18"/>
    </row>
    <row r="2222" spans="1:7" ht="22.5" customHeight="1">
      <c r="A2222" s="236"/>
      <c r="B2222" s="18"/>
      <c r="C2222" s="18"/>
      <c r="D2222" s="213"/>
      <c r="E2222" s="237"/>
      <c r="F2222" s="18"/>
      <c r="G2222" s="18"/>
    </row>
    <row r="2223" spans="1:7" ht="22.5" customHeight="1">
      <c r="A2223" s="236"/>
      <c r="B2223" s="18"/>
      <c r="C2223" s="18"/>
      <c r="D2223" s="213"/>
      <c r="E2223" s="237"/>
      <c r="F2223" s="18"/>
      <c r="G2223" s="18"/>
    </row>
    <row r="2224" spans="1:7" ht="22.5" customHeight="1">
      <c r="A2224" s="236"/>
      <c r="B2224" s="18"/>
      <c r="C2224" s="18"/>
      <c r="D2224" s="213"/>
      <c r="E2224" s="237"/>
      <c r="F2224" s="18"/>
      <c r="G2224" s="18"/>
    </row>
    <row r="2225" spans="1:7" ht="22.5" customHeight="1">
      <c r="A2225" s="236"/>
      <c r="B2225" s="18"/>
      <c r="C2225" s="18"/>
      <c r="D2225" s="213"/>
      <c r="E2225" s="237"/>
      <c r="F2225" s="18"/>
      <c r="G2225" s="18"/>
    </row>
    <row r="2226" spans="1:7" ht="22.5" customHeight="1">
      <c r="A2226" s="236"/>
      <c r="B2226" s="18"/>
      <c r="C2226" s="18"/>
      <c r="D2226" s="213"/>
      <c r="E2226" s="237"/>
      <c r="F2226" s="18"/>
      <c r="G2226" s="18"/>
    </row>
    <row r="2227" spans="1:7" ht="22.5" customHeight="1">
      <c r="A2227" s="236"/>
      <c r="B2227" s="18"/>
      <c r="C2227" s="18"/>
      <c r="D2227" s="213"/>
      <c r="E2227" s="237"/>
      <c r="F2227" s="18"/>
      <c r="G2227" s="18"/>
    </row>
    <row r="2228" spans="1:7" ht="22.5" customHeight="1">
      <c r="A2228" s="236"/>
      <c r="B2228" s="18"/>
      <c r="C2228" s="18"/>
      <c r="D2228" s="213"/>
      <c r="E2228" s="237"/>
      <c r="F2228" s="18"/>
      <c r="G2228" s="18"/>
    </row>
    <row r="2229" spans="1:7" ht="22.5" customHeight="1">
      <c r="A2229" s="236"/>
      <c r="B2229" s="18"/>
      <c r="C2229" s="18"/>
      <c r="D2229" s="213"/>
      <c r="E2229" s="237"/>
      <c r="F2229" s="18"/>
      <c r="G2229" s="18"/>
    </row>
    <row r="2230" spans="1:7" ht="22.5" customHeight="1">
      <c r="A2230" s="236"/>
      <c r="B2230" s="18"/>
      <c r="C2230" s="18"/>
      <c r="D2230" s="213"/>
      <c r="E2230" s="237"/>
      <c r="F2230" s="18"/>
      <c r="G2230" s="18"/>
    </row>
    <row r="2231" spans="1:7" ht="22.5" customHeight="1">
      <c r="A2231" s="236"/>
      <c r="B2231" s="18"/>
      <c r="C2231" s="18"/>
      <c r="D2231" s="213"/>
      <c r="E2231" s="237"/>
      <c r="F2231" s="18"/>
      <c r="G2231" s="18"/>
    </row>
    <row r="2232" spans="1:7" ht="22.5" customHeight="1">
      <c r="A2232" s="236"/>
      <c r="B2232" s="18"/>
      <c r="C2232" s="18"/>
      <c r="D2232" s="213"/>
      <c r="E2232" s="237"/>
      <c r="F2232" s="18"/>
      <c r="G2232" s="18"/>
    </row>
    <row r="2233" spans="1:7" ht="22.5" customHeight="1">
      <c r="A2233" s="236"/>
      <c r="B2233" s="18"/>
      <c r="C2233" s="18"/>
      <c r="D2233" s="213"/>
      <c r="E2233" s="237"/>
      <c r="F2233" s="18"/>
      <c r="G2233" s="18"/>
    </row>
    <row r="2234" spans="1:7" ht="22.5" customHeight="1">
      <c r="A2234" s="236"/>
      <c r="B2234" s="18"/>
      <c r="C2234" s="18"/>
      <c r="D2234" s="213"/>
      <c r="E2234" s="237"/>
      <c r="F2234" s="18"/>
      <c r="G2234" s="18"/>
    </row>
    <row r="2235" spans="1:7" ht="22.5" customHeight="1">
      <c r="A2235" s="236"/>
      <c r="B2235" s="18"/>
      <c r="C2235" s="18"/>
      <c r="D2235" s="213"/>
      <c r="E2235" s="237"/>
      <c r="F2235" s="18"/>
      <c r="G2235" s="18"/>
    </row>
    <row r="2236" spans="1:7" ht="22.5" customHeight="1">
      <c r="A2236" s="236"/>
      <c r="B2236" s="18"/>
      <c r="C2236" s="18"/>
      <c r="D2236" s="213"/>
      <c r="E2236" s="237"/>
      <c r="F2236" s="18"/>
      <c r="G2236" s="18"/>
    </row>
    <row r="2237" spans="1:7" ht="22.5" customHeight="1">
      <c r="A2237" s="236"/>
      <c r="B2237" s="18"/>
      <c r="C2237" s="18"/>
      <c r="D2237" s="213"/>
      <c r="E2237" s="237"/>
      <c r="F2237" s="18"/>
      <c r="G2237" s="18"/>
    </row>
    <row r="2238" spans="1:7" ht="22.5" customHeight="1">
      <c r="A2238" s="236"/>
      <c r="B2238" s="18"/>
      <c r="C2238" s="18"/>
      <c r="D2238" s="213"/>
      <c r="E2238" s="237"/>
      <c r="F2238" s="18"/>
      <c r="G2238" s="18"/>
    </row>
    <row r="2239" spans="1:7" ht="22.5" customHeight="1">
      <c r="A2239" s="236"/>
      <c r="B2239" s="18"/>
      <c r="C2239" s="18"/>
      <c r="D2239" s="213"/>
      <c r="E2239" s="237"/>
      <c r="F2239" s="18"/>
      <c r="G2239" s="18"/>
    </row>
    <row r="2240" spans="1:7" ht="22.5" customHeight="1">
      <c r="A2240" s="236"/>
      <c r="B2240" s="18"/>
      <c r="C2240" s="18"/>
      <c r="D2240" s="213"/>
      <c r="E2240" s="237"/>
      <c r="F2240" s="18"/>
      <c r="G2240" s="18"/>
    </row>
    <row r="2241" spans="1:7" ht="22.5" customHeight="1">
      <c r="A2241" s="236"/>
      <c r="B2241" s="18"/>
      <c r="C2241" s="18"/>
      <c r="D2241" s="213"/>
      <c r="E2241" s="237"/>
      <c r="F2241" s="18"/>
      <c r="G2241" s="18"/>
    </row>
    <row r="2242" spans="1:7" ht="22.5" customHeight="1">
      <c r="A2242" s="236"/>
      <c r="B2242" s="18"/>
      <c r="C2242" s="18"/>
      <c r="D2242" s="213"/>
      <c r="E2242" s="237"/>
      <c r="F2242" s="18"/>
      <c r="G2242" s="18"/>
    </row>
    <row r="2243" spans="1:7" ht="22.5" customHeight="1">
      <c r="A2243" s="236"/>
      <c r="B2243" s="18"/>
      <c r="C2243" s="18"/>
      <c r="D2243" s="213"/>
      <c r="E2243" s="237"/>
      <c r="F2243" s="18"/>
      <c r="G2243" s="18"/>
    </row>
    <row r="2244" spans="1:7" ht="22.5" customHeight="1">
      <c r="A2244" s="236"/>
      <c r="B2244" s="18"/>
      <c r="C2244" s="18"/>
      <c r="D2244" s="213"/>
      <c r="E2244" s="237"/>
      <c r="F2244" s="18"/>
      <c r="G2244" s="18"/>
    </row>
    <row r="2245" spans="1:7" ht="22.5" customHeight="1">
      <c r="A2245" s="236"/>
      <c r="B2245" s="18"/>
      <c r="C2245" s="18"/>
      <c r="D2245" s="213"/>
      <c r="E2245" s="237"/>
      <c r="F2245" s="18"/>
      <c r="G2245" s="18"/>
    </row>
    <row r="2246" spans="1:7" ht="22.5" customHeight="1">
      <c r="A2246" s="236"/>
      <c r="B2246" s="18"/>
      <c r="C2246" s="18"/>
      <c r="D2246" s="213"/>
      <c r="E2246" s="237"/>
      <c r="F2246" s="18"/>
      <c r="G2246" s="18"/>
    </row>
    <row r="2247" spans="1:7" ht="22.5" customHeight="1">
      <c r="A2247" s="236"/>
      <c r="B2247" s="18"/>
      <c r="C2247" s="18"/>
      <c r="D2247" s="213"/>
      <c r="E2247" s="237"/>
      <c r="F2247" s="18"/>
      <c r="G2247" s="18"/>
    </row>
    <row r="2248" spans="1:7" ht="22.5" customHeight="1">
      <c r="A2248" s="236"/>
      <c r="B2248" s="18"/>
      <c r="C2248" s="18"/>
      <c r="D2248" s="213"/>
      <c r="E2248" s="237"/>
      <c r="F2248" s="18"/>
      <c r="G2248" s="18"/>
    </row>
    <row r="2249" spans="1:7" ht="22.5" customHeight="1">
      <c r="A2249" s="236"/>
      <c r="B2249" s="18"/>
      <c r="C2249" s="18"/>
      <c r="D2249" s="213"/>
      <c r="E2249" s="237"/>
      <c r="F2249" s="18"/>
      <c r="G2249" s="18"/>
    </row>
    <row r="2250" spans="1:7" ht="22.5" customHeight="1">
      <c r="A2250" s="236"/>
      <c r="B2250" s="18"/>
      <c r="C2250" s="18"/>
      <c r="D2250" s="213"/>
      <c r="E2250" s="237"/>
      <c r="F2250" s="18"/>
      <c r="G2250" s="18"/>
    </row>
    <row r="2251" spans="1:7" ht="22.5" customHeight="1">
      <c r="A2251" s="236"/>
      <c r="B2251" s="18"/>
      <c r="C2251" s="18"/>
      <c r="D2251" s="213"/>
      <c r="E2251" s="237"/>
      <c r="F2251" s="18"/>
      <c r="G2251" s="18"/>
    </row>
    <row r="2252" spans="1:7" ht="22.5" customHeight="1">
      <c r="A2252" s="236"/>
      <c r="B2252" s="18"/>
      <c r="C2252" s="18"/>
      <c r="D2252" s="213"/>
      <c r="E2252" s="237"/>
      <c r="F2252" s="18"/>
      <c r="G2252" s="18"/>
    </row>
    <row r="2253" spans="1:7" ht="22.5" customHeight="1">
      <c r="A2253" s="236"/>
      <c r="B2253" s="18"/>
      <c r="C2253" s="18"/>
      <c r="D2253" s="213"/>
      <c r="E2253" s="237"/>
      <c r="F2253" s="18"/>
      <c r="G2253" s="18"/>
    </row>
    <row r="2254" spans="1:7" ht="22.5" customHeight="1">
      <c r="A2254" s="236"/>
      <c r="B2254" s="18"/>
      <c r="C2254" s="18"/>
      <c r="D2254" s="213"/>
      <c r="E2254" s="237"/>
      <c r="F2254" s="18"/>
      <c r="G2254" s="18"/>
    </row>
    <row r="2255" spans="1:7" ht="22.5" customHeight="1">
      <c r="A2255" s="236"/>
      <c r="B2255" s="18"/>
      <c r="C2255" s="18"/>
      <c r="D2255" s="213"/>
      <c r="E2255" s="237"/>
      <c r="F2255" s="18"/>
      <c r="G2255" s="18"/>
    </row>
    <row r="2256" spans="1:7" ht="22.5" customHeight="1">
      <c r="A2256" s="236"/>
      <c r="B2256" s="18"/>
      <c r="C2256" s="18"/>
      <c r="D2256" s="213"/>
      <c r="E2256" s="237"/>
      <c r="F2256" s="18"/>
      <c r="G2256" s="18"/>
    </row>
    <row r="2257" spans="1:7" ht="22.5" customHeight="1">
      <c r="A2257" s="236"/>
      <c r="B2257" s="18"/>
      <c r="C2257" s="18"/>
      <c r="D2257" s="213"/>
      <c r="E2257" s="237"/>
      <c r="F2257" s="18"/>
      <c r="G2257" s="18"/>
    </row>
    <row r="2258" spans="1:7" ht="22.5" customHeight="1">
      <c r="A2258" s="236"/>
      <c r="B2258" s="18"/>
      <c r="C2258" s="18"/>
      <c r="D2258" s="213"/>
      <c r="E2258" s="237"/>
      <c r="F2258" s="18"/>
      <c r="G2258" s="18"/>
    </row>
    <row r="2259" spans="1:7" ht="22.5" customHeight="1">
      <c r="A2259" s="236"/>
      <c r="B2259" s="18"/>
      <c r="C2259" s="18"/>
      <c r="D2259" s="213"/>
      <c r="E2259" s="237"/>
      <c r="F2259" s="18"/>
      <c r="G2259" s="18"/>
    </row>
    <row r="2260" spans="1:7" ht="22.5" customHeight="1">
      <c r="A2260" s="236"/>
      <c r="B2260" s="18"/>
      <c r="C2260" s="18"/>
      <c r="D2260" s="213"/>
      <c r="E2260" s="237"/>
      <c r="F2260" s="18"/>
      <c r="G2260" s="18"/>
    </row>
    <row r="2261" spans="1:7" ht="22.5" customHeight="1">
      <c r="A2261" s="236"/>
      <c r="B2261" s="18"/>
      <c r="C2261" s="18"/>
      <c r="D2261" s="213"/>
      <c r="E2261" s="237"/>
      <c r="F2261" s="18"/>
      <c r="G2261" s="18"/>
    </row>
    <row r="2262" spans="1:7" ht="22.5" customHeight="1">
      <c r="A2262" s="236"/>
      <c r="B2262" s="18"/>
      <c r="C2262" s="18"/>
      <c r="D2262" s="213"/>
      <c r="E2262" s="237"/>
      <c r="F2262" s="18"/>
      <c r="G2262" s="18"/>
    </row>
    <row r="2263" spans="1:7" ht="22.5" customHeight="1">
      <c r="A2263" s="236"/>
      <c r="B2263" s="18"/>
      <c r="C2263" s="18"/>
      <c r="D2263" s="213"/>
      <c r="E2263" s="237"/>
      <c r="F2263" s="18"/>
      <c r="G2263" s="18"/>
    </row>
    <row r="2264" spans="1:7" ht="22.5" customHeight="1">
      <c r="A2264" s="236"/>
      <c r="B2264" s="18"/>
      <c r="C2264" s="18"/>
      <c r="D2264" s="213"/>
      <c r="E2264" s="237"/>
      <c r="F2264" s="18"/>
      <c r="G2264" s="18"/>
    </row>
    <row r="2265" spans="1:7" ht="22.5" customHeight="1">
      <c r="A2265" s="236"/>
      <c r="B2265" s="18"/>
      <c r="C2265" s="18"/>
      <c r="D2265" s="213"/>
      <c r="E2265" s="237"/>
      <c r="F2265" s="18"/>
      <c r="G2265" s="18"/>
    </row>
    <row r="2266" spans="1:7" ht="22.5" customHeight="1">
      <c r="A2266" s="236"/>
      <c r="B2266" s="18"/>
      <c r="C2266" s="18"/>
      <c r="D2266" s="213"/>
      <c r="E2266" s="237"/>
      <c r="F2266" s="18"/>
      <c r="G2266" s="18"/>
    </row>
    <row r="2267" spans="1:7" ht="22.5" customHeight="1">
      <c r="A2267" s="236"/>
      <c r="B2267" s="18"/>
      <c r="C2267" s="18"/>
      <c r="D2267" s="213"/>
      <c r="E2267" s="237"/>
      <c r="F2267" s="18"/>
      <c r="G2267" s="18"/>
    </row>
    <row r="2268" spans="1:7" ht="22.5" customHeight="1">
      <c r="A2268" s="236"/>
      <c r="B2268" s="18"/>
      <c r="C2268" s="18"/>
      <c r="D2268" s="213"/>
      <c r="E2268" s="237"/>
      <c r="F2268" s="18"/>
      <c r="G2268" s="18"/>
    </row>
    <row r="2269" spans="1:7" ht="22.5" customHeight="1">
      <c r="A2269" s="236"/>
      <c r="B2269" s="18"/>
      <c r="C2269" s="18"/>
      <c r="D2269" s="213"/>
      <c r="E2269" s="237"/>
      <c r="F2269" s="18"/>
      <c r="G2269" s="18"/>
    </row>
    <row r="2270" spans="1:7" ht="22.5" customHeight="1">
      <c r="A2270" s="236"/>
      <c r="B2270" s="18"/>
      <c r="C2270" s="18"/>
      <c r="D2270" s="213"/>
      <c r="E2270" s="237"/>
      <c r="F2270" s="18"/>
      <c r="G2270" s="18"/>
    </row>
    <row r="2271" spans="1:7" ht="22.5" customHeight="1">
      <c r="A2271" s="236"/>
      <c r="B2271" s="18"/>
      <c r="C2271" s="18"/>
      <c r="D2271" s="213"/>
      <c r="E2271" s="237"/>
      <c r="F2271" s="18"/>
      <c r="G2271" s="18"/>
    </row>
    <row r="2272" spans="1:7" ht="22.5" customHeight="1">
      <c r="A2272" s="236"/>
      <c r="B2272" s="18"/>
      <c r="C2272" s="18"/>
      <c r="D2272" s="213"/>
      <c r="E2272" s="237"/>
      <c r="F2272" s="18"/>
      <c r="G2272" s="18"/>
    </row>
    <row r="2273" spans="1:7" ht="22.5" customHeight="1">
      <c r="A2273" s="236"/>
      <c r="B2273" s="18"/>
      <c r="C2273" s="18"/>
      <c r="D2273" s="213"/>
      <c r="E2273" s="237"/>
      <c r="F2273" s="18"/>
      <c r="G2273" s="18"/>
    </row>
    <row r="2274" spans="1:7" ht="22.5" customHeight="1">
      <c r="A2274" s="236"/>
      <c r="B2274" s="18"/>
      <c r="C2274" s="18"/>
      <c r="D2274" s="213"/>
      <c r="E2274" s="237"/>
      <c r="F2274" s="18"/>
      <c r="G2274" s="18"/>
    </row>
    <row r="2275" spans="1:7" ht="22.5" customHeight="1">
      <c r="A2275" s="236"/>
      <c r="B2275" s="18"/>
      <c r="C2275" s="18"/>
      <c r="D2275" s="213"/>
      <c r="E2275" s="237"/>
      <c r="F2275" s="18"/>
      <c r="G2275" s="18"/>
    </row>
    <row r="2276" spans="1:7" ht="22.5" customHeight="1">
      <c r="A2276" s="236"/>
      <c r="B2276" s="18"/>
      <c r="C2276" s="18"/>
      <c r="D2276" s="213"/>
      <c r="E2276" s="237"/>
      <c r="F2276" s="18"/>
      <c r="G2276" s="18"/>
    </row>
    <row r="2277" spans="1:7" ht="22.5" customHeight="1">
      <c r="A2277" s="236"/>
      <c r="B2277" s="18"/>
      <c r="C2277" s="18"/>
      <c r="D2277" s="213"/>
      <c r="E2277" s="237"/>
      <c r="F2277" s="18"/>
      <c r="G2277" s="18"/>
    </row>
    <row r="2278" spans="1:7" ht="22.5" customHeight="1">
      <c r="A2278" s="236"/>
      <c r="B2278" s="18"/>
      <c r="C2278" s="18"/>
      <c r="D2278" s="213"/>
      <c r="E2278" s="237"/>
      <c r="F2278" s="18"/>
      <c r="G2278" s="18"/>
    </row>
    <row r="2279" spans="1:7" ht="22.5" customHeight="1">
      <c r="A2279" s="236"/>
      <c r="B2279" s="18"/>
      <c r="C2279" s="18"/>
      <c r="D2279" s="213"/>
      <c r="E2279" s="237"/>
      <c r="F2279" s="18"/>
      <c r="G2279" s="18"/>
    </row>
    <row r="2280" spans="1:7" ht="22.5" customHeight="1">
      <c r="A2280" s="236"/>
      <c r="B2280" s="18"/>
      <c r="C2280" s="18"/>
      <c r="D2280" s="213"/>
      <c r="E2280" s="237"/>
      <c r="F2280" s="18"/>
      <c r="G2280" s="18"/>
    </row>
    <row r="2281" spans="1:7" ht="22.5" customHeight="1">
      <c r="A2281" s="236"/>
      <c r="B2281" s="18"/>
      <c r="C2281" s="18"/>
      <c r="D2281" s="213"/>
      <c r="E2281" s="237"/>
      <c r="F2281" s="18"/>
      <c r="G2281" s="18"/>
    </row>
    <row r="2282" spans="1:7" ht="22.5" customHeight="1">
      <c r="A2282" s="236"/>
      <c r="B2282" s="18"/>
      <c r="C2282" s="18"/>
      <c r="D2282" s="213"/>
      <c r="E2282" s="237"/>
      <c r="F2282" s="18"/>
      <c r="G2282" s="18"/>
    </row>
    <row r="2283" spans="1:7" ht="22.5" customHeight="1">
      <c r="A2283" s="236"/>
      <c r="B2283" s="18"/>
      <c r="C2283" s="18"/>
      <c r="D2283" s="213"/>
      <c r="E2283" s="237"/>
      <c r="F2283" s="18"/>
      <c r="G2283" s="18"/>
    </row>
    <row r="2284" spans="1:7" ht="22.5" customHeight="1">
      <c r="A2284" s="236"/>
      <c r="B2284" s="18"/>
      <c r="C2284" s="18"/>
      <c r="D2284" s="213"/>
      <c r="E2284" s="237"/>
      <c r="F2284" s="18"/>
      <c r="G2284" s="18"/>
    </row>
    <row r="2285" spans="1:7" ht="22.5" customHeight="1">
      <c r="A2285" s="236"/>
      <c r="B2285" s="18"/>
      <c r="C2285" s="18"/>
      <c r="D2285" s="213"/>
      <c r="E2285" s="237"/>
      <c r="F2285" s="18"/>
      <c r="G2285" s="18"/>
    </row>
    <row r="2286" spans="1:7" ht="22.5" customHeight="1">
      <c r="A2286" s="236"/>
      <c r="B2286" s="18"/>
      <c r="C2286" s="18"/>
      <c r="D2286" s="213"/>
      <c r="E2286" s="237"/>
      <c r="F2286" s="18"/>
      <c r="G2286" s="18"/>
    </row>
    <row r="2287" spans="1:7" ht="22.5" customHeight="1">
      <c r="A2287" s="236"/>
      <c r="B2287" s="18"/>
      <c r="C2287" s="18"/>
      <c r="D2287" s="213"/>
      <c r="E2287" s="237"/>
      <c r="F2287" s="18"/>
      <c r="G2287" s="18"/>
    </row>
    <row r="2288" spans="1:7" ht="22.5" customHeight="1">
      <c r="A2288" s="236"/>
      <c r="B2288" s="18"/>
      <c r="C2288" s="18"/>
      <c r="D2288" s="213"/>
      <c r="E2288" s="237"/>
      <c r="F2288" s="18"/>
      <c r="G2288" s="18"/>
    </row>
    <row r="2289" spans="1:7" ht="22.5" customHeight="1">
      <c r="A2289" s="236"/>
      <c r="B2289" s="18"/>
      <c r="C2289" s="18"/>
      <c r="D2289" s="213"/>
      <c r="E2289" s="237"/>
      <c r="F2289" s="18"/>
      <c r="G2289" s="18"/>
    </row>
    <row r="2290" spans="1:7" ht="22.5" customHeight="1">
      <c r="A2290" s="236"/>
      <c r="B2290" s="18"/>
      <c r="C2290" s="18"/>
      <c r="D2290" s="213"/>
      <c r="E2290" s="237"/>
      <c r="F2290" s="18"/>
      <c r="G2290" s="18"/>
    </row>
    <row r="2291" spans="1:7" ht="22.5" customHeight="1">
      <c r="A2291" s="236"/>
      <c r="B2291" s="18"/>
      <c r="C2291" s="18"/>
      <c r="D2291" s="213"/>
      <c r="E2291" s="237"/>
      <c r="F2291" s="18"/>
      <c r="G2291" s="18"/>
    </row>
    <row r="2292" spans="1:7" ht="22.5" customHeight="1">
      <c r="A2292" s="236"/>
      <c r="B2292" s="18"/>
      <c r="C2292" s="18"/>
      <c r="D2292" s="213"/>
      <c r="E2292" s="237"/>
      <c r="F2292" s="18"/>
      <c r="G2292" s="18"/>
    </row>
    <row r="2293" spans="1:7" ht="22.5" customHeight="1">
      <c r="A2293" s="236"/>
      <c r="B2293" s="18"/>
      <c r="C2293" s="18"/>
      <c r="D2293" s="213"/>
      <c r="E2293" s="237"/>
      <c r="F2293" s="18"/>
      <c r="G2293" s="18"/>
    </row>
    <row r="2294" spans="1:7" ht="22.5" customHeight="1">
      <c r="A2294" s="236"/>
      <c r="B2294" s="18"/>
      <c r="C2294" s="18"/>
      <c r="D2294" s="213"/>
      <c r="E2294" s="237"/>
      <c r="F2294" s="18"/>
      <c r="G2294" s="18"/>
    </row>
    <row r="2295" spans="1:7" ht="22.5" customHeight="1">
      <c r="A2295" s="236"/>
      <c r="B2295" s="18"/>
      <c r="C2295" s="18"/>
      <c r="D2295" s="213"/>
      <c r="E2295" s="237"/>
      <c r="F2295" s="18"/>
      <c r="G2295" s="18"/>
    </row>
    <row r="2296" spans="1:7" ht="22.5" customHeight="1">
      <c r="A2296" s="236"/>
      <c r="B2296" s="18"/>
      <c r="C2296" s="18"/>
      <c r="D2296" s="213"/>
      <c r="E2296" s="237"/>
      <c r="F2296" s="18"/>
      <c r="G2296" s="18"/>
    </row>
    <row r="2297" spans="1:7" ht="22.5" customHeight="1">
      <c r="A2297" s="236"/>
      <c r="B2297" s="18"/>
      <c r="C2297" s="18"/>
      <c r="D2297" s="213"/>
      <c r="E2297" s="237"/>
      <c r="F2297" s="18"/>
      <c r="G2297" s="18"/>
    </row>
    <row r="2298" spans="1:7" ht="22.5" customHeight="1">
      <c r="A2298" s="236"/>
      <c r="B2298" s="18"/>
      <c r="C2298" s="18"/>
      <c r="D2298" s="213"/>
      <c r="E2298" s="237"/>
      <c r="F2298" s="18"/>
      <c r="G2298" s="18"/>
    </row>
    <row r="2299" spans="1:7" ht="22.5" customHeight="1">
      <c r="A2299" s="236"/>
      <c r="B2299" s="18"/>
      <c r="C2299" s="18"/>
      <c r="D2299" s="213"/>
      <c r="E2299" s="237"/>
      <c r="F2299" s="18"/>
      <c r="G2299" s="18"/>
    </row>
    <row r="2300" spans="1:7" ht="22.5" customHeight="1">
      <c r="A2300" s="236"/>
      <c r="B2300" s="18"/>
      <c r="C2300" s="18"/>
      <c r="D2300" s="213"/>
      <c r="E2300" s="237"/>
      <c r="F2300" s="18"/>
      <c r="G2300" s="18"/>
    </row>
    <row r="2301" spans="1:7" ht="22.5" customHeight="1">
      <c r="A2301" s="236"/>
      <c r="B2301" s="18"/>
      <c r="C2301" s="18"/>
      <c r="D2301" s="213"/>
      <c r="E2301" s="237"/>
      <c r="F2301" s="18"/>
      <c r="G2301" s="18"/>
    </row>
    <row r="2302" spans="1:7" ht="22.5" customHeight="1">
      <c r="A2302" s="236"/>
      <c r="B2302" s="18"/>
      <c r="C2302" s="18"/>
      <c r="D2302" s="213"/>
      <c r="E2302" s="237"/>
      <c r="F2302" s="18"/>
      <c r="G2302" s="18"/>
    </row>
    <row r="2303" spans="1:7" ht="22.5" customHeight="1">
      <c r="A2303" s="236"/>
      <c r="B2303" s="18"/>
      <c r="C2303" s="18"/>
      <c r="D2303" s="213"/>
      <c r="E2303" s="237"/>
      <c r="F2303" s="18"/>
      <c r="G2303" s="18"/>
    </row>
    <row r="2304" spans="1:7" ht="22.5" customHeight="1">
      <c r="A2304" s="236"/>
      <c r="B2304" s="18"/>
      <c r="C2304" s="18"/>
      <c r="D2304" s="213"/>
      <c r="E2304" s="237"/>
      <c r="F2304" s="18"/>
      <c r="G2304" s="18"/>
    </row>
    <row r="2305" spans="1:7" ht="22.5" customHeight="1">
      <c r="A2305" s="236"/>
      <c r="B2305" s="18"/>
      <c r="C2305" s="18"/>
      <c r="D2305" s="213"/>
      <c r="E2305" s="237"/>
      <c r="F2305" s="18"/>
      <c r="G2305" s="18"/>
    </row>
    <row r="2306" spans="1:7" ht="22.5" customHeight="1">
      <c r="A2306" s="236"/>
      <c r="B2306" s="18"/>
      <c r="C2306" s="18"/>
      <c r="D2306" s="213"/>
      <c r="E2306" s="237"/>
      <c r="F2306" s="18"/>
      <c r="G2306" s="18"/>
    </row>
    <row r="2307" spans="1:7" ht="22.5" customHeight="1">
      <c r="A2307" s="236"/>
      <c r="B2307" s="18"/>
      <c r="C2307" s="18"/>
      <c r="D2307" s="213"/>
      <c r="E2307" s="237"/>
      <c r="F2307" s="18"/>
      <c r="G2307" s="18"/>
    </row>
    <row r="2308" spans="1:7" ht="22.5" customHeight="1">
      <c r="A2308" s="236"/>
      <c r="B2308" s="18"/>
      <c r="C2308" s="18"/>
      <c r="D2308" s="213"/>
      <c r="E2308" s="237"/>
      <c r="F2308" s="18"/>
      <c r="G2308" s="18"/>
    </row>
    <row r="2309" spans="1:7" ht="22.5" customHeight="1">
      <c r="A2309" s="236"/>
      <c r="B2309" s="18"/>
      <c r="C2309" s="18"/>
      <c r="D2309" s="213"/>
      <c r="E2309" s="237"/>
      <c r="F2309" s="18"/>
      <c r="G2309" s="18"/>
    </row>
    <row r="2310" spans="1:7" ht="22.5" customHeight="1">
      <c r="A2310" s="236"/>
      <c r="B2310" s="18"/>
      <c r="C2310" s="18"/>
      <c r="D2310" s="213"/>
      <c r="E2310" s="237"/>
      <c r="F2310" s="18"/>
      <c r="G2310" s="18"/>
    </row>
    <row r="2311" spans="1:7" ht="22.5" customHeight="1">
      <c r="A2311" s="236"/>
      <c r="B2311" s="18"/>
      <c r="C2311" s="18"/>
      <c r="D2311" s="213"/>
      <c r="E2311" s="237"/>
      <c r="F2311" s="18"/>
      <c r="G2311" s="18"/>
    </row>
    <row r="2312" spans="1:7" ht="22.5" customHeight="1">
      <c r="A2312" s="236"/>
      <c r="B2312" s="18"/>
      <c r="C2312" s="18"/>
      <c r="D2312" s="213"/>
      <c r="E2312" s="237"/>
      <c r="F2312" s="18"/>
      <c r="G2312" s="18"/>
    </row>
    <row r="2313" spans="1:7" ht="22.5" customHeight="1">
      <c r="A2313" s="236"/>
      <c r="B2313" s="18"/>
      <c r="C2313" s="18"/>
      <c r="D2313" s="213"/>
      <c r="E2313" s="237"/>
      <c r="F2313" s="18"/>
      <c r="G2313" s="18"/>
    </row>
    <row r="2314" spans="1:7" ht="22.5" customHeight="1">
      <c r="A2314" s="236"/>
      <c r="B2314" s="18"/>
      <c r="C2314" s="18"/>
      <c r="D2314" s="213"/>
      <c r="E2314" s="237"/>
      <c r="F2314" s="18"/>
      <c r="G2314" s="18"/>
    </row>
    <row r="2315" spans="1:7" ht="22.5" customHeight="1">
      <c r="A2315" s="236"/>
      <c r="B2315" s="18"/>
      <c r="C2315" s="18"/>
      <c r="D2315" s="213"/>
      <c r="E2315" s="237"/>
      <c r="F2315" s="18"/>
      <c r="G2315" s="18"/>
    </row>
    <row r="2316" spans="1:7" ht="22.5" customHeight="1">
      <c r="A2316" s="236"/>
      <c r="B2316" s="18"/>
      <c r="C2316" s="18"/>
      <c r="D2316" s="213"/>
      <c r="E2316" s="237"/>
      <c r="F2316" s="18"/>
      <c r="G2316" s="18"/>
    </row>
    <row r="2317" spans="1:7" ht="22.5" customHeight="1">
      <c r="A2317" s="236"/>
      <c r="B2317" s="18"/>
      <c r="C2317" s="18"/>
      <c r="D2317" s="213"/>
      <c r="E2317" s="237"/>
      <c r="F2317" s="18"/>
      <c r="G2317" s="18"/>
    </row>
    <row r="2318" spans="1:7" ht="22.5" customHeight="1">
      <c r="A2318" s="236"/>
      <c r="B2318" s="18"/>
      <c r="C2318" s="18"/>
      <c r="D2318" s="213"/>
      <c r="E2318" s="237"/>
      <c r="F2318" s="18"/>
      <c r="G2318" s="18"/>
    </row>
    <row r="2319" spans="1:7" ht="22.5" customHeight="1">
      <c r="A2319" s="236"/>
      <c r="B2319" s="18"/>
      <c r="C2319" s="18"/>
      <c r="D2319" s="213"/>
      <c r="E2319" s="237"/>
      <c r="F2319" s="18"/>
      <c r="G2319" s="18"/>
    </row>
    <row r="2320" spans="1:7" ht="22.5" customHeight="1">
      <c r="A2320" s="236"/>
      <c r="B2320" s="18"/>
      <c r="C2320" s="18"/>
      <c r="D2320" s="213"/>
      <c r="E2320" s="237"/>
      <c r="F2320" s="18"/>
      <c r="G2320" s="18"/>
    </row>
    <row r="2321" spans="1:7" ht="22.5" customHeight="1">
      <c r="A2321" s="236"/>
      <c r="B2321" s="18"/>
      <c r="C2321" s="18"/>
      <c r="D2321" s="213"/>
      <c r="E2321" s="237"/>
      <c r="F2321" s="18"/>
      <c r="G2321" s="18"/>
    </row>
    <row r="2322" spans="1:7" ht="22.5" customHeight="1">
      <c r="A2322" s="236"/>
      <c r="B2322" s="18"/>
      <c r="C2322" s="18"/>
      <c r="D2322" s="213"/>
      <c r="E2322" s="237"/>
      <c r="F2322" s="18"/>
      <c r="G2322" s="18"/>
    </row>
    <row r="2323" spans="1:7" ht="22.5" customHeight="1">
      <c r="A2323" s="236"/>
      <c r="B2323" s="18"/>
      <c r="C2323" s="18"/>
      <c r="D2323" s="213"/>
      <c r="E2323" s="237"/>
      <c r="F2323" s="18"/>
      <c r="G2323" s="18"/>
    </row>
    <row r="2324" spans="1:7" ht="22.5" customHeight="1">
      <c r="A2324" s="236"/>
      <c r="B2324" s="18"/>
      <c r="C2324" s="18"/>
      <c r="D2324" s="213"/>
      <c r="E2324" s="237"/>
      <c r="F2324" s="18"/>
      <c r="G2324" s="18"/>
    </row>
    <row r="2325" spans="1:7" ht="22.5" customHeight="1">
      <c r="A2325" s="236"/>
      <c r="B2325" s="18"/>
      <c r="C2325" s="18"/>
      <c r="D2325" s="213"/>
      <c r="E2325" s="237"/>
      <c r="F2325" s="18"/>
      <c r="G2325" s="18"/>
    </row>
    <row r="2326" spans="1:7" ht="22.5" customHeight="1">
      <c r="A2326" s="236"/>
      <c r="B2326" s="18"/>
      <c r="C2326" s="18"/>
      <c r="D2326" s="213"/>
      <c r="E2326" s="237"/>
      <c r="F2326" s="18"/>
      <c r="G2326" s="18"/>
    </row>
    <row r="2327" spans="1:7" ht="22.5" customHeight="1">
      <c r="A2327" s="236"/>
      <c r="B2327" s="18"/>
      <c r="C2327" s="18"/>
      <c r="D2327" s="213"/>
      <c r="E2327" s="237"/>
      <c r="F2327" s="18"/>
      <c r="G2327" s="18"/>
    </row>
    <row r="2328" spans="1:7" ht="22.5" customHeight="1">
      <c r="A2328" s="236"/>
      <c r="B2328" s="18"/>
      <c r="C2328" s="18"/>
      <c r="D2328" s="213"/>
      <c r="E2328" s="237"/>
      <c r="F2328" s="18"/>
      <c r="G2328" s="18"/>
    </row>
    <row r="2329" spans="1:7" ht="22.5" customHeight="1">
      <c r="A2329" s="236"/>
      <c r="B2329" s="18"/>
      <c r="C2329" s="18"/>
      <c r="D2329" s="213"/>
      <c r="E2329" s="237"/>
      <c r="F2329" s="18"/>
      <c r="G2329" s="18"/>
    </row>
    <row r="2330" spans="1:7" ht="22.5" customHeight="1">
      <c r="A2330" s="236"/>
      <c r="B2330" s="18"/>
      <c r="C2330" s="18"/>
      <c r="D2330" s="213"/>
      <c r="E2330" s="237"/>
      <c r="F2330" s="18"/>
      <c r="G2330" s="18"/>
    </row>
    <row r="2331" spans="1:7" ht="22.5" customHeight="1">
      <c r="A2331" s="236"/>
      <c r="B2331" s="18"/>
      <c r="C2331" s="18"/>
      <c r="D2331" s="213"/>
      <c r="E2331" s="237"/>
      <c r="F2331" s="18"/>
      <c r="G2331" s="18"/>
    </row>
    <row r="2332" spans="1:7" ht="22.5" customHeight="1">
      <c r="A2332" s="236"/>
      <c r="B2332" s="18"/>
      <c r="C2332" s="18"/>
      <c r="D2332" s="213"/>
      <c r="E2332" s="237"/>
      <c r="F2332" s="18"/>
      <c r="G2332" s="18"/>
    </row>
    <row r="2333" spans="1:7" ht="22.5" customHeight="1">
      <c r="A2333" s="236"/>
      <c r="B2333" s="18"/>
      <c r="C2333" s="18"/>
      <c r="D2333" s="213"/>
      <c r="E2333" s="237"/>
      <c r="F2333" s="18"/>
      <c r="G2333" s="18"/>
    </row>
    <row r="2334" spans="1:7" ht="22.5" customHeight="1">
      <c r="A2334" s="236"/>
      <c r="B2334" s="18"/>
      <c r="C2334" s="18"/>
      <c r="D2334" s="213"/>
      <c r="E2334" s="237"/>
      <c r="F2334" s="18"/>
      <c r="G2334" s="18"/>
    </row>
    <row r="2335" spans="1:7" ht="22.5" customHeight="1">
      <c r="A2335" s="236"/>
      <c r="B2335" s="18"/>
      <c r="C2335" s="18"/>
      <c r="D2335" s="213"/>
      <c r="E2335" s="237"/>
      <c r="F2335" s="18"/>
      <c r="G2335" s="18"/>
    </row>
    <row r="2336" spans="1:7" ht="22.5" customHeight="1">
      <c r="A2336" s="236"/>
      <c r="B2336" s="18"/>
      <c r="C2336" s="18"/>
      <c r="D2336" s="213"/>
      <c r="E2336" s="237"/>
      <c r="F2336" s="18"/>
      <c r="G2336" s="18"/>
    </row>
    <row r="2337" spans="1:7" ht="22.5" customHeight="1">
      <c r="A2337" s="236"/>
      <c r="B2337" s="18"/>
      <c r="C2337" s="18"/>
      <c r="D2337" s="213"/>
      <c r="E2337" s="237"/>
      <c r="F2337" s="18"/>
      <c r="G2337" s="18"/>
    </row>
    <row r="2338" spans="1:7" ht="22.5" customHeight="1">
      <c r="A2338" s="236"/>
      <c r="B2338" s="18"/>
      <c r="C2338" s="18"/>
      <c r="D2338" s="213"/>
      <c r="E2338" s="237"/>
      <c r="F2338" s="18"/>
      <c r="G2338" s="18"/>
    </row>
    <row r="2339" spans="1:7" ht="22.5" customHeight="1">
      <c r="A2339" s="236"/>
      <c r="B2339" s="18"/>
      <c r="C2339" s="18"/>
      <c r="D2339" s="213"/>
      <c r="E2339" s="237"/>
      <c r="F2339" s="18"/>
      <c r="G2339" s="18"/>
    </row>
    <row r="2340" spans="1:7" ht="22.5" customHeight="1">
      <c r="A2340" s="236"/>
      <c r="B2340" s="18"/>
      <c r="C2340" s="18"/>
      <c r="D2340" s="213"/>
      <c r="E2340" s="237"/>
      <c r="F2340" s="18"/>
      <c r="G2340" s="18"/>
    </row>
    <row r="2341" spans="1:7" ht="22.5" customHeight="1">
      <c r="A2341" s="236"/>
      <c r="B2341" s="18"/>
      <c r="C2341" s="18"/>
      <c r="D2341" s="213"/>
      <c r="E2341" s="237"/>
      <c r="F2341" s="18"/>
      <c r="G2341" s="18"/>
    </row>
    <row r="2342" spans="1:7" ht="22.5" customHeight="1">
      <c r="A2342" s="236"/>
      <c r="B2342" s="18"/>
      <c r="C2342" s="18"/>
      <c r="D2342" s="213"/>
      <c r="E2342" s="237"/>
      <c r="F2342" s="18"/>
      <c r="G2342" s="18"/>
    </row>
    <row r="2343" spans="1:7" ht="22.5" customHeight="1">
      <c r="A2343" s="236"/>
      <c r="B2343" s="18"/>
      <c r="C2343" s="18"/>
      <c r="D2343" s="213"/>
      <c r="E2343" s="237"/>
      <c r="F2343" s="18"/>
      <c r="G2343" s="18"/>
    </row>
    <row r="2344" spans="1:7" ht="22.5" customHeight="1">
      <c r="A2344" s="236"/>
      <c r="B2344" s="18"/>
      <c r="C2344" s="18"/>
      <c r="D2344" s="213"/>
      <c r="E2344" s="237"/>
      <c r="F2344" s="18"/>
      <c r="G2344" s="18"/>
    </row>
    <row r="2345" spans="1:7" ht="22.5" customHeight="1">
      <c r="A2345" s="236"/>
      <c r="B2345" s="18"/>
      <c r="C2345" s="18"/>
      <c r="D2345" s="213"/>
      <c r="E2345" s="237"/>
      <c r="F2345" s="18"/>
      <c r="G2345" s="18"/>
    </row>
    <row r="2346" spans="1:7" ht="22.5" customHeight="1">
      <c r="A2346" s="236"/>
      <c r="B2346" s="18"/>
      <c r="C2346" s="18"/>
      <c r="D2346" s="213"/>
      <c r="E2346" s="237"/>
      <c r="F2346" s="18"/>
      <c r="G2346" s="18"/>
    </row>
    <row r="2347" spans="1:7" ht="22.5" customHeight="1">
      <c r="A2347" s="236"/>
      <c r="B2347" s="18"/>
      <c r="C2347" s="18"/>
      <c r="D2347" s="213"/>
      <c r="E2347" s="237"/>
      <c r="F2347" s="18"/>
      <c r="G2347" s="18"/>
    </row>
    <row r="2348" spans="1:7" ht="22.5" customHeight="1">
      <c r="A2348" s="236"/>
      <c r="B2348" s="18"/>
      <c r="C2348" s="18"/>
      <c r="D2348" s="213"/>
      <c r="E2348" s="237"/>
      <c r="F2348" s="18"/>
      <c r="G2348" s="18"/>
    </row>
    <row r="2349" spans="1:7" ht="22.5" customHeight="1">
      <c r="A2349" s="236"/>
      <c r="B2349" s="18"/>
      <c r="C2349" s="18"/>
      <c r="D2349" s="213"/>
      <c r="E2349" s="237"/>
      <c r="F2349" s="18"/>
      <c r="G2349" s="18"/>
    </row>
    <row r="2350" spans="1:7" ht="22.5" customHeight="1">
      <c r="A2350" s="236"/>
      <c r="B2350" s="18"/>
      <c r="C2350" s="18"/>
      <c r="D2350" s="213"/>
      <c r="E2350" s="237"/>
      <c r="F2350" s="18"/>
      <c r="G2350" s="18"/>
    </row>
    <row r="2351" spans="1:7" ht="22.5" customHeight="1">
      <c r="A2351" s="236"/>
      <c r="B2351" s="18"/>
      <c r="C2351" s="18"/>
      <c r="D2351" s="213"/>
      <c r="E2351" s="237"/>
      <c r="F2351" s="18"/>
      <c r="G2351" s="18"/>
    </row>
    <row r="2352" spans="1:7" ht="22.5" customHeight="1">
      <c r="A2352" s="236"/>
      <c r="B2352" s="18"/>
      <c r="C2352" s="18"/>
      <c r="D2352" s="213"/>
      <c r="E2352" s="237"/>
      <c r="F2352" s="18"/>
      <c r="G2352" s="18"/>
    </row>
    <row r="2353" spans="1:7" ht="22.5" customHeight="1">
      <c r="A2353" s="236"/>
      <c r="B2353" s="18"/>
      <c r="C2353" s="18"/>
      <c r="D2353" s="213"/>
      <c r="E2353" s="237"/>
      <c r="F2353" s="18"/>
      <c r="G2353" s="18"/>
    </row>
    <row r="2354" spans="1:7" ht="22.5" customHeight="1">
      <c r="A2354" s="236"/>
      <c r="B2354" s="18"/>
      <c r="C2354" s="18"/>
      <c r="D2354" s="213"/>
      <c r="E2354" s="237"/>
      <c r="F2354" s="18"/>
      <c r="G2354" s="18"/>
    </row>
    <row r="2355" spans="1:7" ht="22.5" customHeight="1">
      <c r="A2355" s="236"/>
      <c r="B2355" s="18"/>
      <c r="C2355" s="18"/>
      <c r="D2355" s="213"/>
      <c r="E2355" s="237"/>
      <c r="F2355" s="18"/>
      <c r="G2355" s="18"/>
    </row>
    <row r="2356" spans="1:7" ht="22.5" customHeight="1">
      <c r="A2356" s="236"/>
      <c r="B2356" s="18"/>
      <c r="C2356" s="18"/>
      <c r="D2356" s="213"/>
      <c r="E2356" s="237"/>
      <c r="F2356" s="18"/>
      <c r="G2356" s="18"/>
    </row>
    <row r="2357" spans="1:7" ht="22.5" customHeight="1">
      <c r="A2357" s="236"/>
      <c r="B2357" s="18"/>
      <c r="C2357" s="18"/>
      <c r="D2357" s="213"/>
      <c r="E2357" s="237"/>
      <c r="F2357" s="18"/>
      <c r="G2357" s="18"/>
    </row>
    <row r="2358" spans="1:7" ht="22.5" customHeight="1">
      <c r="A2358" s="236"/>
      <c r="B2358" s="18"/>
      <c r="C2358" s="18"/>
      <c r="D2358" s="213"/>
      <c r="E2358" s="237"/>
      <c r="F2358" s="18"/>
      <c r="G2358" s="18"/>
    </row>
    <row r="2359" spans="1:7" ht="22.5" customHeight="1">
      <c r="A2359" s="236"/>
      <c r="B2359" s="18"/>
      <c r="C2359" s="18"/>
      <c r="D2359" s="213"/>
      <c r="E2359" s="237"/>
      <c r="F2359" s="18"/>
      <c r="G2359" s="18"/>
    </row>
    <row r="2360" spans="1:7" ht="22.5" customHeight="1">
      <c r="A2360" s="236"/>
      <c r="B2360" s="18"/>
      <c r="C2360" s="18"/>
      <c r="D2360" s="213"/>
      <c r="E2360" s="237"/>
      <c r="F2360" s="18"/>
      <c r="G2360" s="18"/>
    </row>
    <row r="2361" spans="1:7" ht="22.5" customHeight="1">
      <c r="A2361" s="236"/>
      <c r="B2361" s="18"/>
      <c r="C2361" s="18"/>
      <c r="D2361" s="213"/>
      <c r="E2361" s="237"/>
      <c r="F2361" s="18"/>
      <c r="G2361" s="18"/>
    </row>
    <row r="2362" spans="1:7" ht="22.5" customHeight="1">
      <c r="A2362" s="236"/>
      <c r="B2362" s="18"/>
      <c r="C2362" s="18"/>
      <c r="D2362" s="213"/>
      <c r="E2362" s="237"/>
      <c r="F2362" s="18"/>
      <c r="G2362" s="18"/>
    </row>
    <row r="2363" spans="1:7" ht="22.5" customHeight="1">
      <c r="A2363" s="236"/>
      <c r="B2363" s="18"/>
      <c r="C2363" s="18"/>
      <c r="D2363" s="213"/>
      <c r="E2363" s="237"/>
      <c r="F2363" s="18"/>
      <c r="G2363" s="18"/>
    </row>
    <row r="2364" spans="1:7" ht="22.5" customHeight="1">
      <c r="A2364" s="236"/>
      <c r="B2364" s="18"/>
      <c r="C2364" s="18"/>
      <c r="D2364" s="213"/>
      <c r="E2364" s="237"/>
      <c r="F2364" s="18"/>
      <c r="G2364" s="18"/>
    </row>
    <row r="2365" spans="1:7" ht="22.5" customHeight="1">
      <c r="A2365" s="236"/>
      <c r="B2365" s="18"/>
      <c r="C2365" s="18"/>
      <c r="D2365" s="213"/>
      <c r="E2365" s="237"/>
      <c r="F2365" s="18"/>
      <c r="G2365" s="18"/>
    </row>
    <row r="2366" spans="1:7" ht="22.5" customHeight="1">
      <c r="A2366" s="236"/>
      <c r="B2366" s="18"/>
      <c r="C2366" s="18"/>
      <c r="D2366" s="213"/>
      <c r="E2366" s="237"/>
      <c r="F2366" s="18"/>
      <c r="G2366" s="18"/>
    </row>
    <row r="2367" spans="1:7" ht="22.5" customHeight="1">
      <c r="A2367" s="236"/>
      <c r="B2367" s="18"/>
      <c r="C2367" s="18"/>
      <c r="D2367" s="213"/>
      <c r="E2367" s="237"/>
      <c r="F2367" s="18"/>
      <c r="G2367" s="18"/>
    </row>
    <row r="2368" spans="1:7" ht="22.5" customHeight="1">
      <c r="A2368" s="236"/>
      <c r="B2368" s="18"/>
      <c r="C2368" s="18"/>
      <c r="D2368" s="213"/>
      <c r="E2368" s="237"/>
      <c r="F2368" s="18"/>
      <c r="G2368" s="18"/>
    </row>
    <row r="2369" spans="1:7" ht="22.5" customHeight="1">
      <c r="A2369" s="236"/>
      <c r="B2369" s="18"/>
      <c r="C2369" s="18"/>
      <c r="D2369" s="213"/>
      <c r="E2369" s="237"/>
      <c r="F2369" s="18"/>
      <c r="G2369" s="18"/>
    </row>
    <row r="2370" spans="1:7" ht="22.5" customHeight="1">
      <c r="A2370" s="236"/>
      <c r="B2370" s="18"/>
      <c r="C2370" s="18"/>
      <c r="D2370" s="213"/>
      <c r="E2370" s="237"/>
      <c r="F2370" s="18"/>
      <c r="G2370" s="18"/>
    </row>
    <row r="2371" spans="1:7" ht="22.5" customHeight="1">
      <c r="A2371" s="236"/>
      <c r="B2371" s="18"/>
      <c r="C2371" s="18"/>
      <c r="D2371" s="213"/>
      <c r="E2371" s="237"/>
      <c r="F2371" s="18"/>
      <c r="G2371" s="18"/>
    </row>
    <row r="2372" spans="1:7" ht="22.5" customHeight="1">
      <c r="A2372" s="236"/>
      <c r="B2372" s="18"/>
      <c r="C2372" s="18"/>
      <c r="D2372" s="213"/>
      <c r="E2372" s="237"/>
      <c r="F2372" s="18"/>
      <c r="G2372" s="18"/>
    </row>
    <row r="2373" spans="1:7" ht="22.5" customHeight="1">
      <c r="A2373" s="236"/>
      <c r="B2373" s="18"/>
      <c r="C2373" s="18"/>
      <c r="D2373" s="213"/>
      <c r="E2373" s="237"/>
      <c r="F2373" s="18"/>
      <c r="G2373" s="18"/>
    </row>
    <row r="2374" spans="1:7" ht="22.5" customHeight="1">
      <c r="A2374" s="236"/>
      <c r="B2374" s="18"/>
      <c r="C2374" s="18"/>
      <c r="D2374" s="213"/>
      <c r="E2374" s="237"/>
      <c r="F2374" s="18"/>
      <c r="G2374" s="18"/>
    </row>
    <row r="2375" spans="1:7" ht="22.5" customHeight="1">
      <c r="A2375" s="236"/>
      <c r="B2375" s="18"/>
      <c r="C2375" s="18"/>
      <c r="D2375" s="213"/>
      <c r="E2375" s="237"/>
      <c r="F2375" s="18"/>
      <c r="G2375" s="18"/>
    </row>
    <row r="2376" spans="1:7" ht="22.5" customHeight="1">
      <c r="A2376" s="236"/>
      <c r="B2376" s="18"/>
      <c r="C2376" s="18"/>
      <c r="D2376" s="213"/>
      <c r="E2376" s="237"/>
      <c r="F2376" s="18"/>
      <c r="G2376" s="18"/>
    </row>
    <row r="2377" spans="1:7" ht="22.5" customHeight="1">
      <c r="A2377" s="236"/>
      <c r="B2377" s="18"/>
      <c r="C2377" s="18"/>
      <c r="D2377" s="213"/>
      <c r="E2377" s="237"/>
      <c r="F2377" s="18"/>
      <c r="G2377" s="18"/>
    </row>
    <row r="2378" spans="1:7" ht="22.5" customHeight="1">
      <c r="A2378" s="236"/>
      <c r="B2378" s="18"/>
      <c r="C2378" s="18"/>
      <c r="D2378" s="213"/>
      <c r="E2378" s="237"/>
      <c r="F2378" s="18"/>
      <c r="G2378" s="18"/>
    </row>
    <row r="2379" spans="1:7" ht="22.5" customHeight="1">
      <c r="A2379" s="236"/>
      <c r="B2379" s="18"/>
      <c r="C2379" s="18"/>
      <c r="D2379" s="213"/>
      <c r="E2379" s="237"/>
      <c r="F2379" s="18"/>
      <c r="G2379" s="18"/>
    </row>
    <row r="2380" spans="1:7" ht="22.5" customHeight="1">
      <c r="A2380" s="236"/>
      <c r="B2380" s="18"/>
      <c r="C2380" s="18"/>
      <c r="D2380" s="213"/>
      <c r="E2380" s="237"/>
      <c r="F2380" s="18"/>
      <c r="G2380" s="18"/>
    </row>
    <row r="2381" spans="1:7" ht="22.5" customHeight="1">
      <c r="A2381" s="236"/>
      <c r="B2381" s="18"/>
      <c r="C2381" s="18"/>
      <c r="D2381" s="213"/>
      <c r="E2381" s="237"/>
      <c r="F2381" s="18"/>
      <c r="G2381" s="18"/>
    </row>
    <row r="2382" spans="1:7" ht="22.5" customHeight="1">
      <c r="A2382" s="236"/>
      <c r="B2382" s="18"/>
      <c r="C2382" s="18"/>
      <c r="D2382" s="213"/>
      <c r="E2382" s="237"/>
      <c r="F2382" s="18"/>
      <c r="G2382" s="18"/>
    </row>
    <row r="2383" spans="1:7" ht="22.5" customHeight="1">
      <c r="A2383" s="236"/>
      <c r="B2383" s="18"/>
      <c r="C2383" s="18"/>
      <c r="D2383" s="213"/>
      <c r="E2383" s="237"/>
      <c r="F2383" s="18"/>
      <c r="G2383" s="18"/>
    </row>
    <row r="2384" spans="1:7" ht="22.5" customHeight="1">
      <c r="A2384" s="236"/>
      <c r="B2384" s="18"/>
      <c r="C2384" s="18"/>
      <c r="D2384" s="213"/>
      <c r="E2384" s="237"/>
      <c r="F2384" s="18"/>
      <c r="G2384" s="18"/>
    </row>
    <row r="2385" spans="1:7" ht="22.5" customHeight="1">
      <c r="A2385" s="236"/>
      <c r="B2385" s="18"/>
      <c r="C2385" s="18"/>
      <c r="D2385" s="213"/>
      <c r="E2385" s="237"/>
      <c r="F2385" s="18"/>
      <c r="G2385" s="18"/>
    </row>
    <row r="2386" spans="1:7" ht="22.5" customHeight="1">
      <c r="A2386" s="236"/>
      <c r="B2386" s="18"/>
      <c r="C2386" s="18"/>
      <c r="D2386" s="213"/>
      <c r="E2386" s="237"/>
      <c r="F2386" s="18"/>
      <c r="G2386" s="18"/>
    </row>
    <row r="2387" spans="1:7" ht="22.5" customHeight="1">
      <c r="A2387" s="236"/>
      <c r="B2387" s="18"/>
      <c r="C2387" s="18"/>
      <c r="D2387" s="213"/>
      <c r="E2387" s="237"/>
      <c r="F2387" s="18"/>
      <c r="G2387" s="18"/>
    </row>
    <row r="2388" spans="1:7" ht="22.5" customHeight="1">
      <c r="A2388" s="236"/>
      <c r="B2388" s="18"/>
      <c r="C2388" s="18"/>
      <c r="D2388" s="213"/>
      <c r="E2388" s="237"/>
      <c r="F2388" s="18"/>
      <c r="G2388" s="18"/>
    </row>
    <row r="2389" spans="1:7" ht="22.5" customHeight="1">
      <c r="A2389" s="236"/>
      <c r="B2389" s="18"/>
      <c r="C2389" s="18"/>
      <c r="D2389" s="213"/>
      <c r="E2389" s="237"/>
      <c r="F2389" s="18"/>
      <c r="G2389" s="18"/>
    </row>
    <row r="2390" spans="1:7" ht="22.5" customHeight="1">
      <c r="A2390" s="236"/>
      <c r="B2390" s="18"/>
      <c r="C2390" s="18"/>
      <c r="D2390" s="213"/>
      <c r="E2390" s="237"/>
      <c r="F2390" s="18"/>
      <c r="G2390" s="18"/>
    </row>
    <row r="2391" spans="1:7" ht="22.5" customHeight="1">
      <c r="A2391" s="236"/>
      <c r="B2391" s="18"/>
      <c r="C2391" s="18"/>
      <c r="D2391" s="213"/>
      <c r="E2391" s="237"/>
      <c r="F2391" s="18"/>
      <c r="G2391" s="18"/>
    </row>
    <row r="2392" spans="1:7" ht="22.5" customHeight="1">
      <c r="A2392" s="236"/>
      <c r="B2392" s="18"/>
      <c r="C2392" s="18"/>
      <c r="D2392" s="213"/>
      <c r="E2392" s="237"/>
      <c r="F2392" s="18"/>
      <c r="G2392" s="18"/>
    </row>
    <row r="2393" spans="1:7" ht="22.5" customHeight="1">
      <c r="A2393" s="236"/>
      <c r="B2393" s="18"/>
      <c r="C2393" s="18"/>
      <c r="D2393" s="213"/>
      <c r="E2393" s="237"/>
      <c r="F2393" s="18"/>
      <c r="G2393" s="18"/>
    </row>
    <row r="2394" spans="1:7" ht="22.5" customHeight="1">
      <c r="A2394" s="236"/>
      <c r="B2394" s="18"/>
      <c r="C2394" s="18"/>
      <c r="D2394" s="213"/>
      <c r="E2394" s="237"/>
      <c r="F2394" s="18"/>
      <c r="G2394" s="18"/>
    </row>
    <row r="2395" spans="1:7" ht="22.5" customHeight="1">
      <c r="A2395" s="236"/>
      <c r="B2395" s="18"/>
      <c r="C2395" s="18"/>
      <c r="D2395" s="213"/>
      <c r="E2395" s="237"/>
      <c r="F2395" s="18"/>
      <c r="G2395" s="18"/>
    </row>
    <row r="2396" spans="1:7" ht="22.5" customHeight="1">
      <c r="A2396" s="236"/>
      <c r="B2396" s="18"/>
      <c r="C2396" s="18"/>
      <c r="D2396" s="213"/>
      <c r="E2396" s="237"/>
      <c r="F2396" s="18"/>
      <c r="G2396" s="18"/>
    </row>
    <row r="2397" spans="1:7" ht="22.5" customHeight="1">
      <c r="A2397" s="236"/>
      <c r="B2397" s="18"/>
      <c r="C2397" s="18"/>
      <c r="D2397" s="213"/>
      <c r="E2397" s="237"/>
      <c r="F2397" s="18"/>
      <c r="G2397" s="18"/>
    </row>
    <row r="2398" spans="1:7" ht="22.5" customHeight="1">
      <c r="A2398" s="236"/>
      <c r="B2398" s="18"/>
      <c r="C2398" s="18"/>
      <c r="D2398" s="213"/>
      <c r="E2398" s="237"/>
      <c r="F2398" s="18"/>
      <c r="G2398" s="18"/>
    </row>
    <row r="2399" spans="1:7" ht="22.5" customHeight="1">
      <c r="A2399" s="236"/>
      <c r="B2399" s="18"/>
      <c r="C2399" s="18"/>
      <c r="D2399" s="213"/>
      <c r="E2399" s="237"/>
      <c r="F2399" s="18"/>
      <c r="G2399" s="18"/>
    </row>
    <row r="2400" spans="1:7" ht="22.5" customHeight="1">
      <c r="A2400" s="236"/>
      <c r="B2400" s="18"/>
      <c r="C2400" s="18"/>
      <c r="D2400" s="213"/>
      <c r="E2400" s="237"/>
      <c r="F2400" s="18"/>
      <c r="G2400" s="18"/>
    </row>
    <row r="2401" spans="1:7" ht="22.5" customHeight="1">
      <c r="A2401" s="236"/>
      <c r="B2401" s="18"/>
      <c r="C2401" s="18"/>
      <c r="D2401" s="213"/>
      <c r="E2401" s="237"/>
      <c r="F2401" s="18"/>
      <c r="G2401" s="18"/>
    </row>
    <row r="2402" spans="1:7" ht="22.5" customHeight="1">
      <c r="A2402" s="236"/>
      <c r="B2402" s="18"/>
      <c r="C2402" s="18"/>
      <c r="D2402" s="213"/>
      <c r="E2402" s="237"/>
      <c r="F2402" s="18"/>
      <c r="G2402" s="18"/>
    </row>
    <row r="2403" spans="1:7" ht="22.5" customHeight="1">
      <c r="A2403" s="236"/>
      <c r="B2403" s="18"/>
      <c r="C2403" s="18"/>
      <c r="D2403" s="213"/>
      <c r="E2403" s="237"/>
      <c r="F2403" s="18"/>
      <c r="G2403" s="18"/>
    </row>
    <row r="2404" spans="1:7" ht="22.5" customHeight="1">
      <c r="A2404" s="236"/>
      <c r="B2404" s="18"/>
      <c r="C2404" s="18"/>
      <c r="D2404" s="213"/>
      <c r="E2404" s="237"/>
      <c r="F2404" s="18"/>
      <c r="G2404" s="18"/>
    </row>
    <row r="2405" spans="1:7" ht="22.5" customHeight="1">
      <c r="A2405" s="236"/>
      <c r="B2405" s="18"/>
      <c r="C2405" s="18"/>
      <c r="D2405" s="213"/>
      <c r="E2405" s="237"/>
      <c r="F2405" s="18"/>
      <c r="G2405" s="18"/>
    </row>
    <row r="2406" spans="1:7" ht="22.5" customHeight="1">
      <c r="A2406" s="236"/>
      <c r="B2406" s="18"/>
      <c r="C2406" s="18"/>
      <c r="D2406" s="213"/>
      <c r="E2406" s="237"/>
      <c r="F2406" s="18"/>
      <c r="G2406" s="18"/>
    </row>
    <row r="2407" spans="1:7" ht="22.5" customHeight="1">
      <c r="A2407" s="236"/>
      <c r="B2407" s="18"/>
      <c r="C2407" s="18"/>
      <c r="D2407" s="213"/>
      <c r="E2407" s="237"/>
      <c r="F2407" s="18"/>
      <c r="G2407" s="18"/>
    </row>
    <row r="2408" spans="1:7" ht="22.5" customHeight="1">
      <c r="A2408" s="236"/>
      <c r="B2408" s="18"/>
      <c r="C2408" s="18"/>
      <c r="D2408" s="213"/>
      <c r="E2408" s="237"/>
      <c r="F2408" s="18"/>
      <c r="G2408" s="18"/>
    </row>
    <row r="2409" spans="1:7" ht="22.5" customHeight="1">
      <c r="A2409" s="236"/>
      <c r="B2409" s="18"/>
      <c r="C2409" s="18"/>
      <c r="D2409" s="213"/>
      <c r="E2409" s="237"/>
      <c r="F2409" s="18"/>
      <c r="G2409" s="18"/>
    </row>
    <row r="2410" spans="1:7" ht="22.5" customHeight="1">
      <c r="A2410" s="236"/>
      <c r="B2410" s="18"/>
      <c r="C2410" s="18"/>
      <c r="D2410" s="213"/>
      <c r="E2410" s="237"/>
      <c r="F2410" s="18"/>
      <c r="G2410" s="18"/>
    </row>
    <row r="2411" spans="1:7" ht="22.5" customHeight="1">
      <c r="A2411" s="236"/>
      <c r="B2411" s="18"/>
      <c r="C2411" s="18"/>
      <c r="D2411" s="213"/>
      <c r="E2411" s="237"/>
      <c r="F2411" s="18"/>
      <c r="G2411" s="18"/>
    </row>
    <row r="2412" spans="1:7" ht="22.5" customHeight="1">
      <c r="A2412" s="236"/>
      <c r="B2412" s="18"/>
      <c r="C2412" s="18"/>
      <c r="D2412" s="213"/>
      <c r="E2412" s="237"/>
      <c r="F2412" s="18"/>
      <c r="G2412" s="18"/>
    </row>
    <row r="2413" spans="1:7" ht="22.5" customHeight="1">
      <c r="A2413" s="236"/>
      <c r="B2413" s="18"/>
      <c r="C2413" s="18"/>
      <c r="D2413" s="213"/>
      <c r="E2413" s="237"/>
      <c r="F2413" s="18"/>
      <c r="G2413" s="18"/>
    </row>
    <row r="2414" spans="1:7" ht="22.5" customHeight="1">
      <c r="A2414" s="236"/>
      <c r="B2414" s="18"/>
      <c r="C2414" s="18"/>
      <c r="D2414" s="213"/>
      <c r="E2414" s="237"/>
      <c r="F2414" s="18"/>
      <c r="G2414" s="18"/>
    </row>
    <row r="2415" spans="1:7" ht="22.5" customHeight="1">
      <c r="A2415" s="236"/>
      <c r="B2415" s="18"/>
      <c r="C2415" s="18"/>
      <c r="D2415" s="213"/>
      <c r="E2415" s="237"/>
      <c r="F2415" s="18"/>
      <c r="G2415" s="18"/>
    </row>
    <row r="2416" spans="1:7" ht="22.5" customHeight="1">
      <c r="A2416" s="236"/>
      <c r="B2416" s="18"/>
      <c r="C2416" s="18"/>
      <c r="D2416" s="213"/>
      <c r="E2416" s="237"/>
      <c r="F2416" s="18"/>
      <c r="G2416" s="18"/>
    </row>
    <row r="2417" spans="1:7" ht="22.5" customHeight="1">
      <c r="A2417" s="236"/>
      <c r="B2417" s="18"/>
      <c r="C2417" s="18"/>
      <c r="D2417" s="213"/>
      <c r="E2417" s="237"/>
      <c r="F2417" s="18"/>
      <c r="G2417" s="18"/>
    </row>
    <row r="2418" spans="1:7" ht="22.5" customHeight="1">
      <c r="A2418" s="236"/>
      <c r="B2418" s="18"/>
      <c r="C2418" s="18"/>
      <c r="D2418" s="213"/>
      <c r="E2418" s="237"/>
      <c r="F2418" s="18"/>
      <c r="G2418" s="18"/>
    </row>
    <row r="2419" spans="1:7" ht="22.5" customHeight="1">
      <c r="A2419" s="236"/>
      <c r="B2419" s="18"/>
      <c r="C2419" s="18"/>
      <c r="D2419" s="213"/>
      <c r="E2419" s="237"/>
      <c r="F2419" s="18"/>
      <c r="G2419" s="18"/>
    </row>
    <row r="2420" spans="1:7" ht="22.5" customHeight="1">
      <c r="A2420" s="236"/>
      <c r="B2420" s="18"/>
      <c r="C2420" s="18"/>
      <c r="D2420" s="213"/>
      <c r="E2420" s="237"/>
      <c r="F2420" s="18"/>
      <c r="G2420" s="18"/>
    </row>
    <row r="2421" spans="1:7" ht="22.5" customHeight="1">
      <c r="A2421" s="236"/>
      <c r="B2421" s="18"/>
      <c r="C2421" s="18"/>
      <c r="D2421" s="213"/>
      <c r="E2421" s="237"/>
      <c r="F2421" s="18"/>
      <c r="G2421" s="18"/>
    </row>
    <row r="2422" spans="1:7" ht="22.5" customHeight="1">
      <c r="A2422" s="236"/>
      <c r="B2422" s="18"/>
      <c r="C2422" s="18"/>
      <c r="D2422" s="213"/>
      <c r="E2422" s="237"/>
      <c r="F2422" s="18"/>
      <c r="G2422" s="18"/>
    </row>
    <row r="2423" spans="1:7" ht="22.5" customHeight="1">
      <c r="A2423" s="236"/>
      <c r="B2423" s="18"/>
      <c r="C2423" s="18"/>
      <c r="D2423" s="213"/>
      <c r="E2423" s="237"/>
      <c r="F2423" s="18"/>
      <c r="G2423" s="18"/>
    </row>
    <row r="2424" spans="1:7" ht="22.5" customHeight="1">
      <c r="A2424" s="236"/>
      <c r="B2424" s="18"/>
      <c r="C2424" s="18"/>
      <c r="D2424" s="213"/>
      <c r="E2424" s="237"/>
      <c r="F2424" s="18"/>
      <c r="G2424" s="18"/>
    </row>
    <row r="2425" spans="1:7" ht="22.5" customHeight="1">
      <c r="A2425" s="236"/>
      <c r="B2425" s="18"/>
      <c r="C2425" s="18"/>
      <c r="D2425" s="213"/>
      <c r="E2425" s="237"/>
      <c r="F2425" s="18"/>
      <c r="G2425" s="18"/>
    </row>
    <row r="2426" spans="1:7" ht="22.5" customHeight="1">
      <c r="A2426" s="236"/>
      <c r="B2426" s="18"/>
      <c r="C2426" s="18"/>
      <c r="D2426" s="213"/>
      <c r="E2426" s="237"/>
      <c r="F2426" s="18"/>
      <c r="G2426" s="18"/>
    </row>
    <row r="2427" spans="1:7" ht="22.5" customHeight="1">
      <c r="A2427" s="236"/>
      <c r="B2427" s="18"/>
      <c r="C2427" s="18"/>
      <c r="D2427" s="213"/>
      <c r="E2427" s="237"/>
      <c r="F2427" s="18"/>
      <c r="G2427" s="18"/>
    </row>
    <row r="2428" spans="1:7" ht="22.5" customHeight="1">
      <c r="A2428" s="236"/>
      <c r="B2428" s="18"/>
      <c r="C2428" s="18"/>
      <c r="D2428" s="213"/>
      <c r="E2428" s="237"/>
      <c r="F2428" s="18"/>
      <c r="G2428" s="18"/>
    </row>
    <row r="2429" spans="1:7" ht="22.5" customHeight="1">
      <c r="A2429" s="236"/>
      <c r="B2429" s="18"/>
      <c r="C2429" s="18"/>
      <c r="D2429" s="213"/>
      <c r="E2429" s="237"/>
      <c r="F2429" s="18"/>
      <c r="G2429" s="18"/>
    </row>
    <row r="2430" spans="1:7" ht="22.5" customHeight="1">
      <c r="A2430" s="236"/>
      <c r="B2430" s="18"/>
      <c r="C2430" s="18"/>
      <c r="D2430" s="213"/>
      <c r="E2430" s="237"/>
      <c r="F2430" s="18"/>
      <c r="G2430" s="18"/>
    </row>
    <row r="2431" spans="1:7" ht="22.5" customHeight="1">
      <c r="A2431" s="236"/>
      <c r="B2431" s="18"/>
      <c r="C2431" s="18"/>
      <c r="D2431" s="213"/>
      <c r="E2431" s="237"/>
      <c r="F2431" s="18"/>
      <c r="G2431" s="18"/>
    </row>
    <row r="2432" spans="1:7" ht="22.5" customHeight="1">
      <c r="A2432" s="236"/>
      <c r="B2432" s="18"/>
      <c r="C2432" s="18"/>
      <c r="D2432" s="213"/>
      <c r="E2432" s="237"/>
      <c r="F2432" s="18"/>
      <c r="G2432" s="18"/>
    </row>
    <row r="2433" spans="1:7" ht="22.5" customHeight="1">
      <c r="A2433" s="236"/>
      <c r="B2433" s="18"/>
      <c r="C2433" s="18"/>
      <c r="D2433" s="213"/>
      <c r="E2433" s="237"/>
      <c r="F2433" s="18"/>
      <c r="G2433" s="18"/>
    </row>
    <row r="2434" spans="1:7" ht="22.5" customHeight="1">
      <c r="A2434" s="236"/>
      <c r="B2434" s="18"/>
      <c r="C2434" s="18"/>
      <c r="D2434" s="213"/>
      <c r="E2434" s="237"/>
      <c r="F2434" s="18"/>
      <c r="G2434" s="18"/>
    </row>
    <row r="2435" spans="1:7" ht="22.5" customHeight="1">
      <c r="A2435" s="236"/>
      <c r="B2435" s="18"/>
      <c r="C2435" s="18"/>
      <c r="D2435" s="213"/>
      <c r="E2435" s="237"/>
      <c r="F2435" s="18"/>
      <c r="G2435" s="18"/>
    </row>
    <row r="2436" spans="1:7" ht="22.5" customHeight="1">
      <c r="A2436" s="236"/>
      <c r="B2436" s="18"/>
      <c r="C2436" s="18"/>
      <c r="D2436" s="213"/>
      <c r="E2436" s="237"/>
      <c r="F2436" s="18"/>
      <c r="G2436" s="18"/>
    </row>
    <row r="2437" spans="1:7" ht="22.5" customHeight="1">
      <c r="A2437" s="236"/>
      <c r="B2437" s="18"/>
      <c r="C2437" s="18"/>
      <c r="D2437" s="213"/>
      <c r="E2437" s="237"/>
      <c r="F2437" s="18"/>
      <c r="G2437" s="18"/>
    </row>
    <row r="2438" spans="1:7" ht="22.5" customHeight="1">
      <c r="A2438" s="236"/>
      <c r="B2438" s="18"/>
      <c r="C2438" s="18"/>
      <c r="D2438" s="213"/>
      <c r="E2438" s="237"/>
      <c r="F2438" s="18"/>
      <c r="G2438" s="18"/>
    </row>
    <row r="2439" spans="1:7" ht="22.5" customHeight="1">
      <c r="A2439" s="236"/>
      <c r="B2439" s="18"/>
      <c r="C2439" s="18"/>
      <c r="D2439" s="213"/>
      <c r="E2439" s="237"/>
      <c r="F2439" s="18"/>
      <c r="G2439" s="18"/>
    </row>
    <row r="2440" spans="1:7" ht="22.5" customHeight="1">
      <c r="A2440" s="236"/>
      <c r="B2440" s="18"/>
      <c r="C2440" s="18"/>
      <c r="D2440" s="213"/>
      <c r="E2440" s="237"/>
      <c r="F2440" s="18"/>
      <c r="G2440" s="18"/>
    </row>
    <row r="2441" spans="1:7" ht="22.5" customHeight="1">
      <c r="A2441" s="236"/>
      <c r="B2441" s="18"/>
      <c r="C2441" s="18"/>
      <c r="D2441" s="213"/>
      <c r="E2441" s="237"/>
      <c r="F2441" s="18"/>
      <c r="G2441" s="18"/>
    </row>
    <row r="2442" spans="1:7" ht="22.5" customHeight="1">
      <c r="A2442" s="236"/>
      <c r="B2442" s="18"/>
      <c r="C2442" s="18"/>
      <c r="D2442" s="213"/>
      <c r="E2442" s="237"/>
      <c r="F2442" s="18"/>
      <c r="G2442" s="18"/>
    </row>
    <row r="2443" spans="1:7" ht="22.5" customHeight="1">
      <c r="A2443" s="236"/>
      <c r="B2443" s="18"/>
      <c r="C2443" s="18"/>
      <c r="D2443" s="213"/>
      <c r="E2443" s="237"/>
      <c r="F2443" s="18"/>
      <c r="G2443" s="18"/>
    </row>
    <row r="2444" spans="1:7" ht="22.5" customHeight="1">
      <c r="A2444" s="236"/>
      <c r="B2444" s="18"/>
      <c r="C2444" s="18"/>
      <c r="D2444" s="213"/>
      <c r="E2444" s="237"/>
      <c r="F2444" s="18"/>
      <c r="G2444" s="18"/>
    </row>
    <row r="2445" spans="1:7" ht="22.5" customHeight="1">
      <c r="A2445" s="236"/>
      <c r="B2445" s="18"/>
      <c r="C2445" s="18"/>
      <c r="D2445" s="213"/>
      <c r="E2445" s="237"/>
      <c r="F2445" s="18"/>
      <c r="G2445" s="18"/>
    </row>
    <row r="2446" spans="1:7" ht="22.5" customHeight="1">
      <c r="A2446" s="236"/>
      <c r="B2446" s="18"/>
      <c r="C2446" s="18"/>
      <c r="D2446" s="213"/>
      <c r="E2446" s="237"/>
      <c r="F2446" s="18"/>
      <c r="G2446" s="18"/>
    </row>
    <row r="2447" spans="1:7" ht="22.5" customHeight="1">
      <c r="A2447" s="236"/>
      <c r="B2447" s="18"/>
      <c r="C2447" s="18"/>
      <c r="D2447" s="213"/>
      <c r="E2447" s="237"/>
      <c r="F2447" s="18"/>
      <c r="G2447" s="18"/>
    </row>
    <row r="2448" spans="1:7" ht="22.5" customHeight="1">
      <c r="A2448" s="236"/>
      <c r="B2448" s="18"/>
      <c r="C2448" s="18"/>
      <c r="D2448" s="213"/>
      <c r="E2448" s="237"/>
      <c r="F2448" s="18"/>
      <c r="G2448" s="18"/>
    </row>
    <row r="2449" spans="1:7" ht="22.5" customHeight="1">
      <c r="A2449" s="236"/>
      <c r="B2449" s="18"/>
      <c r="C2449" s="18"/>
      <c r="D2449" s="213"/>
      <c r="E2449" s="237"/>
      <c r="F2449" s="18"/>
      <c r="G2449" s="18"/>
    </row>
    <row r="2450" spans="1:7" ht="22.5" customHeight="1">
      <c r="A2450" s="236"/>
      <c r="B2450" s="18"/>
      <c r="C2450" s="18"/>
      <c r="D2450" s="213"/>
      <c r="E2450" s="237"/>
      <c r="F2450" s="18"/>
      <c r="G2450" s="18"/>
    </row>
    <row r="2451" spans="1:7" ht="22.5" customHeight="1">
      <c r="A2451" s="236"/>
      <c r="B2451" s="18"/>
      <c r="C2451" s="18"/>
      <c r="D2451" s="213"/>
      <c r="E2451" s="237"/>
      <c r="F2451" s="18"/>
      <c r="G2451" s="18"/>
    </row>
    <row r="2452" spans="1:7" ht="22.5" customHeight="1">
      <c r="A2452" s="236"/>
      <c r="B2452" s="18"/>
      <c r="C2452" s="18"/>
      <c r="D2452" s="213"/>
      <c r="E2452" s="237"/>
      <c r="F2452" s="18"/>
      <c r="G2452" s="18"/>
    </row>
    <row r="2453" spans="1:7" ht="22.5" customHeight="1">
      <c r="A2453" s="236"/>
      <c r="B2453" s="18"/>
      <c r="C2453" s="18"/>
      <c r="D2453" s="213"/>
      <c r="E2453" s="237"/>
      <c r="F2453" s="18"/>
      <c r="G2453" s="18"/>
    </row>
    <row r="2454" spans="1:7" ht="22.5" customHeight="1">
      <c r="A2454" s="236"/>
      <c r="B2454" s="18"/>
      <c r="C2454" s="18"/>
      <c r="D2454" s="213"/>
      <c r="E2454" s="237"/>
      <c r="F2454" s="18"/>
      <c r="G2454" s="18"/>
    </row>
    <row r="2455" spans="1:7" ht="22.5" customHeight="1">
      <c r="A2455" s="236"/>
      <c r="B2455" s="18"/>
      <c r="C2455" s="18"/>
      <c r="D2455" s="213"/>
      <c r="E2455" s="237"/>
      <c r="F2455" s="18"/>
      <c r="G2455" s="18"/>
    </row>
    <row r="2456" spans="1:7" ht="22.5" customHeight="1">
      <c r="A2456" s="236"/>
      <c r="B2456" s="18"/>
      <c r="C2456" s="18"/>
      <c r="D2456" s="213"/>
      <c r="E2456" s="237"/>
      <c r="F2456" s="18"/>
      <c r="G2456" s="18"/>
    </row>
    <row r="2457" spans="1:7" ht="22.5" customHeight="1">
      <c r="A2457" s="236"/>
      <c r="B2457" s="18"/>
      <c r="C2457" s="18"/>
      <c r="D2457" s="213"/>
      <c r="E2457" s="237"/>
      <c r="F2457" s="18"/>
      <c r="G2457" s="18"/>
    </row>
    <row r="2458" spans="1:7" ht="22.5" customHeight="1">
      <c r="A2458" s="236"/>
      <c r="B2458" s="18"/>
      <c r="C2458" s="18"/>
      <c r="D2458" s="213"/>
      <c r="E2458" s="237"/>
      <c r="F2458" s="18"/>
      <c r="G2458" s="18"/>
    </row>
    <row r="2459" spans="1:7" ht="22.5" customHeight="1">
      <c r="A2459" s="236"/>
      <c r="B2459" s="18"/>
      <c r="C2459" s="18"/>
      <c r="D2459" s="213"/>
      <c r="E2459" s="237"/>
      <c r="F2459" s="18"/>
      <c r="G2459" s="18"/>
    </row>
    <row r="2460" spans="1:7" ht="22.5" customHeight="1">
      <c r="A2460" s="236"/>
      <c r="B2460" s="18"/>
      <c r="C2460" s="18"/>
      <c r="D2460" s="213"/>
      <c r="E2460" s="237"/>
      <c r="F2460" s="18"/>
      <c r="G2460" s="18"/>
    </row>
    <row r="2461" spans="1:7" ht="22.5" customHeight="1">
      <c r="A2461" s="236"/>
      <c r="B2461" s="18"/>
      <c r="C2461" s="18"/>
      <c r="D2461" s="213"/>
      <c r="E2461" s="237"/>
      <c r="F2461" s="18"/>
      <c r="G2461" s="18"/>
    </row>
    <row r="2462" spans="1:7" ht="22.5" customHeight="1">
      <c r="A2462" s="236"/>
      <c r="B2462" s="18"/>
      <c r="C2462" s="18"/>
      <c r="D2462" s="213"/>
      <c r="E2462" s="237"/>
      <c r="F2462" s="18"/>
      <c r="G2462" s="18"/>
    </row>
    <row r="2463" spans="1:7" ht="22.5" customHeight="1">
      <c r="A2463" s="236"/>
      <c r="B2463" s="18"/>
      <c r="C2463" s="18"/>
      <c r="D2463" s="213"/>
      <c r="E2463" s="237"/>
      <c r="F2463" s="18"/>
      <c r="G2463" s="18"/>
    </row>
    <row r="2464" spans="1:7" ht="22.5" customHeight="1">
      <c r="A2464" s="236"/>
      <c r="B2464" s="18"/>
      <c r="C2464" s="18"/>
      <c r="D2464" s="213"/>
      <c r="E2464" s="237"/>
      <c r="F2464" s="18"/>
      <c r="G2464" s="18"/>
    </row>
    <row r="2465" spans="1:7" ht="22.5" customHeight="1">
      <c r="A2465" s="236"/>
      <c r="B2465" s="18"/>
      <c r="C2465" s="18"/>
      <c r="D2465" s="213"/>
      <c r="E2465" s="237"/>
      <c r="F2465" s="18"/>
      <c r="G2465" s="18"/>
    </row>
    <row r="2466" spans="1:7" ht="22.5" customHeight="1">
      <c r="A2466" s="236"/>
      <c r="B2466" s="18"/>
      <c r="C2466" s="18"/>
      <c r="D2466" s="213"/>
      <c r="E2466" s="237"/>
      <c r="F2466" s="18"/>
      <c r="G2466" s="18"/>
    </row>
    <row r="2467" spans="1:7" ht="22.5" customHeight="1">
      <c r="A2467" s="236"/>
      <c r="B2467" s="18"/>
      <c r="C2467" s="18"/>
      <c r="D2467" s="213"/>
      <c r="E2467" s="237"/>
      <c r="F2467" s="18"/>
      <c r="G2467" s="18"/>
    </row>
    <row r="2468" spans="1:7" ht="22.5" customHeight="1">
      <c r="A2468" s="236"/>
      <c r="B2468" s="18"/>
      <c r="C2468" s="18"/>
      <c r="D2468" s="213"/>
      <c r="E2468" s="237"/>
      <c r="F2468" s="18"/>
      <c r="G2468" s="18"/>
    </row>
    <row r="2469" spans="1:7" ht="22.5" customHeight="1">
      <c r="A2469" s="236"/>
      <c r="B2469" s="18"/>
      <c r="C2469" s="18"/>
      <c r="D2469" s="213"/>
      <c r="E2469" s="237"/>
      <c r="F2469" s="18"/>
      <c r="G2469" s="18"/>
    </row>
    <row r="2470" spans="1:7" ht="22.5" customHeight="1">
      <c r="A2470" s="236"/>
      <c r="B2470" s="18"/>
      <c r="C2470" s="18"/>
      <c r="D2470" s="213"/>
      <c r="E2470" s="237"/>
      <c r="F2470" s="18"/>
      <c r="G2470" s="18"/>
    </row>
    <row r="2471" spans="1:7" ht="22.5" customHeight="1">
      <c r="A2471" s="236"/>
      <c r="B2471" s="18"/>
      <c r="C2471" s="18"/>
      <c r="D2471" s="213"/>
      <c r="E2471" s="237"/>
      <c r="F2471" s="18"/>
      <c r="G2471" s="18"/>
    </row>
    <row r="2472" spans="1:7" ht="22.5" customHeight="1">
      <c r="A2472" s="236"/>
      <c r="B2472" s="18"/>
      <c r="C2472" s="18"/>
      <c r="D2472" s="213"/>
      <c r="E2472" s="237"/>
      <c r="F2472" s="18"/>
      <c r="G2472" s="18"/>
    </row>
    <row r="2473" spans="1:7" ht="22.5" customHeight="1">
      <c r="A2473" s="236"/>
      <c r="B2473" s="18"/>
      <c r="C2473" s="18"/>
      <c r="D2473" s="213"/>
      <c r="E2473" s="237"/>
      <c r="F2473" s="18"/>
      <c r="G2473" s="18"/>
    </row>
    <row r="2474" spans="1:7" ht="22.5" customHeight="1">
      <c r="A2474" s="236"/>
      <c r="B2474" s="18"/>
      <c r="C2474" s="18"/>
      <c r="D2474" s="213"/>
      <c r="E2474" s="237"/>
      <c r="F2474" s="18"/>
      <c r="G2474" s="18"/>
    </row>
    <row r="2475" spans="1:7" ht="22.5" customHeight="1">
      <c r="A2475" s="236"/>
      <c r="B2475" s="18"/>
      <c r="C2475" s="18"/>
      <c r="D2475" s="213"/>
      <c r="E2475" s="237"/>
      <c r="F2475" s="18"/>
      <c r="G2475" s="18"/>
    </row>
    <row r="2476" spans="1:7" ht="22.5" customHeight="1">
      <c r="A2476" s="236"/>
      <c r="B2476" s="18"/>
      <c r="C2476" s="18"/>
      <c r="D2476" s="213"/>
      <c r="E2476" s="237"/>
      <c r="F2476" s="18"/>
      <c r="G2476" s="18"/>
    </row>
    <row r="2477" spans="1:7" ht="22.5" customHeight="1">
      <c r="A2477" s="236"/>
      <c r="B2477" s="18"/>
      <c r="C2477" s="18"/>
      <c r="D2477" s="213"/>
      <c r="E2477" s="237"/>
      <c r="F2477" s="18"/>
      <c r="G2477" s="18"/>
    </row>
    <row r="2478" spans="1:7" ht="22.5" customHeight="1">
      <c r="A2478" s="236"/>
      <c r="B2478" s="18"/>
      <c r="C2478" s="18"/>
      <c r="D2478" s="213"/>
      <c r="E2478" s="237"/>
      <c r="F2478" s="18"/>
      <c r="G2478" s="18"/>
    </row>
    <row r="2479" spans="1:7" ht="22.5" customHeight="1">
      <c r="A2479" s="236"/>
      <c r="B2479" s="18"/>
      <c r="C2479" s="18"/>
      <c r="D2479" s="213"/>
      <c r="E2479" s="237"/>
      <c r="F2479" s="18"/>
      <c r="G2479" s="18"/>
    </row>
    <row r="2480" spans="1:7" ht="22.5" customHeight="1">
      <c r="A2480" s="236"/>
      <c r="B2480" s="18"/>
      <c r="C2480" s="18"/>
      <c r="D2480" s="213"/>
      <c r="E2480" s="237"/>
      <c r="F2480" s="18"/>
      <c r="G2480" s="18"/>
    </row>
    <row r="2481" spans="1:7" ht="22.5" customHeight="1">
      <c r="A2481" s="236"/>
      <c r="B2481" s="18"/>
      <c r="C2481" s="18"/>
      <c r="D2481" s="213"/>
      <c r="E2481" s="237"/>
      <c r="F2481" s="18"/>
      <c r="G2481" s="18"/>
    </row>
    <row r="2482" spans="1:7" ht="22.5" customHeight="1">
      <c r="A2482" s="236"/>
      <c r="B2482" s="18"/>
      <c r="C2482" s="18"/>
      <c r="D2482" s="213"/>
      <c r="E2482" s="237"/>
      <c r="F2482" s="18"/>
      <c r="G2482" s="18"/>
    </row>
    <row r="2483" spans="1:7" ht="22.5" customHeight="1">
      <c r="A2483" s="236"/>
      <c r="B2483" s="18"/>
      <c r="C2483" s="18"/>
      <c r="D2483" s="213"/>
      <c r="E2483" s="237"/>
      <c r="F2483" s="18"/>
      <c r="G2483" s="18"/>
    </row>
    <row r="2484" spans="1:7" ht="22.5" customHeight="1">
      <c r="A2484" s="236"/>
      <c r="B2484" s="18"/>
      <c r="C2484" s="18"/>
      <c r="D2484" s="213"/>
      <c r="E2484" s="237"/>
      <c r="F2484" s="18"/>
      <c r="G2484" s="18"/>
    </row>
    <row r="2485" spans="1:7" ht="22.5" customHeight="1">
      <c r="A2485" s="236"/>
      <c r="B2485" s="18"/>
      <c r="C2485" s="18"/>
      <c r="D2485" s="213"/>
      <c r="E2485" s="237"/>
      <c r="F2485" s="18"/>
      <c r="G2485" s="18"/>
    </row>
    <row r="2486" spans="1:7" ht="22.5" customHeight="1">
      <c r="A2486" s="236"/>
      <c r="B2486" s="18"/>
      <c r="C2486" s="18"/>
      <c r="D2486" s="213"/>
      <c r="E2486" s="237"/>
      <c r="F2486" s="18"/>
      <c r="G2486" s="18"/>
    </row>
    <row r="2487" spans="1:7" ht="22.5" customHeight="1">
      <c r="A2487" s="236"/>
      <c r="B2487" s="18"/>
      <c r="C2487" s="18"/>
      <c r="D2487" s="213"/>
      <c r="E2487" s="237"/>
      <c r="F2487" s="18"/>
      <c r="G2487" s="18"/>
    </row>
    <row r="2488" spans="1:7" ht="22.5" customHeight="1">
      <c r="A2488" s="236"/>
      <c r="B2488" s="18"/>
      <c r="C2488" s="18"/>
      <c r="D2488" s="213"/>
      <c r="E2488" s="237"/>
      <c r="F2488" s="18"/>
      <c r="G2488" s="18"/>
    </row>
    <row r="2489" spans="1:7" ht="22.5" customHeight="1">
      <c r="A2489" s="236"/>
      <c r="B2489" s="18"/>
      <c r="C2489" s="18"/>
      <c r="D2489" s="213"/>
      <c r="E2489" s="237"/>
      <c r="F2489" s="18"/>
      <c r="G2489" s="18"/>
    </row>
    <row r="2490" spans="1:7" ht="22.5" customHeight="1">
      <c r="A2490" s="236"/>
      <c r="B2490" s="18"/>
      <c r="C2490" s="18"/>
      <c r="D2490" s="213"/>
      <c r="E2490" s="237"/>
      <c r="F2490" s="18"/>
      <c r="G2490" s="18"/>
    </row>
    <row r="2491" spans="1:7" ht="22.5" customHeight="1">
      <c r="A2491" s="236"/>
      <c r="B2491" s="18"/>
      <c r="C2491" s="18"/>
      <c r="D2491" s="213"/>
      <c r="E2491" s="237"/>
      <c r="F2491" s="18"/>
      <c r="G2491" s="18"/>
    </row>
    <row r="2492" spans="1:7" ht="22.5" customHeight="1">
      <c r="A2492" s="236"/>
      <c r="B2492" s="18"/>
      <c r="C2492" s="18"/>
      <c r="D2492" s="213"/>
      <c r="E2492" s="237"/>
      <c r="F2492" s="18"/>
      <c r="G2492" s="18"/>
    </row>
    <row r="2493" spans="1:7" ht="22.5" customHeight="1">
      <c r="A2493" s="236"/>
      <c r="B2493" s="18"/>
      <c r="C2493" s="18"/>
      <c r="D2493" s="213"/>
      <c r="E2493" s="237"/>
      <c r="F2493" s="18"/>
      <c r="G2493" s="18"/>
    </row>
    <row r="2494" spans="1:7" ht="22.5" customHeight="1">
      <c r="A2494" s="236"/>
      <c r="B2494" s="18"/>
      <c r="C2494" s="18"/>
      <c r="D2494" s="213"/>
      <c r="E2494" s="237"/>
      <c r="F2494" s="18"/>
      <c r="G2494" s="18"/>
    </row>
    <row r="2495" spans="1:7" ht="22.5" customHeight="1">
      <c r="A2495" s="236"/>
      <c r="B2495" s="18"/>
      <c r="C2495" s="18"/>
      <c r="D2495" s="213"/>
      <c r="E2495" s="237"/>
      <c r="F2495" s="18"/>
      <c r="G2495" s="18"/>
    </row>
    <row r="2496" spans="1:7" ht="22.5" customHeight="1">
      <c r="A2496" s="236"/>
      <c r="B2496" s="18"/>
      <c r="C2496" s="18"/>
      <c r="D2496" s="213"/>
      <c r="E2496" s="237"/>
      <c r="F2496" s="18"/>
      <c r="G2496" s="18"/>
    </row>
    <row r="2497" spans="1:7" ht="22.5" customHeight="1">
      <c r="A2497" s="236"/>
      <c r="B2497" s="18"/>
      <c r="C2497" s="18"/>
      <c r="D2497" s="213"/>
      <c r="E2497" s="237"/>
      <c r="F2497" s="18"/>
      <c r="G2497" s="18"/>
    </row>
    <row r="2498" spans="1:7" ht="22.5" customHeight="1">
      <c r="A2498" s="236"/>
      <c r="B2498" s="18"/>
      <c r="C2498" s="18"/>
      <c r="D2498" s="213"/>
      <c r="E2498" s="237"/>
      <c r="F2498" s="18"/>
      <c r="G2498" s="18"/>
    </row>
    <row r="2499" spans="1:7" ht="22.5" customHeight="1">
      <c r="A2499" s="236"/>
      <c r="B2499" s="18"/>
      <c r="C2499" s="18"/>
      <c r="D2499" s="213"/>
      <c r="E2499" s="237"/>
      <c r="F2499" s="18"/>
      <c r="G2499" s="18"/>
    </row>
    <row r="2500" spans="1:7" ht="22.5" customHeight="1">
      <c r="A2500" s="236"/>
      <c r="B2500" s="18"/>
      <c r="C2500" s="18"/>
      <c r="D2500" s="213"/>
      <c r="E2500" s="237"/>
      <c r="F2500" s="18"/>
      <c r="G2500" s="18"/>
    </row>
    <row r="2501" spans="1:7" ht="22.5" customHeight="1">
      <c r="A2501" s="236"/>
      <c r="B2501" s="18"/>
      <c r="C2501" s="18"/>
      <c r="D2501" s="213"/>
      <c r="E2501" s="237"/>
      <c r="F2501" s="18"/>
      <c r="G2501" s="18"/>
    </row>
    <row r="2502" spans="1:7" ht="22.5" customHeight="1">
      <c r="A2502" s="236"/>
      <c r="B2502" s="18"/>
      <c r="C2502" s="18"/>
      <c r="D2502" s="213"/>
      <c r="E2502" s="237"/>
      <c r="F2502" s="18"/>
      <c r="G2502" s="18"/>
    </row>
    <row r="2503" spans="1:7" ht="22.5" customHeight="1">
      <c r="A2503" s="236"/>
      <c r="B2503" s="18"/>
      <c r="C2503" s="18"/>
      <c r="D2503" s="213"/>
      <c r="E2503" s="237"/>
      <c r="F2503" s="18"/>
      <c r="G2503" s="18"/>
    </row>
    <row r="2504" spans="1:7" ht="22.5" customHeight="1">
      <c r="A2504" s="236"/>
      <c r="B2504" s="18"/>
      <c r="C2504" s="18"/>
      <c r="D2504" s="213"/>
      <c r="E2504" s="237"/>
      <c r="F2504" s="18"/>
      <c r="G2504" s="18"/>
    </row>
    <row r="2505" spans="1:7" ht="22.5" customHeight="1">
      <c r="A2505" s="236"/>
      <c r="B2505" s="18"/>
      <c r="C2505" s="18"/>
      <c r="D2505" s="213"/>
      <c r="E2505" s="237"/>
      <c r="F2505" s="18"/>
      <c r="G2505" s="18"/>
    </row>
    <row r="2506" spans="1:7" ht="22.5" customHeight="1">
      <c r="A2506" s="236"/>
      <c r="B2506" s="18"/>
      <c r="C2506" s="18"/>
      <c r="D2506" s="213"/>
      <c r="E2506" s="237"/>
      <c r="F2506" s="18"/>
      <c r="G2506" s="18"/>
    </row>
    <row r="2507" spans="1:7" ht="22.5" customHeight="1">
      <c r="A2507" s="236"/>
      <c r="B2507" s="18"/>
      <c r="C2507" s="18"/>
      <c r="D2507" s="213"/>
      <c r="E2507" s="237"/>
      <c r="F2507" s="18"/>
      <c r="G2507" s="18"/>
    </row>
    <row r="2508" spans="1:7" ht="22.5" customHeight="1">
      <c r="A2508" s="236"/>
      <c r="B2508" s="18"/>
      <c r="C2508" s="18"/>
      <c r="D2508" s="213"/>
      <c r="E2508" s="237"/>
      <c r="F2508" s="18"/>
      <c r="G2508" s="18"/>
    </row>
    <row r="2509" spans="1:7" ht="22.5" customHeight="1">
      <c r="A2509" s="236"/>
      <c r="B2509" s="18"/>
      <c r="C2509" s="18"/>
      <c r="D2509" s="213"/>
      <c r="E2509" s="237"/>
      <c r="F2509" s="18"/>
      <c r="G2509" s="18"/>
    </row>
    <row r="2510" spans="1:7" ht="22.5" customHeight="1">
      <c r="A2510" s="236"/>
      <c r="B2510" s="18"/>
      <c r="C2510" s="18"/>
      <c r="D2510" s="213"/>
      <c r="E2510" s="237"/>
      <c r="F2510" s="18"/>
      <c r="G2510" s="18"/>
    </row>
    <row r="2511" spans="1:7" ht="22.5" customHeight="1">
      <c r="A2511" s="236"/>
      <c r="B2511" s="18"/>
      <c r="C2511" s="18"/>
      <c r="D2511" s="213"/>
      <c r="E2511" s="237"/>
      <c r="F2511" s="18"/>
      <c r="G2511" s="18"/>
    </row>
    <row r="2512" spans="1:7" ht="22.5" customHeight="1">
      <c r="A2512" s="236"/>
      <c r="B2512" s="18"/>
      <c r="C2512" s="18"/>
      <c r="D2512" s="213"/>
      <c r="E2512" s="237"/>
      <c r="F2512" s="18"/>
      <c r="G2512" s="18"/>
    </row>
    <row r="2513" spans="1:7" ht="22.5" customHeight="1">
      <c r="A2513" s="236"/>
      <c r="B2513" s="18"/>
      <c r="C2513" s="18"/>
      <c r="D2513" s="213"/>
      <c r="E2513" s="237"/>
      <c r="F2513" s="18"/>
      <c r="G2513" s="18"/>
    </row>
    <row r="2514" spans="1:7" ht="22.5" customHeight="1">
      <c r="A2514" s="236"/>
      <c r="B2514" s="18"/>
      <c r="C2514" s="18"/>
      <c r="D2514" s="213"/>
      <c r="E2514" s="237"/>
      <c r="F2514" s="18"/>
      <c r="G2514" s="18"/>
    </row>
    <row r="2515" spans="1:7" ht="22.5" customHeight="1">
      <c r="A2515" s="236"/>
      <c r="B2515" s="18"/>
      <c r="C2515" s="18"/>
      <c r="D2515" s="213"/>
      <c r="E2515" s="237"/>
      <c r="F2515" s="18"/>
      <c r="G2515" s="18"/>
    </row>
    <row r="2516" spans="1:7" ht="22.5" customHeight="1">
      <c r="A2516" s="236"/>
      <c r="B2516" s="18"/>
      <c r="C2516" s="18"/>
      <c r="D2516" s="213"/>
      <c r="E2516" s="237"/>
      <c r="F2516" s="18"/>
      <c r="G2516" s="18"/>
    </row>
    <row r="2517" spans="1:7" ht="22.5" customHeight="1">
      <c r="A2517" s="236"/>
      <c r="B2517" s="18"/>
      <c r="C2517" s="18"/>
      <c r="D2517" s="213"/>
      <c r="E2517" s="237"/>
      <c r="F2517" s="18"/>
      <c r="G2517" s="18"/>
    </row>
    <row r="2518" spans="1:7" ht="22.5" customHeight="1">
      <c r="A2518" s="236"/>
      <c r="B2518" s="18"/>
      <c r="C2518" s="18"/>
      <c r="D2518" s="213"/>
      <c r="E2518" s="237"/>
      <c r="F2518" s="18"/>
      <c r="G2518" s="18"/>
    </row>
    <row r="2519" spans="1:7" ht="22.5" customHeight="1">
      <c r="A2519" s="236"/>
      <c r="B2519" s="18"/>
      <c r="C2519" s="18"/>
      <c r="D2519" s="213"/>
      <c r="E2519" s="237"/>
      <c r="F2519" s="18"/>
      <c r="G2519" s="18"/>
    </row>
    <row r="2520" spans="1:7" ht="22.5" customHeight="1">
      <c r="A2520" s="236"/>
      <c r="B2520" s="18"/>
      <c r="C2520" s="18"/>
      <c r="D2520" s="213"/>
      <c r="E2520" s="237"/>
      <c r="F2520" s="18"/>
      <c r="G2520" s="18"/>
    </row>
    <row r="2521" spans="1:7" ht="22.5" customHeight="1">
      <c r="A2521" s="236"/>
      <c r="B2521" s="18"/>
      <c r="C2521" s="18"/>
      <c r="D2521" s="213"/>
      <c r="E2521" s="237"/>
      <c r="F2521" s="18"/>
      <c r="G2521" s="18"/>
    </row>
    <row r="2522" spans="1:7" ht="22.5" customHeight="1">
      <c r="A2522" s="236"/>
      <c r="B2522" s="18"/>
      <c r="C2522" s="18"/>
      <c r="D2522" s="213"/>
      <c r="E2522" s="237"/>
      <c r="F2522" s="18"/>
      <c r="G2522" s="18"/>
    </row>
    <row r="2523" spans="1:7" ht="22.5" customHeight="1">
      <c r="A2523" s="236"/>
      <c r="B2523" s="18"/>
      <c r="C2523" s="18"/>
      <c r="D2523" s="213"/>
      <c r="E2523" s="237"/>
      <c r="F2523" s="18"/>
      <c r="G2523" s="18"/>
    </row>
    <row r="2524" spans="1:7" ht="22.5" customHeight="1">
      <c r="A2524" s="236"/>
      <c r="B2524" s="18"/>
      <c r="C2524" s="18"/>
      <c r="D2524" s="213"/>
      <c r="E2524" s="237"/>
      <c r="F2524" s="18"/>
      <c r="G2524" s="18"/>
    </row>
    <row r="2525" spans="1:7" ht="22.5" customHeight="1">
      <c r="A2525" s="236"/>
      <c r="B2525" s="18"/>
      <c r="C2525" s="18"/>
      <c r="D2525" s="213"/>
      <c r="E2525" s="237"/>
      <c r="F2525" s="18"/>
      <c r="G2525" s="18"/>
    </row>
    <row r="2526" spans="1:7" ht="22.5" customHeight="1">
      <c r="A2526" s="236"/>
      <c r="B2526" s="18"/>
      <c r="C2526" s="18"/>
      <c r="D2526" s="213"/>
      <c r="E2526" s="237"/>
      <c r="F2526" s="18"/>
      <c r="G2526" s="18"/>
    </row>
    <row r="2527" spans="1:7" ht="22.5" customHeight="1">
      <c r="A2527" s="236"/>
      <c r="B2527" s="18"/>
      <c r="C2527" s="18"/>
      <c r="D2527" s="213"/>
      <c r="E2527" s="237"/>
      <c r="F2527" s="18"/>
      <c r="G2527" s="18"/>
    </row>
    <row r="2528" spans="1:7" ht="22.5" customHeight="1">
      <c r="A2528" s="236"/>
      <c r="B2528" s="18"/>
      <c r="C2528" s="18"/>
      <c r="D2528" s="213"/>
      <c r="E2528" s="237"/>
      <c r="F2528" s="18"/>
      <c r="G2528" s="18"/>
    </row>
    <row r="2529" spans="1:7" ht="22.5" customHeight="1">
      <c r="A2529" s="236"/>
      <c r="B2529" s="18"/>
      <c r="C2529" s="18"/>
      <c r="D2529" s="213"/>
      <c r="E2529" s="237"/>
      <c r="F2529" s="18"/>
      <c r="G2529" s="18"/>
    </row>
    <row r="2530" spans="1:7" ht="22.5" customHeight="1">
      <c r="A2530" s="236"/>
      <c r="B2530" s="18"/>
      <c r="C2530" s="18"/>
      <c r="D2530" s="213"/>
      <c r="E2530" s="237"/>
      <c r="F2530" s="18"/>
      <c r="G2530" s="18"/>
    </row>
    <row r="2531" spans="1:7" ht="22.5" customHeight="1">
      <c r="A2531" s="236"/>
      <c r="B2531" s="18"/>
      <c r="C2531" s="18"/>
      <c r="D2531" s="213"/>
      <c r="E2531" s="237"/>
      <c r="F2531" s="18"/>
      <c r="G2531" s="18"/>
    </row>
    <row r="2532" spans="1:7" ht="22.5" customHeight="1">
      <c r="A2532" s="236"/>
      <c r="B2532" s="18"/>
      <c r="C2532" s="18"/>
      <c r="D2532" s="213"/>
      <c r="E2532" s="237"/>
      <c r="F2532" s="18"/>
      <c r="G2532" s="18"/>
    </row>
    <row r="2533" spans="1:7" ht="22.5" customHeight="1">
      <c r="A2533" s="236"/>
      <c r="B2533" s="18"/>
      <c r="C2533" s="18"/>
      <c r="D2533" s="213"/>
      <c r="E2533" s="237"/>
      <c r="F2533" s="18"/>
      <c r="G2533" s="18"/>
    </row>
    <row r="2534" spans="1:7" ht="22.5" customHeight="1">
      <c r="A2534" s="236"/>
      <c r="B2534" s="18"/>
      <c r="C2534" s="18"/>
      <c r="D2534" s="213"/>
      <c r="E2534" s="237"/>
      <c r="F2534" s="18"/>
      <c r="G2534" s="18"/>
    </row>
    <row r="2535" spans="1:7" ht="22.5" customHeight="1">
      <c r="A2535" s="236"/>
      <c r="B2535" s="18"/>
      <c r="C2535" s="18"/>
      <c r="D2535" s="213"/>
      <c r="E2535" s="237"/>
      <c r="F2535" s="18"/>
      <c r="G2535" s="18"/>
    </row>
    <row r="2536" spans="1:7" ht="22.5" customHeight="1">
      <c r="A2536" s="236"/>
      <c r="B2536" s="18"/>
      <c r="C2536" s="18"/>
      <c r="D2536" s="213"/>
      <c r="E2536" s="237"/>
      <c r="F2536" s="18"/>
      <c r="G2536" s="18"/>
    </row>
    <row r="2537" spans="1:7" ht="22.5" customHeight="1">
      <c r="A2537" s="236"/>
      <c r="B2537" s="18"/>
      <c r="C2537" s="18"/>
      <c r="D2537" s="213"/>
      <c r="E2537" s="237"/>
      <c r="F2537" s="18"/>
      <c r="G2537" s="18"/>
    </row>
    <row r="2538" spans="1:7" ht="22.5" customHeight="1">
      <c r="A2538" s="236"/>
      <c r="B2538" s="18"/>
      <c r="C2538" s="18"/>
      <c r="D2538" s="213"/>
      <c r="E2538" s="237"/>
      <c r="F2538" s="18"/>
      <c r="G2538" s="18"/>
    </row>
    <row r="2539" spans="1:7" ht="22.5" customHeight="1">
      <c r="A2539" s="236"/>
      <c r="B2539" s="18"/>
      <c r="C2539" s="18"/>
      <c r="D2539" s="213"/>
      <c r="E2539" s="237"/>
      <c r="F2539" s="18"/>
      <c r="G2539" s="18"/>
    </row>
    <row r="2540" spans="1:7" ht="22.5" customHeight="1">
      <c r="A2540" s="236"/>
      <c r="B2540" s="18"/>
      <c r="C2540" s="18"/>
      <c r="D2540" s="213"/>
      <c r="E2540" s="237"/>
      <c r="F2540" s="18"/>
      <c r="G2540" s="18"/>
    </row>
    <row r="2541" spans="1:7" ht="22.5" customHeight="1">
      <c r="A2541" s="236"/>
      <c r="B2541" s="18"/>
      <c r="C2541" s="18"/>
      <c r="D2541" s="213"/>
      <c r="E2541" s="237"/>
      <c r="F2541" s="18"/>
      <c r="G2541" s="18"/>
    </row>
    <row r="2542" spans="1:7" ht="22.5" customHeight="1">
      <c r="A2542" s="236"/>
      <c r="B2542" s="18"/>
      <c r="C2542" s="18"/>
      <c r="D2542" s="213"/>
      <c r="E2542" s="237"/>
      <c r="F2542" s="18"/>
      <c r="G2542" s="18"/>
    </row>
    <row r="2543" spans="1:7" ht="22.5" customHeight="1">
      <c r="A2543" s="236"/>
      <c r="B2543" s="18"/>
      <c r="C2543" s="18"/>
      <c r="D2543" s="213"/>
      <c r="E2543" s="237"/>
      <c r="F2543" s="18"/>
      <c r="G2543" s="18"/>
    </row>
    <row r="2544" spans="1:7" ht="22.5" customHeight="1">
      <c r="A2544" s="236"/>
      <c r="B2544" s="18"/>
      <c r="C2544" s="18"/>
      <c r="D2544" s="213"/>
      <c r="E2544" s="237"/>
      <c r="F2544" s="18"/>
      <c r="G2544" s="18"/>
    </row>
    <row r="2545" spans="1:7" ht="22.5" customHeight="1">
      <c r="A2545" s="236"/>
      <c r="B2545" s="18"/>
      <c r="C2545" s="18"/>
      <c r="D2545" s="213"/>
      <c r="E2545" s="237"/>
      <c r="F2545" s="18"/>
      <c r="G2545" s="18"/>
    </row>
    <row r="2546" spans="1:7" ht="22.5" customHeight="1">
      <c r="A2546" s="236"/>
      <c r="B2546" s="18"/>
      <c r="C2546" s="18"/>
      <c r="D2546" s="213"/>
      <c r="E2546" s="237"/>
      <c r="F2546" s="18"/>
      <c r="G2546" s="18"/>
    </row>
    <row r="2547" spans="1:7" ht="22.5" customHeight="1">
      <c r="A2547" s="236"/>
      <c r="B2547" s="18"/>
      <c r="C2547" s="18"/>
      <c r="D2547" s="213"/>
      <c r="E2547" s="237"/>
      <c r="F2547" s="18"/>
      <c r="G2547" s="18"/>
    </row>
    <row r="2548" spans="1:7" ht="22.5" customHeight="1">
      <c r="A2548" s="236"/>
      <c r="B2548" s="18"/>
      <c r="C2548" s="18"/>
      <c r="D2548" s="213"/>
      <c r="E2548" s="237"/>
      <c r="F2548" s="18"/>
      <c r="G2548" s="18"/>
    </row>
    <row r="2549" spans="1:7" ht="22.5" customHeight="1">
      <c r="A2549" s="236"/>
      <c r="B2549" s="18"/>
      <c r="C2549" s="18"/>
      <c r="D2549" s="213"/>
      <c r="E2549" s="237"/>
      <c r="F2549" s="18"/>
      <c r="G2549" s="18"/>
    </row>
    <row r="2550" spans="1:7" ht="22.5" customHeight="1">
      <c r="A2550" s="236"/>
      <c r="B2550" s="18"/>
      <c r="C2550" s="18"/>
      <c r="D2550" s="213"/>
      <c r="E2550" s="237"/>
      <c r="F2550" s="18"/>
      <c r="G2550" s="18"/>
    </row>
    <row r="2551" spans="1:7" ht="22.5" customHeight="1">
      <c r="A2551" s="236"/>
      <c r="B2551" s="18"/>
      <c r="C2551" s="18"/>
      <c r="D2551" s="213"/>
      <c r="E2551" s="237"/>
      <c r="F2551" s="18"/>
      <c r="G2551" s="18"/>
    </row>
    <row r="2552" spans="1:7" ht="22.5" customHeight="1">
      <c r="A2552" s="236"/>
      <c r="B2552" s="18"/>
      <c r="C2552" s="18"/>
      <c r="D2552" s="213"/>
      <c r="E2552" s="237"/>
      <c r="F2552" s="18"/>
      <c r="G2552" s="18"/>
    </row>
    <row r="2553" spans="1:7" ht="22.5" customHeight="1">
      <c r="A2553" s="236"/>
      <c r="B2553" s="18"/>
      <c r="C2553" s="18"/>
      <c r="D2553" s="213"/>
      <c r="E2553" s="237"/>
      <c r="F2553" s="18"/>
      <c r="G2553" s="18"/>
    </row>
    <row r="2554" spans="1:7" ht="22.5" customHeight="1">
      <c r="A2554" s="236"/>
      <c r="B2554" s="18"/>
      <c r="C2554" s="18"/>
      <c r="D2554" s="213"/>
      <c r="E2554" s="237"/>
      <c r="F2554" s="18"/>
      <c r="G2554" s="18"/>
    </row>
    <row r="2555" spans="1:7" ht="22.5" customHeight="1">
      <c r="A2555" s="236"/>
      <c r="B2555" s="18"/>
      <c r="C2555" s="18"/>
      <c r="D2555" s="213"/>
      <c r="E2555" s="237"/>
      <c r="F2555" s="18"/>
      <c r="G2555" s="18"/>
    </row>
    <row r="2556" spans="1:7" ht="22.5" customHeight="1">
      <c r="A2556" s="236"/>
      <c r="B2556" s="18"/>
      <c r="C2556" s="18"/>
      <c r="D2556" s="213"/>
      <c r="E2556" s="237"/>
      <c r="F2556" s="18"/>
      <c r="G2556" s="18"/>
    </row>
    <row r="2557" spans="1:7" ht="22.5" customHeight="1">
      <c r="A2557" s="236"/>
      <c r="B2557" s="18"/>
      <c r="C2557" s="18"/>
      <c r="D2557" s="213"/>
      <c r="E2557" s="237"/>
      <c r="F2557" s="18"/>
      <c r="G2557" s="18"/>
    </row>
    <row r="2558" spans="1:7" ht="22.5" customHeight="1">
      <c r="A2558" s="236"/>
      <c r="B2558" s="18"/>
      <c r="C2558" s="18"/>
      <c r="D2558" s="213"/>
      <c r="E2558" s="237"/>
      <c r="F2558" s="18"/>
      <c r="G2558" s="18"/>
    </row>
    <row r="2559" spans="1:7" ht="22.5" customHeight="1">
      <c r="A2559" s="236"/>
      <c r="B2559" s="18"/>
      <c r="C2559" s="18"/>
      <c r="D2559" s="213"/>
      <c r="E2559" s="237"/>
      <c r="F2559" s="18"/>
      <c r="G2559" s="18"/>
    </row>
    <row r="2560" spans="1:7" ht="22.5" customHeight="1">
      <c r="A2560" s="236"/>
      <c r="B2560" s="18"/>
      <c r="C2560" s="18"/>
      <c r="D2560" s="213"/>
      <c r="E2560" s="237"/>
      <c r="F2560" s="18"/>
      <c r="G2560" s="18"/>
    </row>
    <row r="2561" spans="1:7" ht="22.5" customHeight="1">
      <c r="A2561" s="236"/>
      <c r="B2561" s="18"/>
      <c r="C2561" s="18"/>
      <c r="D2561" s="213"/>
      <c r="E2561" s="237"/>
      <c r="F2561" s="18"/>
      <c r="G2561" s="18"/>
    </row>
    <row r="2562" spans="1:7" ht="22.5" customHeight="1">
      <c r="A2562" s="236"/>
      <c r="B2562" s="18"/>
      <c r="C2562" s="18"/>
      <c r="D2562" s="213"/>
      <c r="E2562" s="237"/>
      <c r="F2562" s="18"/>
      <c r="G2562" s="18"/>
    </row>
    <row r="2563" spans="1:7" ht="22.5" customHeight="1">
      <c r="A2563" s="236"/>
      <c r="B2563" s="18"/>
      <c r="C2563" s="18"/>
      <c r="D2563" s="213"/>
      <c r="E2563" s="237"/>
      <c r="F2563" s="18"/>
      <c r="G2563" s="18"/>
    </row>
    <row r="2564" spans="1:7" ht="22.5" customHeight="1">
      <c r="A2564" s="236"/>
      <c r="B2564" s="18"/>
      <c r="C2564" s="18"/>
      <c r="D2564" s="213"/>
      <c r="E2564" s="237"/>
      <c r="F2564" s="18"/>
      <c r="G2564" s="18"/>
    </row>
    <row r="2565" spans="1:7" ht="22.5" customHeight="1">
      <c r="A2565" s="236"/>
      <c r="B2565" s="18"/>
      <c r="C2565" s="18"/>
      <c r="D2565" s="213"/>
      <c r="E2565" s="237"/>
      <c r="F2565" s="18"/>
      <c r="G2565" s="18"/>
    </row>
    <row r="2566" spans="1:7" ht="22.5" customHeight="1">
      <c r="A2566" s="236"/>
      <c r="B2566" s="18"/>
      <c r="C2566" s="18"/>
      <c r="D2566" s="213"/>
      <c r="E2566" s="237"/>
      <c r="F2566" s="18"/>
      <c r="G2566" s="18"/>
    </row>
    <row r="2567" spans="1:7" ht="22.5" customHeight="1">
      <c r="A2567" s="236"/>
      <c r="B2567" s="18"/>
      <c r="C2567" s="18"/>
      <c r="D2567" s="213"/>
      <c r="E2567" s="237"/>
      <c r="F2567" s="18"/>
      <c r="G2567" s="18"/>
    </row>
    <row r="2568" spans="1:7" ht="22.5" customHeight="1">
      <c r="A2568" s="236"/>
      <c r="B2568" s="18"/>
      <c r="C2568" s="18"/>
      <c r="D2568" s="213"/>
      <c r="E2568" s="237"/>
      <c r="F2568" s="18"/>
      <c r="G2568" s="18"/>
    </row>
    <row r="2569" spans="1:7" ht="22.5" customHeight="1">
      <c r="A2569" s="236"/>
      <c r="B2569" s="18"/>
      <c r="C2569" s="18"/>
      <c r="D2569" s="213"/>
      <c r="E2569" s="237"/>
      <c r="F2569" s="18"/>
      <c r="G2569" s="18"/>
    </row>
    <row r="2570" spans="1:7" ht="22.5" customHeight="1">
      <c r="A2570" s="236"/>
      <c r="B2570" s="18"/>
      <c r="C2570" s="18"/>
      <c r="D2570" s="213"/>
      <c r="E2570" s="237"/>
      <c r="F2570" s="18"/>
      <c r="G2570" s="18"/>
    </row>
    <row r="2571" spans="1:7" ht="22.5" customHeight="1">
      <c r="A2571" s="236"/>
      <c r="B2571" s="18"/>
      <c r="C2571" s="18"/>
      <c r="D2571" s="213"/>
      <c r="E2571" s="237"/>
      <c r="F2571" s="18"/>
      <c r="G2571" s="18"/>
    </row>
    <row r="2572" spans="1:7" ht="22.5" customHeight="1">
      <c r="A2572" s="236"/>
      <c r="B2572" s="18"/>
      <c r="C2572" s="18"/>
      <c r="D2572" s="213"/>
      <c r="E2572" s="237"/>
      <c r="F2572" s="18"/>
      <c r="G2572" s="18"/>
    </row>
    <row r="2573" spans="1:7" ht="22.5" customHeight="1">
      <c r="A2573" s="236"/>
      <c r="B2573" s="18"/>
      <c r="C2573" s="18"/>
      <c r="D2573" s="213"/>
      <c r="E2573" s="237"/>
      <c r="F2573" s="18"/>
      <c r="G2573" s="18"/>
    </row>
    <row r="2574" spans="1:7" ht="22.5" customHeight="1">
      <c r="A2574" s="236"/>
      <c r="B2574" s="18"/>
      <c r="C2574" s="18"/>
      <c r="D2574" s="213"/>
      <c r="E2574" s="237"/>
      <c r="F2574" s="18"/>
      <c r="G2574" s="18"/>
    </row>
    <row r="2575" spans="1:7" ht="22.5" customHeight="1">
      <c r="A2575" s="236"/>
      <c r="B2575" s="18"/>
      <c r="C2575" s="18"/>
      <c r="D2575" s="213"/>
      <c r="E2575" s="237"/>
      <c r="F2575" s="18"/>
      <c r="G2575" s="18"/>
    </row>
    <row r="2576" spans="1:7" ht="22.5" customHeight="1">
      <c r="A2576" s="236"/>
      <c r="B2576" s="18"/>
      <c r="C2576" s="18"/>
      <c r="D2576" s="213"/>
      <c r="E2576" s="237"/>
      <c r="F2576" s="18"/>
      <c r="G2576" s="18"/>
    </row>
    <row r="2577" spans="1:7" ht="22.5" customHeight="1">
      <c r="A2577" s="236"/>
      <c r="B2577" s="18"/>
      <c r="C2577" s="18"/>
      <c r="D2577" s="213"/>
      <c r="E2577" s="237"/>
      <c r="F2577" s="18"/>
      <c r="G2577" s="18"/>
    </row>
    <row r="2578" spans="1:7" ht="22.5" customHeight="1">
      <c r="A2578" s="236"/>
      <c r="B2578" s="18"/>
      <c r="C2578" s="18"/>
      <c r="D2578" s="213"/>
      <c r="E2578" s="237"/>
      <c r="F2578" s="18"/>
      <c r="G2578" s="18"/>
    </row>
    <row r="2579" spans="1:7" ht="22.5" customHeight="1">
      <c r="A2579" s="236"/>
      <c r="B2579" s="18"/>
      <c r="C2579" s="18"/>
      <c r="D2579" s="213"/>
      <c r="E2579" s="237"/>
      <c r="F2579" s="18"/>
      <c r="G2579" s="18"/>
    </row>
    <row r="2580" spans="1:7" ht="22.5" customHeight="1">
      <c r="A2580" s="236"/>
      <c r="B2580" s="18"/>
      <c r="C2580" s="18"/>
      <c r="D2580" s="213"/>
      <c r="E2580" s="237"/>
      <c r="F2580" s="18"/>
      <c r="G2580" s="18"/>
    </row>
    <row r="2581" spans="1:7" ht="22.5" customHeight="1">
      <c r="A2581" s="236"/>
      <c r="B2581" s="18"/>
      <c r="C2581" s="18"/>
      <c r="D2581" s="213"/>
      <c r="E2581" s="237"/>
      <c r="F2581" s="18"/>
      <c r="G2581" s="18"/>
    </row>
    <row r="2582" spans="1:7" ht="22.5" customHeight="1">
      <c r="A2582" s="236"/>
      <c r="B2582" s="18"/>
      <c r="C2582" s="18"/>
      <c r="D2582" s="213"/>
      <c r="E2582" s="237"/>
      <c r="F2582" s="18"/>
      <c r="G2582" s="18"/>
    </row>
    <row r="2583" spans="1:7" ht="22.5" customHeight="1">
      <c r="A2583" s="236"/>
      <c r="B2583" s="18"/>
      <c r="C2583" s="18"/>
      <c r="D2583" s="213"/>
      <c r="E2583" s="237"/>
      <c r="F2583" s="18"/>
      <c r="G2583" s="18"/>
    </row>
    <row r="2584" spans="1:7" ht="22.5" customHeight="1">
      <c r="A2584" s="236"/>
      <c r="B2584" s="18"/>
      <c r="C2584" s="18"/>
      <c r="D2584" s="213"/>
      <c r="E2584" s="237"/>
      <c r="F2584" s="18"/>
      <c r="G2584" s="18"/>
    </row>
    <row r="2585" spans="1:7" ht="22.5" customHeight="1">
      <c r="A2585" s="236"/>
      <c r="B2585" s="18"/>
      <c r="C2585" s="18"/>
      <c r="D2585" s="213"/>
      <c r="E2585" s="237"/>
      <c r="F2585" s="18"/>
      <c r="G2585" s="18"/>
    </row>
    <row r="2586" spans="1:7" ht="22.5" customHeight="1">
      <c r="A2586" s="236"/>
      <c r="B2586" s="18"/>
      <c r="C2586" s="18"/>
      <c r="D2586" s="213"/>
      <c r="E2586" s="237"/>
      <c r="F2586" s="18"/>
      <c r="G2586" s="18"/>
    </row>
    <row r="2587" spans="1:7" ht="22.5" customHeight="1">
      <c r="A2587" s="236"/>
      <c r="B2587" s="18"/>
      <c r="C2587" s="18"/>
      <c r="D2587" s="213"/>
      <c r="E2587" s="237"/>
      <c r="F2587" s="18"/>
      <c r="G2587" s="18"/>
    </row>
    <row r="2588" spans="1:7" ht="22.5" customHeight="1">
      <c r="A2588" s="236"/>
      <c r="B2588" s="18"/>
      <c r="C2588" s="18"/>
      <c r="D2588" s="213"/>
      <c r="E2588" s="237"/>
      <c r="F2588" s="18"/>
      <c r="G2588" s="18"/>
    </row>
    <row r="2589" spans="1:7" ht="22.5" customHeight="1">
      <c r="A2589" s="236"/>
      <c r="B2589" s="18"/>
      <c r="C2589" s="18"/>
      <c r="D2589" s="213"/>
      <c r="E2589" s="237"/>
      <c r="F2589" s="18"/>
      <c r="G2589" s="18"/>
    </row>
    <row r="2590" spans="1:7" ht="22.5" customHeight="1">
      <c r="A2590" s="236"/>
      <c r="B2590" s="18"/>
      <c r="C2590" s="18"/>
      <c r="D2590" s="213"/>
      <c r="E2590" s="237"/>
      <c r="F2590" s="18"/>
      <c r="G2590" s="18"/>
    </row>
    <row r="2591" spans="1:7" ht="22.5" customHeight="1">
      <c r="A2591" s="236"/>
      <c r="B2591" s="18"/>
      <c r="C2591" s="18"/>
      <c r="D2591" s="213"/>
      <c r="E2591" s="237"/>
      <c r="F2591" s="18"/>
      <c r="G2591" s="18"/>
    </row>
    <row r="2592" spans="1:7" ht="22.5" customHeight="1">
      <c r="A2592" s="236"/>
      <c r="B2592" s="18"/>
      <c r="C2592" s="18"/>
      <c r="D2592" s="213"/>
      <c r="E2592" s="237"/>
      <c r="F2592" s="18"/>
      <c r="G2592" s="18"/>
    </row>
    <row r="2593" spans="1:7" ht="22.5" customHeight="1">
      <c r="A2593" s="236"/>
      <c r="B2593" s="18"/>
      <c r="C2593" s="18"/>
      <c r="D2593" s="213"/>
      <c r="E2593" s="237"/>
      <c r="F2593" s="18"/>
      <c r="G2593" s="18"/>
    </row>
    <row r="2594" spans="1:7" ht="22.5" customHeight="1">
      <c r="A2594" s="236"/>
      <c r="B2594" s="18"/>
      <c r="C2594" s="18"/>
      <c r="D2594" s="213"/>
      <c r="E2594" s="237"/>
      <c r="F2594" s="18"/>
      <c r="G2594" s="18"/>
    </row>
    <row r="2595" spans="1:7" ht="22.5" customHeight="1">
      <c r="A2595" s="236"/>
      <c r="B2595" s="18"/>
      <c r="C2595" s="18"/>
      <c r="D2595" s="213"/>
      <c r="E2595" s="237"/>
      <c r="F2595" s="18"/>
      <c r="G2595" s="18"/>
    </row>
    <row r="2596" spans="1:7" ht="22.5" customHeight="1">
      <c r="A2596" s="236"/>
      <c r="B2596" s="18"/>
      <c r="C2596" s="18"/>
      <c r="D2596" s="213"/>
      <c r="E2596" s="237"/>
      <c r="F2596" s="18"/>
      <c r="G2596" s="18"/>
    </row>
    <row r="2597" spans="1:7" ht="22.5" customHeight="1">
      <c r="A2597" s="236"/>
      <c r="B2597" s="18"/>
      <c r="C2597" s="18"/>
      <c r="D2597" s="213"/>
      <c r="E2597" s="237"/>
      <c r="F2597" s="18"/>
      <c r="G2597" s="18"/>
    </row>
    <row r="2598" spans="1:7" ht="22.5" customHeight="1">
      <c r="A2598" s="236"/>
      <c r="B2598" s="18"/>
      <c r="C2598" s="18"/>
      <c r="D2598" s="213"/>
      <c r="E2598" s="237"/>
      <c r="F2598" s="18"/>
      <c r="G2598" s="18"/>
    </row>
    <row r="2599" spans="1:7" ht="22.5" customHeight="1">
      <c r="A2599" s="236"/>
      <c r="B2599" s="18"/>
      <c r="C2599" s="18"/>
      <c r="D2599" s="213"/>
      <c r="E2599" s="237"/>
      <c r="F2599" s="18"/>
      <c r="G2599" s="18"/>
    </row>
    <row r="2600" spans="1:7" ht="22.5" customHeight="1">
      <c r="A2600" s="236"/>
      <c r="B2600" s="18"/>
      <c r="C2600" s="18"/>
      <c r="D2600" s="213"/>
      <c r="E2600" s="237"/>
      <c r="F2600" s="18"/>
      <c r="G2600" s="18"/>
    </row>
    <row r="2601" spans="1:7" ht="22.5" customHeight="1">
      <c r="A2601" s="236"/>
      <c r="B2601" s="18"/>
      <c r="C2601" s="18"/>
      <c r="D2601" s="213"/>
      <c r="E2601" s="237"/>
      <c r="F2601" s="18"/>
      <c r="G2601" s="18"/>
    </row>
    <row r="2602" spans="1:7" ht="22.5" customHeight="1">
      <c r="A2602" s="236"/>
      <c r="B2602" s="18"/>
      <c r="C2602" s="18"/>
      <c r="D2602" s="213"/>
      <c r="E2602" s="237"/>
      <c r="F2602" s="18"/>
      <c r="G2602" s="18"/>
    </row>
    <row r="2603" spans="1:7" ht="22.5" customHeight="1">
      <c r="A2603" s="236"/>
      <c r="B2603" s="18"/>
      <c r="C2603" s="18"/>
      <c r="D2603" s="213"/>
      <c r="E2603" s="237"/>
      <c r="F2603" s="18"/>
      <c r="G2603" s="18"/>
    </row>
    <row r="2604" spans="1:7" ht="22.5" customHeight="1">
      <c r="A2604" s="236"/>
      <c r="B2604" s="18"/>
      <c r="C2604" s="18"/>
      <c r="D2604" s="213"/>
      <c r="E2604" s="237"/>
      <c r="F2604" s="18"/>
      <c r="G2604" s="18"/>
    </row>
    <row r="2605" spans="1:7" ht="22.5" customHeight="1">
      <c r="A2605" s="236"/>
      <c r="B2605" s="18"/>
      <c r="C2605" s="18"/>
      <c r="D2605" s="213"/>
      <c r="E2605" s="237"/>
      <c r="F2605" s="18"/>
      <c r="G2605" s="18"/>
    </row>
    <row r="2606" spans="1:7" ht="22.5" customHeight="1">
      <c r="A2606" s="236"/>
      <c r="B2606" s="18"/>
      <c r="C2606" s="18"/>
      <c r="D2606" s="213"/>
      <c r="E2606" s="237"/>
      <c r="F2606" s="18"/>
      <c r="G2606" s="18"/>
    </row>
    <row r="2607" spans="1:7" ht="22.5" customHeight="1">
      <c r="A2607" s="236"/>
      <c r="B2607" s="18"/>
      <c r="C2607" s="18"/>
      <c r="D2607" s="213"/>
      <c r="E2607" s="237"/>
      <c r="F2607" s="18"/>
      <c r="G2607" s="18"/>
    </row>
    <row r="2608" spans="1:7" ht="22.5" customHeight="1">
      <c r="A2608" s="236"/>
      <c r="B2608" s="18"/>
      <c r="C2608" s="18"/>
      <c r="D2608" s="213"/>
      <c r="E2608" s="237"/>
      <c r="F2608" s="18"/>
      <c r="G2608" s="18"/>
    </row>
    <row r="2609" spans="1:7" ht="22.5" customHeight="1">
      <c r="A2609" s="236"/>
      <c r="B2609" s="18"/>
      <c r="C2609" s="18"/>
      <c r="D2609" s="213"/>
      <c r="E2609" s="237"/>
      <c r="F2609" s="18"/>
      <c r="G2609" s="18"/>
    </row>
    <row r="2610" spans="1:7" ht="22.5" customHeight="1">
      <c r="A2610" s="236"/>
      <c r="B2610" s="18"/>
      <c r="C2610" s="18"/>
      <c r="D2610" s="213"/>
      <c r="E2610" s="237"/>
      <c r="F2610" s="18"/>
      <c r="G2610" s="18"/>
    </row>
    <row r="2611" spans="1:7" ht="22.5" customHeight="1">
      <c r="A2611" s="236"/>
      <c r="B2611" s="18"/>
      <c r="C2611" s="18"/>
      <c r="D2611" s="213"/>
      <c r="E2611" s="237"/>
      <c r="F2611" s="18"/>
      <c r="G2611" s="18"/>
    </row>
    <row r="2612" spans="1:7" ht="22.5" customHeight="1">
      <c r="A2612" s="236"/>
      <c r="B2612" s="18"/>
      <c r="C2612" s="18"/>
      <c r="D2612" s="213"/>
      <c r="E2612" s="237"/>
      <c r="F2612" s="18"/>
      <c r="G2612" s="18"/>
    </row>
    <row r="2613" spans="1:7" ht="22.5" customHeight="1">
      <c r="A2613" s="236"/>
      <c r="B2613" s="18"/>
      <c r="C2613" s="18"/>
      <c r="D2613" s="213"/>
      <c r="E2613" s="237"/>
      <c r="F2613" s="18"/>
      <c r="G2613" s="18"/>
    </row>
    <row r="2614" spans="1:7" ht="22.5" customHeight="1">
      <c r="A2614" s="236"/>
      <c r="B2614" s="18"/>
      <c r="C2614" s="18"/>
      <c r="D2614" s="213"/>
      <c r="E2614" s="237"/>
      <c r="F2614" s="18"/>
      <c r="G2614" s="18"/>
    </row>
    <row r="2615" spans="1:7" ht="22.5" customHeight="1">
      <c r="A2615" s="236"/>
      <c r="B2615" s="18"/>
      <c r="C2615" s="18"/>
      <c r="D2615" s="213"/>
      <c r="E2615" s="237"/>
      <c r="F2615" s="18"/>
      <c r="G2615" s="18"/>
    </row>
    <row r="2616" spans="1:7" ht="22.5" customHeight="1">
      <c r="A2616" s="236"/>
      <c r="B2616" s="18"/>
      <c r="C2616" s="18"/>
      <c r="D2616" s="213"/>
      <c r="E2616" s="237"/>
      <c r="F2616" s="18"/>
      <c r="G2616" s="18"/>
    </row>
    <row r="2617" spans="1:7" ht="22.5" customHeight="1">
      <c r="A2617" s="236"/>
      <c r="B2617" s="18"/>
      <c r="C2617" s="18"/>
      <c r="D2617" s="213"/>
      <c r="E2617" s="237"/>
      <c r="F2617" s="18"/>
      <c r="G2617" s="18"/>
    </row>
    <row r="2618" spans="1:7" ht="22.5" customHeight="1">
      <c r="A2618" s="236"/>
      <c r="B2618" s="18"/>
      <c r="C2618" s="18"/>
      <c r="D2618" s="213"/>
      <c r="E2618" s="237"/>
      <c r="F2618" s="18"/>
      <c r="G2618" s="18"/>
    </row>
    <row r="2619" spans="1:7" ht="22.5" customHeight="1">
      <c r="A2619" s="236"/>
      <c r="B2619" s="18"/>
      <c r="C2619" s="18"/>
      <c r="D2619" s="213"/>
      <c r="E2619" s="237"/>
      <c r="F2619" s="18"/>
      <c r="G2619" s="18"/>
    </row>
    <row r="2620" spans="1:7" ht="22.5" customHeight="1">
      <c r="A2620" s="236"/>
      <c r="B2620" s="18"/>
      <c r="C2620" s="18"/>
      <c r="D2620" s="213"/>
      <c r="E2620" s="237"/>
      <c r="F2620" s="18"/>
      <c r="G2620" s="18"/>
    </row>
    <row r="2621" spans="1:7" ht="22.5" customHeight="1">
      <c r="A2621" s="236"/>
      <c r="B2621" s="18"/>
      <c r="C2621" s="18"/>
      <c r="D2621" s="213"/>
      <c r="E2621" s="237"/>
      <c r="F2621" s="18"/>
      <c r="G2621" s="18"/>
    </row>
    <row r="2622" spans="1:7" ht="22.5" customHeight="1">
      <c r="A2622" s="236"/>
      <c r="B2622" s="18"/>
      <c r="C2622" s="18"/>
      <c r="D2622" s="213"/>
      <c r="E2622" s="237"/>
      <c r="F2622" s="18"/>
      <c r="G2622" s="18"/>
    </row>
    <row r="2623" spans="1:7" ht="22.5" customHeight="1">
      <c r="A2623" s="236"/>
      <c r="B2623" s="18"/>
      <c r="C2623" s="18"/>
      <c r="D2623" s="213"/>
      <c r="E2623" s="237"/>
      <c r="F2623" s="18"/>
      <c r="G2623" s="18"/>
    </row>
    <row r="2624" spans="1:7" ht="22.5" customHeight="1">
      <c r="A2624" s="236"/>
      <c r="B2624" s="18"/>
      <c r="C2624" s="18"/>
      <c r="D2624" s="213"/>
      <c r="E2624" s="237"/>
      <c r="F2624" s="18"/>
      <c r="G2624" s="18"/>
    </row>
    <row r="2625" spans="1:7" ht="22.5" customHeight="1">
      <c r="A2625" s="236"/>
      <c r="B2625" s="18"/>
      <c r="C2625" s="18"/>
      <c r="D2625" s="213"/>
      <c r="E2625" s="237"/>
      <c r="F2625" s="18"/>
      <c r="G2625" s="18"/>
    </row>
    <row r="2626" spans="1:7" ht="22.5" customHeight="1">
      <c r="A2626" s="236"/>
      <c r="B2626" s="18"/>
      <c r="C2626" s="18"/>
      <c r="D2626" s="213"/>
      <c r="E2626" s="237"/>
      <c r="F2626" s="18"/>
      <c r="G2626" s="18"/>
    </row>
    <row r="2627" spans="1:7" ht="22.5" customHeight="1">
      <c r="A2627" s="236"/>
      <c r="B2627" s="18"/>
      <c r="C2627" s="18"/>
      <c r="D2627" s="213"/>
      <c r="E2627" s="237"/>
      <c r="F2627" s="18"/>
      <c r="G2627" s="18"/>
    </row>
    <row r="2628" spans="1:7" ht="22.5" customHeight="1">
      <c r="A2628" s="236"/>
      <c r="B2628" s="18"/>
      <c r="C2628" s="18"/>
      <c r="D2628" s="213"/>
      <c r="E2628" s="237"/>
      <c r="F2628" s="18"/>
      <c r="G2628" s="18"/>
    </row>
    <row r="2629" spans="1:7" ht="22.5" customHeight="1">
      <c r="A2629" s="236"/>
      <c r="B2629" s="18"/>
      <c r="C2629" s="18"/>
      <c r="D2629" s="213"/>
      <c r="E2629" s="237"/>
      <c r="F2629" s="18"/>
      <c r="G2629" s="18"/>
    </row>
    <row r="2630" spans="1:7" ht="22.5" customHeight="1">
      <c r="A2630" s="236"/>
      <c r="B2630" s="18"/>
      <c r="C2630" s="18"/>
      <c r="D2630" s="213"/>
      <c r="E2630" s="237"/>
      <c r="F2630" s="18"/>
      <c r="G2630" s="18"/>
    </row>
    <row r="2631" spans="1:7" ht="22.5" customHeight="1">
      <c r="A2631" s="236"/>
      <c r="B2631" s="18"/>
      <c r="C2631" s="18"/>
      <c r="D2631" s="213"/>
      <c r="E2631" s="237"/>
      <c r="F2631" s="18"/>
      <c r="G2631" s="18"/>
    </row>
    <row r="2632" spans="1:7" ht="22.5" customHeight="1">
      <c r="A2632" s="236"/>
      <c r="B2632" s="18"/>
      <c r="C2632" s="18"/>
      <c r="D2632" s="213"/>
      <c r="E2632" s="237"/>
      <c r="F2632" s="18"/>
      <c r="G2632" s="18"/>
    </row>
    <row r="2633" spans="1:7" ht="22.5" customHeight="1">
      <c r="A2633" s="236"/>
      <c r="B2633" s="18"/>
      <c r="C2633" s="18"/>
      <c r="D2633" s="213"/>
      <c r="E2633" s="237"/>
      <c r="F2633" s="18"/>
      <c r="G2633" s="18"/>
    </row>
    <row r="2634" spans="1:7" ht="22.5" customHeight="1">
      <c r="A2634" s="236"/>
      <c r="B2634" s="18"/>
      <c r="C2634" s="18"/>
      <c r="D2634" s="213"/>
      <c r="E2634" s="237"/>
      <c r="F2634" s="18"/>
      <c r="G2634" s="18"/>
    </row>
    <row r="2635" spans="1:7" ht="22.5" customHeight="1">
      <c r="A2635" s="236"/>
      <c r="B2635" s="18"/>
      <c r="C2635" s="18"/>
      <c r="D2635" s="213"/>
      <c r="E2635" s="237"/>
      <c r="F2635" s="18"/>
      <c r="G2635" s="18"/>
    </row>
    <row r="2636" spans="1:7" ht="22.5" customHeight="1">
      <c r="A2636" s="236"/>
      <c r="B2636" s="18"/>
      <c r="C2636" s="18"/>
      <c r="D2636" s="213"/>
      <c r="E2636" s="237"/>
      <c r="F2636" s="18"/>
      <c r="G2636" s="18"/>
    </row>
    <row r="2637" spans="1:7" ht="22.5" customHeight="1">
      <c r="A2637" s="236"/>
      <c r="B2637" s="18"/>
      <c r="C2637" s="18"/>
      <c r="D2637" s="213"/>
      <c r="E2637" s="237"/>
      <c r="F2637" s="18"/>
      <c r="G2637" s="18"/>
    </row>
    <row r="2638" spans="1:7" ht="22.5" customHeight="1">
      <c r="A2638" s="236"/>
      <c r="B2638" s="18"/>
      <c r="C2638" s="18"/>
      <c r="D2638" s="213"/>
      <c r="E2638" s="237"/>
      <c r="F2638" s="18"/>
      <c r="G2638" s="18"/>
    </row>
    <row r="2639" spans="1:7" ht="22.5" customHeight="1">
      <c r="A2639" s="236"/>
      <c r="B2639" s="18"/>
      <c r="C2639" s="18"/>
      <c r="D2639" s="213"/>
      <c r="E2639" s="237"/>
      <c r="F2639" s="18"/>
      <c r="G2639" s="18"/>
    </row>
    <row r="2640" spans="1:7" ht="22.5" customHeight="1">
      <c r="A2640" s="236"/>
      <c r="B2640" s="18"/>
      <c r="C2640" s="18"/>
      <c r="D2640" s="213"/>
      <c r="E2640" s="237"/>
      <c r="F2640" s="18"/>
      <c r="G2640" s="18"/>
    </row>
    <row r="2641" spans="1:7" ht="22.5" customHeight="1">
      <c r="A2641" s="236"/>
      <c r="B2641" s="18"/>
      <c r="C2641" s="18"/>
      <c r="D2641" s="213"/>
      <c r="E2641" s="237"/>
      <c r="F2641" s="18"/>
      <c r="G2641" s="18"/>
    </row>
    <row r="2642" spans="1:7" ht="22.5" customHeight="1">
      <c r="A2642" s="236"/>
      <c r="B2642" s="18"/>
      <c r="C2642" s="18"/>
      <c r="D2642" s="213"/>
      <c r="E2642" s="237"/>
      <c r="F2642" s="18"/>
      <c r="G2642" s="18"/>
    </row>
    <row r="2643" spans="1:7" ht="22.5" customHeight="1">
      <c r="A2643" s="236"/>
      <c r="B2643" s="18"/>
      <c r="C2643" s="18"/>
      <c r="D2643" s="213"/>
      <c r="E2643" s="237"/>
      <c r="F2643" s="18"/>
      <c r="G2643" s="18"/>
    </row>
    <row r="2644" spans="1:7" ht="22.5" customHeight="1">
      <c r="A2644" s="236"/>
      <c r="B2644" s="18"/>
      <c r="C2644" s="18"/>
      <c r="D2644" s="213"/>
      <c r="E2644" s="237"/>
      <c r="F2644" s="18"/>
      <c r="G2644" s="18"/>
    </row>
    <row r="2645" spans="1:7" ht="22.5" customHeight="1">
      <c r="A2645" s="236"/>
      <c r="B2645" s="18"/>
      <c r="C2645" s="18"/>
      <c r="D2645" s="213"/>
      <c r="E2645" s="237"/>
      <c r="F2645" s="18"/>
      <c r="G2645" s="18"/>
    </row>
    <row r="2646" spans="1:7" ht="22.5" customHeight="1">
      <c r="A2646" s="236"/>
      <c r="B2646" s="18"/>
      <c r="C2646" s="18"/>
      <c r="D2646" s="213"/>
      <c r="E2646" s="237"/>
      <c r="F2646" s="18"/>
      <c r="G2646" s="18"/>
    </row>
    <row r="2647" spans="1:7" ht="22.5" customHeight="1">
      <c r="A2647" s="236"/>
      <c r="B2647" s="18"/>
      <c r="C2647" s="18"/>
      <c r="D2647" s="213"/>
      <c r="E2647" s="237"/>
      <c r="F2647" s="18"/>
      <c r="G2647" s="18"/>
    </row>
    <row r="2648" spans="1:7" ht="22.5" customHeight="1">
      <c r="A2648" s="236"/>
      <c r="B2648" s="18"/>
      <c r="C2648" s="18"/>
      <c r="D2648" s="213"/>
      <c r="E2648" s="237"/>
      <c r="F2648" s="18"/>
      <c r="G2648" s="18"/>
    </row>
    <row r="2649" spans="1:7" ht="22.5" customHeight="1">
      <c r="A2649" s="236"/>
      <c r="B2649" s="18"/>
      <c r="C2649" s="18"/>
      <c r="D2649" s="213"/>
      <c r="E2649" s="237"/>
      <c r="F2649" s="18"/>
      <c r="G2649" s="18"/>
    </row>
    <row r="2650" spans="1:7" ht="22.5" customHeight="1">
      <c r="A2650" s="236"/>
      <c r="B2650" s="18"/>
      <c r="C2650" s="18"/>
      <c r="D2650" s="213"/>
      <c r="E2650" s="237"/>
      <c r="F2650" s="18"/>
      <c r="G2650" s="18"/>
    </row>
    <row r="2651" spans="1:7" ht="22.5" customHeight="1">
      <c r="A2651" s="236"/>
      <c r="B2651" s="18"/>
      <c r="C2651" s="18"/>
      <c r="D2651" s="213"/>
      <c r="E2651" s="237"/>
      <c r="F2651" s="18"/>
      <c r="G2651" s="18"/>
    </row>
    <row r="2652" spans="1:7" ht="22.5" customHeight="1">
      <c r="A2652" s="236"/>
      <c r="B2652" s="18"/>
      <c r="C2652" s="18"/>
      <c r="D2652" s="213"/>
      <c r="E2652" s="237"/>
      <c r="F2652" s="18"/>
      <c r="G2652" s="18"/>
    </row>
    <row r="2653" spans="1:7" ht="22.5" customHeight="1">
      <c r="A2653" s="236"/>
      <c r="B2653" s="18"/>
      <c r="C2653" s="18"/>
      <c r="D2653" s="213"/>
      <c r="E2653" s="237"/>
      <c r="F2653" s="18"/>
      <c r="G2653" s="18"/>
    </row>
    <row r="2654" spans="1:7" ht="22.5" customHeight="1">
      <c r="A2654" s="236"/>
      <c r="B2654" s="18"/>
      <c r="C2654" s="18"/>
      <c r="D2654" s="213"/>
      <c r="E2654" s="237"/>
      <c r="F2654" s="18"/>
      <c r="G2654" s="18"/>
    </row>
    <row r="2655" spans="1:7" ht="22.5" customHeight="1">
      <c r="A2655" s="236"/>
      <c r="B2655" s="18"/>
      <c r="C2655" s="18"/>
      <c r="D2655" s="213"/>
      <c r="E2655" s="237"/>
      <c r="F2655" s="18"/>
      <c r="G2655" s="18"/>
    </row>
    <row r="2656" spans="1:7" ht="22.5" customHeight="1">
      <c r="A2656" s="236"/>
      <c r="B2656" s="18"/>
      <c r="C2656" s="18"/>
      <c r="D2656" s="213"/>
      <c r="E2656" s="237"/>
      <c r="F2656" s="18"/>
      <c r="G2656" s="18"/>
    </row>
    <row r="2657" spans="1:7" ht="22.5" customHeight="1">
      <c r="A2657" s="236"/>
      <c r="B2657" s="18"/>
      <c r="C2657" s="18"/>
      <c r="D2657" s="213"/>
      <c r="E2657" s="237"/>
      <c r="F2657" s="18"/>
      <c r="G2657" s="18"/>
    </row>
    <row r="2658" spans="1:7" ht="22.5" customHeight="1">
      <c r="A2658" s="236"/>
      <c r="B2658" s="18"/>
      <c r="C2658" s="18"/>
      <c r="D2658" s="213"/>
      <c r="E2658" s="237"/>
      <c r="F2658" s="18"/>
      <c r="G2658" s="18"/>
    </row>
    <row r="2659" spans="1:7" ht="22.5" customHeight="1">
      <c r="A2659" s="236"/>
      <c r="B2659" s="18"/>
      <c r="C2659" s="18"/>
      <c r="D2659" s="213"/>
      <c r="E2659" s="237"/>
      <c r="F2659" s="18"/>
      <c r="G2659" s="18"/>
    </row>
    <row r="2660" spans="1:7" ht="22.5" customHeight="1">
      <c r="A2660" s="236"/>
      <c r="B2660" s="18"/>
      <c r="C2660" s="18"/>
      <c r="D2660" s="213"/>
      <c r="E2660" s="237"/>
      <c r="F2660" s="18"/>
      <c r="G2660" s="18"/>
    </row>
    <row r="2661" spans="1:7" ht="22.5" customHeight="1">
      <c r="A2661" s="236"/>
      <c r="B2661" s="18"/>
      <c r="C2661" s="18"/>
      <c r="D2661" s="213"/>
      <c r="E2661" s="237"/>
      <c r="F2661" s="18"/>
      <c r="G2661" s="18"/>
    </row>
    <row r="2662" spans="1:7" ht="22.5" customHeight="1">
      <c r="A2662" s="236"/>
      <c r="B2662" s="18"/>
      <c r="C2662" s="18"/>
      <c r="D2662" s="213"/>
      <c r="E2662" s="237"/>
      <c r="F2662" s="18"/>
      <c r="G2662" s="18"/>
    </row>
    <row r="2663" spans="1:7" ht="22.5" customHeight="1">
      <c r="A2663" s="236"/>
      <c r="B2663" s="18"/>
      <c r="C2663" s="18"/>
      <c r="D2663" s="213"/>
      <c r="E2663" s="237"/>
      <c r="F2663" s="18"/>
      <c r="G2663" s="18"/>
    </row>
    <row r="2664" spans="1:7" ht="22.5" customHeight="1">
      <c r="A2664" s="236"/>
      <c r="B2664" s="18"/>
      <c r="C2664" s="18"/>
      <c r="D2664" s="213"/>
      <c r="E2664" s="237"/>
      <c r="F2664" s="18"/>
      <c r="G2664" s="18"/>
    </row>
    <row r="2665" spans="1:7" ht="22.5" customHeight="1">
      <c r="A2665" s="236"/>
      <c r="B2665" s="18"/>
      <c r="C2665" s="18"/>
      <c r="D2665" s="213"/>
      <c r="E2665" s="237"/>
      <c r="F2665" s="18"/>
      <c r="G2665" s="18"/>
    </row>
    <row r="2666" spans="1:7" ht="22.5" customHeight="1">
      <c r="A2666" s="236"/>
      <c r="B2666" s="18"/>
      <c r="C2666" s="18"/>
      <c r="D2666" s="213"/>
      <c r="E2666" s="237"/>
      <c r="F2666" s="18"/>
      <c r="G2666" s="18"/>
    </row>
    <row r="2667" spans="1:7" ht="22.5" customHeight="1">
      <c r="A2667" s="236"/>
      <c r="B2667" s="18"/>
      <c r="C2667" s="18"/>
      <c r="D2667" s="213"/>
      <c r="E2667" s="237"/>
      <c r="F2667" s="18"/>
      <c r="G2667" s="18"/>
    </row>
    <row r="2668" spans="1:7" ht="22.5" customHeight="1">
      <c r="A2668" s="236"/>
      <c r="B2668" s="18"/>
      <c r="C2668" s="18"/>
      <c r="D2668" s="213"/>
      <c r="E2668" s="237"/>
      <c r="F2668" s="18"/>
      <c r="G2668" s="18"/>
    </row>
    <row r="2669" spans="1:7" ht="22.5" customHeight="1">
      <c r="A2669" s="236"/>
      <c r="B2669" s="18"/>
      <c r="C2669" s="18"/>
      <c r="D2669" s="213"/>
      <c r="E2669" s="237"/>
      <c r="F2669" s="18"/>
      <c r="G2669" s="18"/>
    </row>
    <row r="2670" spans="1:7" ht="22.5" customHeight="1">
      <c r="A2670" s="236"/>
      <c r="B2670" s="18"/>
      <c r="C2670" s="18"/>
      <c r="D2670" s="213"/>
      <c r="E2670" s="237"/>
      <c r="F2670" s="18"/>
      <c r="G2670" s="18"/>
    </row>
    <row r="2671" spans="1:7" ht="22.5" customHeight="1">
      <c r="A2671" s="236"/>
      <c r="B2671" s="18"/>
      <c r="C2671" s="18"/>
      <c r="D2671" s="213"/>
      <c r="E2671" s="237"/>
      <c r="F2671" s="18"/>
      <c r="G2671" s="18"/>
    </row>
    <row r="2672" spans="1:7" ht="22.5" customHeight="1">
      <c r="A2672" s="236"/>
      <c r="B2672" s="18"/>
      <c r="C2672" s="18"/>
      <c r="D2672" s="213"/>
      <c r="E2672" s="237"/>
      <c r="F2672" s="18"/>
      <c r="G2672" s="18"/>
    </row>
    <row r="2673" spans="1:7" ht="22.5" customHeight="1">
      <c r="A2673" s="236"/>
      <c r="B2673" s="18"/>
      <c r="C2673" s="18"/>
      <c r="D2673" s="213"/>
      <c r="E2673" s="237"/>
      <c r="F2673" s="18"/>
      <c r="G2673" s="18"/>
    </row>
    <row r="2674" spans="1:7" ht="22.5" customHeight="1">
      <c r="A2674" s="236"/>
      <c r="B2674" s="18"/>
      <c r="C2674" s="18"/>
      <c r="D2674" s="213"/>
      <c r="E2674" s="237"/>
      <c r="F2674" s="18"/>
      <c r="G2674" s="18"/>
    </row>
    <row r="2675" spans="1:7" ht="22.5" customHeight="1">
      <c r="A2675" s="236"/>
      <c r="B2675" s="18"/>
      <c r="C2675" s="18"/>
      <c r="D2675" s="213"/>
      <c r="E2675" s="237"/>
      <c r="F2675" s="18"/>
      <c r="G2675" s="18"/>
    </row>
    <row r="2676" spans="1:7" ht="22.5" customHeight="1">
      <c r="A2676" s="236"/>
      <c r="B2676" s="18"/>
      <c r="C2676" s="18"/>
      <c r="D2676" s="213"/>
      <c r="E2676" s="237"/>
      <c r="F2676" s="18"/>
      <c r="G2676" s="18"/>
    </row>
    <row r="2677" spans="1:7" ht="22.5" customHeight="1">
      <c r="A2677" s="236"/>
      <c r="B2677" s="18"/>
      <c r="C2677" s="18"/>
      <c r="D2677" s="213"/>
      <c r="E2677" s="237"/>
      <c r="F2677" s="18"/>
      <c r="G2677" s="18"/>
    </row>
    <row r="2678" spans="1:7" ht="22.5" customHeight="1">
      <c r="A2678" s="236"/>
      <c r="B2678" s="18"/>
      <c r="C2678" s="18"/>
      <c r="D2678" s="213"/>
      <c r="E2678" s="237"/>
      <c r="F2678" s="18"/>
      <c r="G2678" s="18"/>
    </row>
    <row r="2679" spans="1:7" ht="22.5" customHeight="1">
      <c r="A2679" s="236"/>
      <c r="B2679" s="18"/>
      <c r="C2679" s="18"/>
      <c r="D2679" s="213"/>
      <c r="E2679" s="237"/>
      <c r="F2679" s="18"/>
      <c r="G2679" s="18"/>
    </row>
    <row r="2680" spans="1:7" ht="22.5" customHeight="1">
      <c r="A2680" s="236"/>
      <c r="B2680" s="18"/>
      <c r="C2680" s="18"/>
      <c r="D2680" s="213"/>
      <c r="E2680" s="237"/>
      <c r="F2680" s="18"/>
      <c r="G2680" s="18"/>
    </row>
    <row r="2681" spans="1:7" ht="22.5" customHeight="1">
      <c r="A2681" s="236"/>
      <c r="B2681" s="18"/>
      <c r="C2681" s="18"/>
      <c r="D2681" s="213"/>
      <c r="E2681" s="237"/>
      <c r="F2681" s="18"/>
      <c r="G2681" s="18"/>
    </row>
    <row r="2682" spans="1:7" ht="22.5" customHeight="1">
      <c r="A2682" s="236"/>
      <c r="B2682" s="18"/>
      <c r="C2682" s="18"/>
      <c r="D2682" s="213"/>
      <c r="E2682" s="237"/>
      <c r="F2682" s="18"/>
      <c r="G2682" s="18"/>
    </row>
    <row r="2683" spans="1:7" ht="22.5" customHeight="1">
      <c r="A2683" s="236"/>
      <c r="B2683" s="18"/>
      <c r="C2683" s="18"/>
      <c r="D2683" s="213"/>
      <c r="E2683" s="237"/>
      <c r="F2683" s="18"/>
      <c r="G2683" s="18"/>
    </row>
    <row r="2684" spans="1:7" ht="22.5" customHeight="1">
      <c r="A2684" s="236"/>
      <c r="B2684" s="18"/>
      <c r="C2684" s="18"/>
      <c r="D2684" s="213"/>
      <c r="E2684" s="237"/>
      <c r="F2684" s="18"/>
      <c r="G2684" s="18"/>
    </row>
    <row r="2685" spans="1:7" ht="22.5" customHeight="1">
      <c r="A2685" s="236"/>
      <c r="B2685" s="18"/>
      <c r="C2685" s="18"/>
      <c r="D2685" s="213"/>
      <c r="E2685" s="237"/>
      <c r="F2685" s="18"/>
      <c r="G2685" s="18"/>
    </row>
    <row r="2686" spans="1:7" ht="22.5" customHeight="1">
      <c r="A2686" s="236"/>
      <c r="B2686" s="18"/>
      <c r="C2686" s="18"/>
      <c r="D2686" s="213"/>
      <c r="E2686" s="237"/>
      <c r="F2686" s="18"/>
      <c r="G2686" s="18"/>
    </row>
    <row r="2687" spans="1:7" ht="22.5" customHeight="1">
      <c r="A2687" s="236"/>
      <c r="B2687" s="18"/>
      <c r="C2687" s="18"/>
      <c r="D2687" s="213"/>
      <c r="E2687" s="237"/>
      <c r="F2687" s="18"/>
      <c r="G2687" s="18"/>
    </row>
    <row r="2688" spans="1:7" ht="22.5" customHeight="1">
      <c r="A2688" s="236"/>
      <c r="B2688" s="18"/>
      <c r="C2688" s="18"/>
      <c r="D2688" s="213"/>
      <c r="E2688" s="237"/>
      <c r="F2688" s="18"/>
      <c r="G2688" s="18"/>
    </row>
    <row r="2689" spans="1:7" ht="22.5" customHeight="1">
      <c r="A2689" s="236"/>
      <c r="B2689" s="18"/>
      <c r="C2689" s="18"/>
      <c r="D2689" s="213"/>
      <c r="E2689" s="237"/>
      <c r="F2689" s="18"/>
      <c r="G2689" s="18"/>
    </row>
    <row r="2690" spans="1:7" ht="22.5" customHeight="1">
      <c r="A2690" s="236"/>
      <c r="B2690" s="18"/>
      <c r="C2690" s="18"/>
      <c r="D2690" s="213"/>
      <c r="E2690" s="237"/>
      <c r="F2690" s="18"/>
      <c r="G2690" s="18"/>
    </row>
    <row r="2691" spans="1:7" ht="22.5" customHeight="1">
      <c r="A2691" s="236"/>
      <c r="B2691" s="18"/>
      <c r="C2691" s="18"/>
      <c r="D2691" s="213"/>
      <c r="E2691" s="237"/>
      <c r="F2691" s="18"/>
      <c r="G2691" s="18"/>
    </row>
    <row r="2692" spans="1:7" ht="22.5" customHeight="1">
      <c r="A2692" s="236"/>
      <c r="B2692" s="18"/>
      <c r="C2692" s="18"/>
      <c r="D2692" s="213"/>
      <c r="E2692" s="237"/>
      <c r="F2692" s="18"/>
      <c r="G2692" s="18"/>
    </row>
    <row r="2693" spans="1:7" ht="22.5" customHeight="1">
      <c r="A2693" s="236"/>
      <c r="B2693" s="18"/>
      <c r="C2693" s="18"/>
      <c r="D2693" s="213"/>
      <c r="E2693" s="237"/>
      <c r="F2693" s="18"/>
      <c r="G2693" s="18"/>
    </row>
    <row r="2694" spans="1:7" ht="22.5" customHeight="1">
      <c r="A2694" s="236"/>
      <c r="B2694" s="18"/>
      <c r="C2694" s="18"/>
      <c r="D2694" s="213"/>
      <c r="E2694" s="237"/>
      <c r="F2694" s="18"/>
      <c r="G2694" s="18"/>
    </row>
    <row r="2695" spans="1:7" ht="22.5" customHeight="1">
      <c r="A2695" s="236"/>
      <c r="B2695" s="18"/>
      <c r="C2695" s="18"/>
      <c r="D2695" s="213"/>
      <c r="E2695" s="237"/>
      <c r="F2695" s="18"/>
      <c r="G2695" s="18"/>
    </row>
    <row r="2696" spans="1:7" ht="22.5" customHeight="1">
      <c r="A2696" s="236"/>
      <c r="B2696" s="18"/>
      <c r="C2696" s="18"/>
      <c r="D2696" s="213"/>
      <c r="E2696" s="237"/>
      <c r="F2696" s="18"/>
      <c r="G2696" s="18"/>
    </row>
    <row r="2697" spans="1:7" ht="22.5" customHeight="1">
      <c r="A2697" s="236"/>
      <c r="B2697" s="18"/>
      <c r="C2697" s="18"/>
      <c r="D2697" s="213"/>
      <c r="E2697" s="237"/>
      <c r="F2697" s="18"/>
      <c r="G2697" s="18"/>
    </row>
    <row r="2698" spans="1:7" ht="22.5" customHeight="1">
      <c r="A2698" s="236"/>
      <c r="B2698" s="18"/>
      <c r="C2698" s="18"/>
      <c r="D2698" s="213"/>
      <c r="E2698" s="237"/>
      <c r="F2698" s="18"/>
      <c r="G2698" s="18"/>
    </row>
    <row r="2699" spans="1:7" ht="22.5" customHeight="1">
      <c r="A2699" s="236"/>
      <c r="B2699" s="18"/>
      <c r="C2699" s="18"/>
      <c r="D2699" s="213"/>
      <c r="E2699" s="237"/>
      <c r="F2699" s="18"/>
      <c r="G2699" s="18"/>
    </row>
    <row r="2700" spans="1:7" ht="22.5" customHeight="1">
      <c r="A2700" s="236"/>
      <c r="B2700" s="18"/>
      <c r="C2700" s="18"/>
      <c r="D2700" s="213"/>
      <c r="E2700" s="237"/>
      <c r="F2700" s="18"/>
      <c r="G2700" s="18"/>
    </row>
    <row r="2701" spans="1:7" ht="22.5" customHeight="1">
      <c r="A2701" s="236"/>
      <c r="B2701" s="18"/>
      <c r="C2701" s="18"/>
      <c r="D2701" s="213"/>
      <c r="E2701" s="237"/>
      <c r="F2701" s="18"/>
      <c r="G2701" s="18"/>
    </row>
    <row r="2702" spans="1:7" ht="22.5" customHeight="1">
      <c r="A2702" s="236"/>
      <c r="B2702" s="18"/>
      <c r="C2702" s="18"/>
      <c r="D2702" s="213"/>
      <c r="E2702" s="237"/>
      <c r="F2702" s="18"/>
      <c r="G2702" s="18"/>
    </row>
    <row r="2703" spans="1:7" ht="22.5" customHeight="1">
      <c r="A2703" s="236"/>
      <c r="B2703" s="18"/>
      <c r="C2703" s="18"/>
      <c r="D2703" s="213"/>
      <c r="E2703" s="237"/>
      <c r="F2703" s="18"/>
      <c r="G2703" s="18"/>
    </row>
    <row r="2704" spans="1:7" ht="22.5" customHeight="1">
      <c r="A2704" s="236"/>
      <c r="B2704" s="18"/>
      <c r="C2704" s="18"/>
      <c r="D2704" s="213"/>
      <c r="E2704" s="237"/>
      <c r="F2704" s="18"/>
      <c r="G2704" s="18"/>
    </row>
    <row r="2705" spans="1:7" ht="22.5" customHeight="1">
      <c r="A2705" s="236"/>
      <c r="B2705" s="18"/>
      <c r="C2705" s="18"/>
      <c r="D2705" s="213"/>
      <c r="E2705" s="237"/>
      <c r="F2705" s="18"/>
      <c r="G2705" s="18"/>
    </row>
    <row r="2706" spans="1:7" ht="22.5" customHeight="1">
      <c r="A2706" s="236"/>
      <c r="B2706" s="18"/>
      <c r="C2706" s="18"/>
      <c r="D2706" s="213"/>
      <c r="E2706" s="237"/>
      <c r="F2706" s="18"/>
      <c r="G2706" s="18"/>
    </row>
    <row r="2707" spans="1:7" ht="22.5" customHeight="1">
      <c r="A2707" s="236"/>
      <c r="B2707" s="18"/>
      <c r="C2707" s="18"/>
      <c r="D2707" s="213"/>
      <c r="E2707" s="237"/>
      <c r="F2707" s="18"/>
      <c r="G2707" s="18"/>
    </row>
    <row r="2708" spans="1:7" ht="22.5" customHeight="1">
      <c r="A2708" s="236"/>
      <c r="B2708" s="18"/>
      <c r="C2708" s="18"/>
      <c r="D2708" s="213"/>
      <c r="E2708" s="237"/>
      <c r="F2708" s="18"/>
      <c r="G2708" s="18"/>
    </row>
    <row r="2709" spans="1:7" ht="22.5" customHeight="1">
      <c r="A2709" s="236"/>
      <c r="B2709" s="18"/>
      <c r="C2709" s="18"/>
      <c r="D2709" s="213"/>
      <c r="E2709" s="237"/>
      <c r="F2709" s="18"/>
      <c r="G2709" s="18"/>
    </row>
    <row r="2710" spans="1:7" ht="22.5" customHeight="1">
      <c r="A2710" s="236"/>
      <c r="B2710" s="18"/>
      <c r="C2710" s="18"/>
      <c r="D2710" s="213"/>
      <c r="E2710" s="237"/>
      <c r="F2710" s="18"/>
      <c r="G2710" s="18"/>
    </row>
    <row r="2711" spans="1:7" ht="22.5" customHeight="1">
      <c r="A2711" s="236"/>
      <c r="B2711" s="18"/>
      <c r="C2711" s="18"/>
      <c r="D2711" s="213"/>
      <c r="E2711" s="237"/>
      <c r="F2711" s="18"/>
      <c r="G2711" s="18"/>
    </row>
    <row r="2712" spans="1:7" ht="22.5" customHeight="1">
      <c r="A2712" s="236"/>
      <c r="B2712" s="18"/>
      <c r="C2712" s="18"/>
      <c r="D2712" s="213"/>
      <c r="E2712" s="237"/>
      <c r="F2712" s="18"/>
      <c r="G2712" s="18"/>
    </row>
    <row r="2713" spans="1:7" ht="22.5" customHeight="1">
      <c r="A2713" s="236"/>
      <c r="B2713" s="18"/>
      <c r="C2713" s="18"/>
      <c r="D2713" s="213"/>
      <c r="E2713" s="237"/>
      <c r="F2713" s="18"/>
      <c r="G2713" s="18"/>
    </row>
    <row r="2714" spans="1:7" ht="22.5" customHeight="1">
      <c r="A2714" s="236"/>
      <c r="B2714" s="18"/>
      <c r="C2714" s="18"/>
      <c r="D2714" s="213"/>
      <c r="E2714" s="237"/>
      <c r="F2714" s="18"/>
      <c r="G2714" s="18"/>
    </row>
    <row r="2715" spans="1:7" ht="22.5" customHeight="1">
      <c r="A2715" s="236"/>
      <c r="B2715" s="18"/>
      <c r="C2715" s="18"/>
      <c r="D2715" s="213"/>
      <c r="E2715" s="237"/>
      <c r="F2715" s="18"/>
      <c r="G2715" s="18"/>
    </row>
    <row r="2716" spans="1:7" ht="22.5" customHeight="1">
      <c r="A2716" s="236"/>
      <c r="B2716" s="18"/>
      <c r="C2716" s="18"/>
      <c r="D2716" s="213"/>
      <c r="E2716" s="237"/>
      <c r="F2716" s="18"/>
      <c r="G2716" s="18"/>
    </row>
    <row r="2717" spans="1:7" ht="22.5" customHeight="1">
      <c r="A2717" s="236"/>
      <c r="B2717" s="18"/>
      <c r="C2717" s="18"/>
      <c r="D2717" s="213"/>
      <c r="E2717" s="237"/>
      <c r="F2717" s="18"/>
      <c r="G2717" s="18"/>
    </row>
    <row r="2718" spans="1:7" ht="22.5" customHeight="1">
      <c r="A2718" s="236"/>
      <c r="B2718" s="18"/>
      <c r="C2718" s="18"/>
      <c r="D2718" s="213"/>
      <c r="E2718" s="237"/>
      <c r="F2718" s="18"/>
      <c r="G2718" s="18"/>
    </row>
    <row r="2719" spans="1:7" ht="22.5" customHeight="1">
      <c r="A2719" s="236"/>
      <c r="B2719" s="18"/>
      <c r="C2719" s="18"/>
      <c r="D2719" s="213"/>
      <c r="E2719" s="237"/>
      <c r="F2719" s="18"/>
      <c r="G2719" s="18"/>
    </row>
    <row r="2720" spans="1:7" ht="22.5" customHeight="1">
      <c r="A2720" s="236"/>
      <c r="B2720" s="18"/>
      <c r="C2720" s="18"/>
      <c r="D2720" s="213"/>
      <c r="E2720" s="237"/>
      <c r="F2720" s="18"/>
      <c r="G2720" s="18"/>
    </row>
    <row r="2721" spans="1:7" ht="22.5" customHeight="1">
      <c r="A2721" s="236"/>
      <c r="B2721" s="18"/>
      <c r="C2721" s="18"/>
      <c r="D2721" s="213"/>
      <c r="E2721" s="237"/>
      <c r="F2721" s="18"/>
      <c r="G2721" s="18"/>
    </row>
    <row r="2722" spans="1:7" ht="22.5" customHeight="1">
      <c r="A2722" s="236"/>
      <c r="B2722" s="18"/>
      <c r="C2722" s="18"/>
      <c r="D2722" s="213"/>
      <c r="E2722" s="237"/>
      <c r="F2722" s="18"/>
      <c r="G2722" s="18"/>
    </row>
    <row r="2723" spans="1:7" ht="22.5" customHeight="1">
      <c r="A2723" s="236"/>
      <c r="B2723" s="18"/>
      <c r="C2723" s="18"/>
      <c r="D2723" s="213"/>
      <c r="E2723" s="237"/>
      <c r="F2723" s="18"/>
      <c r="G2723" s="18"/>
    </row>
    <row r="2724" spans="1:7" ht="22.5" customHeight="1">
      <c r="A2724" s="236"/>
      <c r="B2724" s="18"/>
      <c r="C2724" s="18"/>
      <c r="D2724" s="213"/>
      <c r="E2724" s="237"/>
      <c r="F2724" s="18"/>
      <c r="G2724" s="18"/>
    </row>
    <row r="2725" spans="1:7" ht="22.5" customHeight="1">
      <c r="A2725" s="236"/>
      <c r="B2725" s="18"/>
      <c r="C2725" s="18"/>
      <c r="D2725" s="213"/>
      <c r="E2725" s="237"/>
      <c r="F2725" s="18"/>
      <c r="G2725" s="18"/>
    </row>
    <row r="2726" spans="1:7" ht="22.5" customHeight="1">
      <c r="A2726" s="236"/>
      <c r="B2726" s="18"/>
      <c r="C2726" s="18"/>
      <c r="D2726" s="213"/>
      <c r="E2726" s="237"/>
      <c r="F2726" s="18"/>
      <c r="G2726" s="18"/>
    </row>
    <row r="2727" spans="1:7" ht="22.5" customHeight="1">
      <c r="A2727" s="236"/>
      <c r="B2727" s="18"/>
      <c r="C2727" s="18"/>
      <c r="D2727" s="213"/>
      <c r="E2727" s="237"/>
      <c r="F2727" s="18"/>
      <c r="G2727" s="18"/>
    </row>
    <row r="2728" spans="1:7" ht="22.5" customHeight="1">
      <c r="A2728" s="236"/>
      <c r="B2728" s="18"/>
      <c r="C2728" s="18"/>
      <c r="D2728" s="213"/>
      <c r="E2728" s="237"/>
      <c r="F2728" s="18"/>
      <c r="G2728" s="18"/>
    </row>
    <row r="2729" spans="1:7" ht="22.5" customHeight="1">
      <c r="A2729" s="236"/>
      <c r="B2729" s="18"/>
      <c r="C2729" s="18"/>
      <c r="D2729" s="213"/>
      <c r="E2729" s="237"/>
      <c r="F2729" s="18"/>
      <c r="G2729" s="18"/>
    </row>
    <row r="2730" spans="1:7" ht="22.5" customHeight="1">
      <c r="A2730" s="236"/>
      <c r="B2730" s="18"/>
      <c r="C2730" s="18"/>
      <c r="D2730" s="213"/>
      <c r="E2730" s="237"/>
      <c r="F2730" s="18"/>
      <c r="G2730" s="18"/>
    </row>
    <row r="2731" spans="1:7" ht="22.5" customHeight="1">
      <c r="A2731" s="236"/>
      <c r="B2731" s="18"/>
      <c r="C2731" s="18"/>
      <c r="D2731" s="213"/>
      <c r="E2731" s="237"/>
      <c r="F2731" s="18"/>
      <c r="G2731" s="18"/>
    </row>
    <row r="2732" spans="1:7" ht="22.5" customHeight="1">
      <c r="A2732" s="236"/>
      <c r="B2732" s="18"/>
      <c r="C2732" s="18"/>
      <c r="D2732" s="213"/>
      <c r="E2732" s="237"/>
      <c r="F2732" s="18"/>
      <c r="G2732" s="18"/>
    </row>
    <row r="2733" spans="1:7" ht="22.5" customHeight="1">
      <c r="A2733" s="236"/>
      <c r="B2733" s="18"/>
      <c r="C2733" s="18"/>
      <c r="D2733" s="213"/>
      <c r="E2733" s="237"/>
      <c r="F2733" s="18"/>
      <c r="G2733" s="18"/>
    </row>
    <row r="2734" spans="1:7" ht="22.5" customHeight="1">
      <c r="A2734" s="236"/>
      <c r="B2734" s="18"/>
      <c r="C2734" s="18"/>
      <c r="D2734" s="213"/>
      <c r="E2734" s="237"/>
      <c r="F2734" s="18"/>
      <c r="G2734" s="18"/>
    </row>
    <row r="2735" spans="1:7" ht="22.5" customHeight="1">
      <c r="A2735" s="236"/>
      <c r="B2735" s="18"/>
      <c r="C2735" s="18"/>
      <c r="D2735" s="213"/>
      <c r="E2735" s="237"/>
      <c r="F2735" s="18"/>
      <c r="G2735" s="18"/>
    </row>
    <row r="2736" spans="1:7" ht="22.5" customHeight="1">
      <c r="A2736" s="236"/>
      <c r="B2736" s="18"/>
      <c r="C2736" s="18"/>
      <c r="D2736" s="213"/>
      <c r="E2736" s="237"/>
      <c r="F2736" s="18"/>
      <c r="G2736" s="18"/>
    </row>
    <row r="2737" spans="1:7" ht="22.5" customHeight="1">
      <c r="A2737" s="236"/>
      <c r="B2737" s="18"/>
      <c r="C2737" s="18"/>
      <c r="D2737" s="213"/>
      <c r="E2737" s="237"/>
      <c r="F2737" s="18"/>
      <c r="G2737" s="18"/>
    </row>
    <row r="2738" spans="1:7" ht="22.5" customHeight="1">
      <c r="A2738" s="236"/>
      <c r="B2738" s="18"/>
      <c r="C2738" s="18"/>
      <c r="D2738" s="213"/>
      <c r="E2738" s="237"/>
      <c r="F2738" s="18"/>
      <c r="G2738" s="18"/>
    </row>
    <row r="2739" spans="1:7" ht="22.5" customHeight="1">
      <c r="A2739" s="236"/>
      <c r="B2739" s="18"/>
      <c r="C2739" s="18"/>
      <c r="D2739" s="213"/>
      <c r="E2739" s="237"/>
      <c r="F2739" s="18"/>
      <c r="G2739" s="18"/>
    </row>
    <row r="2740" spans="1:7" ht="22.5" customHeight="1">
      <c r="A2740" s="236"/>
      <c r="B2740" s="18"/>
      <c r="C2740" s="18"/>
      <c r="D2740" s="213"/>
      <c r="E2740" s="237"/>
      <c r="F2740" s="18"/>
      <c r="G2740" s="18"/>
    </row>
    <row r="2741" spans="1:7" ht="22.5" customHeight="1">
      <c r="A2741" s="236"/>
      <c r="B2741" s="18"/>
      <c r="C2741" s="18"/>
      <c r="D2741" s="213"/>
      <c r="E2741" s="237"/>
      <c r="F2741" s="18"/>
      <c r="G2741" s="18"/>
    </row>
    <row r="2742" spans="1:7" ht="22.5" customHeight="1">
      <c r="A2742" s="236"/>
      <c r="B2742" s="18"/>
      <c r="C2742" s="18"/>
      <c r="D2742" s="213"/>
      <c r="E2742" s="237"/>
      <c r="F2742" s="18"/>
      <c r="G2742" s="18"/>
    </row>
    <row r="2743" spans="1:7" ht="22.5" customHeight="1">
      <c r="A2743" s="236"/>
      <c r="B2743" s="18"/>
      <c r="C2743" s="18"/>
      <c r="D2743" s="213"/>
      <c r="E2743" s="237"/>
      <c r="F2743" s="18"/>
      <c r="G2743" s="18"/>
    </row>
    <row r="2744" spans="1:7" ht="22.5" customHeight="1">
      <c r="A2744" s="236"/>
      <c r="B2744" s="18"/>
      <c r="C2744" s="18"/>
      <c r="D2744" s="213"/>
      <c r="E2744" s="237"/>
      <c r="F2744" s="18"/>
      <c r="G2744" s="18"/>
    </row>
    <row r="2745" spans="1:7" ht="22.5" customHeight="1">
      <c r="A2745" s="236"/>
      <c r="B2745" s="18"/>
      <c r="C2745" s="18"/>
      <c r="D2745" s="213"/>
      <c r="E2745" s="237"/>
      <c r="F2745" s="18"/>
      <c r="G2745" s="18"/>
    </row>
    <row r="2746" spans="1:7" ht="22.5" customHeight="1">
      <c r="A2746" s="236"/>
      <c r="B2746" s="18"/>
      <c r="C2746" s="18"/>
      <c r="D2746" s="213"/>
      <c r="E2746" s="237"/>
      <c r="F2746" s="18"/>
      <c r="G2746" s="18"/>
    </row>
    <row r="2747" spans="1:7" ht="22.5" customHeight="1">
      <c r="A2747" s="236"/>
      <c r="B2747" s="18"/>
      <c r="C2747" s="18"/>
      <c r="D2747" s="213"/>
      <c r="E2747" s="237"/>
      <c r="F2747" s="18"/>
      <c r="G2747" s="18"/>
    </row>
    <row r="2748" spans="1:7" ht="22.5" customHeight="1">
      <c r="A2748" s="236"/>
      <c r="B2748" s="18"/>
      <c r="C2748" s="18"/>
      <c r="D2748" s="213"/>
      <c r="E2748" s="237"/>
      <c r="F2748" s="18"/>
      <c r="G2748" s="18"/>
    </row>
    <row r="2749" spans="1:7" ht="22.5" customHeight="1">
      <c r="A2749" s="236"/>
      <c r="B2749" s="18"/>
      <c r="C2749" s="18"/>
      <c r="D2749" s="213"/>
      <c r="E2749" s="237"/>
      <c r="F2749" s="18"/>
      <c r="G2749" s="18"/>
    </row>
    <row r="2750" spans="1:7" ht="22.5" customHeight="1">
      <c r="A2750" s="236"/>
      <c r="B2750" s="18"/>
      <c r="C2750" s="18"/>
      <c r="D2750" s="213"/>
      <c r="E2750" s="237"/>
      <c r="F2750" s="18"/>
      <c r="G2750" s="18"/>
    </row>
    <row r="2751" spans="1:7" ht="22.5" customHeight="1">
      <c r="A2751" s="236"/>
      <c r="B2751" s="18"/>
      <c r="C2751" s="18"/>
      <c r="D2751" s="213"/>
      <c r="E2751" s="237"/>
      <c r="F2751" s="18"/>
      <c r="G2751" s="18"/>
    </row>
    <row r="2752" spans="1:7" ht="22.5" customHeight="1">
      <c r="A2752" s="236"/>
      <c r="B2752" s="18"/>
      <c r="C2752" s="18"/>
      <c r="D2752" s="213"/>
      <c r="E2752" s="237"/>
      <c r="F2752" s="18"/>
      <c r="G2752" s="18"/>
    </row>
    <row r="2753" spans="1:7" ht="22.5" customHeight="1">
      <c r="A2753" s="236"/>
      <c r="B2753" s="18"/>
      <c r="C2753" s="18"/>
      <c r="D2753" s="213"/>
      <c r="E2753" s="237"/>
      <c r="F2753" s="18"/>
      <c r="G2753" s="18"/>
    </row>
    <row r="2754" spans="1:7" ht="22.5" customHeight="1">
      <c r="A2754" s="236"/>
      <c r="B2754" s="18"/>
      <c r="C2754" s="18"/>
      <c r="D2754" s="213"/>
      <c r="E2754" s="237"/>
      <c r="F2754" s="18"/>
      <c r="G2754" s="18"/>
    </row>
    <row r="2755" spans="1:7" ht="22.5" customHeight="1">
      <c r="A2755" s="236"/>
      <c r="B2755" s="18"/>
      <c r="C2755" s="18"/>
      <c r="D2755" s="213"/>
      <c r="E2755" s="237"/>
      <c r="F2755" s="18"/>
      <c r="G2755" s="18"/>
    </row>
    <row r="2756" spans="1:7" ht="22.5" customHeight="1">
      <c r="A2756" s="236"/>
      <c r="B2756" s="18"/>
      <c r="C2756" s="18"/>
      <c r="D2756" s="213"/>
      <c r="E2756" s="237"/>
      <c r="F2756" s="18"/>
      <c r="G2756" s="18"/>
    </row>
    <row r="2757" spans="1:7" ht="22.5" customHeight="1">
      <c r="A2757" s="236"/>
      <c r="B2757" s="18"/>
      <c r="C2757" s="18"/>
      <c r="D2757" s="213"/>
      <c r="E2757" s="237"/>
      <c r="F2757" s="18"/>
      <c r="G2757" s="18"/>
    </row>
    <row r="2758" spans="1:7" ht="22.5" customHeight="1">
      <c r="A2758" s="236"/>
      <c r="B2758" s="18"/>
      <c r="C2758" s="18"/>
      <c r="D2758" s="213"/>
      <c r="E2758" s="237"/>
      <c r="F2758" s="18"/>
      <c r="G2758" s="18"/>
    </row>
    <row r="2759" spans="1:7" ht="22.5" customHeight="1">
      <c r="A2759" s="236"/>
      <c r="B2759" s="18"/>
      <c r="C2759" s="18"/>
      <c r="D2759" s="213"/>
      <c r="E2759" s="237"/>
      <c r="F2759" s="18"/>
      <c r="G2759" s="18"/>
    </row>
    <row r="2760" spans="1:7" ht="22.5" customHeight="1">
      <c r="A2760" s="236"/>
      <c r="B2760" s="18"/>
      <c r="C2760" s="18"/>
      <c r="D2760" s="213"/>
      <c r="E2760" s="237"/>
      <c r="F2760" s="18"/>
      <c r="G2760" s="18"/>
    </row>
    <row r="2761" spans="1:7" ht="22.5" customHeight="1">
      <c r="A2761" s="236"/>
      <c r="B2761" s="18"/>
      <c r="C2761" s="18"/>
      <c r="D2761" s="213"/>
      <c r="E2761" s="237"/>
      <c r="F2761" s="18"/>
      <c r="G2761" s="18"/>
    </row>
    <row r="2762" spans="1:7" ht="22.5" customHeight="1">
      <c r="A2762" s="236"/>
      <c r="B2762" s="18"/>
      <c r="C2762" s="18"/>
      <c r="D2762" s="213"/>
      <c r="E2762" s="237"/>
      <c r="F2762" s="18"/>
      <c r="G2762" s="18"/>
    </row>
    <row r="2763" spans="1:7" ht="22.5" customHeight="1">
      <c r="A2763" s="236"/>
      <c r="B2763" s="18"/>
      <c r="C2763" s="18"/>
      <c r="D2763" s="213"/>
      <c r="E2763" s="237"/>
      <c r="F2763" s="18"/>
      <c r="G2763" s="18"/>
    </row>
    <row r="2764" spans="1:7" ht="22.5" customHeight="1">
      <c r="A2764" s="236"/>
      <c r="B2764" s="18"/>
      <c r="C2764" s="18"/>
      <c r="D2764" s="213"/>
      <c r="E2764" s="237"/>
      <c r="F2764" s="18"/>
      <c r="G2764" s="18"/>
    </row>
    <row r="2765" spans="1:7" ht="22.5" customHeight="1">
      <c r="A2765" s="236"/>
      <c r="B2765" s="18"/>
      <c r="C2765" s="18"/>
      <c r="D2765" s="213"/>
      <c r="E2765" s="237"/>
      <c r="F2765" s="18"/>
      <c r="G2765" s="18"/>
    </row>
    <row r="2766" spans="1:7" ht="22.5" customHeight="1">
      <c r="A2766" s="236"/>
      <c r="B2766" s="18"/>
      <c r="C2766" s="18"/>
      <c r="D2766" s="213"/>
      <c r="E2766" s="237"/>
      <c r="F2766" s="18"/>
      <c r="G2766" s="18"/>
    </row>
    <row r="2767" spans="1:7" ht="22.5" customHeight="1">
      <c r="A2767" s="236"/>
      <c r="B2767" s="18"/>
      <c r="C2767" s="18"/>
      <c r="D2767" s="213"/>
      <c r="E2767" s="237"/>
      <c r="F2767" s="18"/>
      <c r="G2767" s="18"/>
    </row>
    <row r="2768" spans="1:7" ht="22.5" customHeight="1">
      <c r="A2768" s="236"/>
      <c r="B2768" s="18"/>
      <c r="C2768" s="18"/>
      <c r="D2768" s="213"/>
      <c r="E2768" s="237"/>
      <c r="F2768" s="18"/>
      <c r="G2768" s="18"/>
    </row>
    <row r="2769" spans="1:7" ht="22.5" customHeight="1">
      <c r="A2769" s="236"/>
      <c r="B2769" s="18"/>
      <c r="C2769" s="18"/>
      <c r="D2769" s="213"/>
      <c r="E2769" s="237"/>
      <c r="F2769" s="18"/>
      <c r="G2769" s="18"/>
    </row>
    <row r="2770" spans="1:7" ht="22.5" customHeight="1">
      <c r="A2770" s="236"/>
      <c r="B2770" s="18"/>
      <c r="C2770" s="18"/>
      <c r="D2770" s="213"/>
      <c r="E2770" s="237"/>
      <c r="F2770" s="18"/>
      <c r="G2770" s="18"/>
    </row>
    <row r="2771" spans="1:7" ht="22.5" customHeight="1">
      <c r="A2771" s="236"/>
      <c r="B2771" s="18"/>
      <c r="C2771" s="18"/>
      <c r="D2771" s="213"/>
      <c r="E2771" s="237"/>
      <c r="F2771" s="18"/>
      <c r="G2771" s="18"/>
    </row>
    <row r="2772" spans="1:7" ht="22.5" customHeight="1">
      <c r="A2772" s="236"/>
      <c r="B2772" s="18"/>
      <c r="C2772" s="18"/>
      <c r="D2772" s="213"/>
      <c r="E2772" s="237"/>
      <c r="F2772" s="18"/>
      <c r="G2772" s="18"/>
    </row>
    <row r="2773" spans="1:7" ht="22.5" customHeight="1">
      <c r="A2773" s="236"/>
      <c r="B2773" s="18"/>
      <c r="C2773" s="18"/>
      <c r="D2773" s="213"/>
      <c r="E2773" s="237"/>
      <c r="F2773" s="18"/>
      <c r="G2773" s="18"/>
    </row>
    <row r="2774" spans="1:7" ht="22.5" customHeight="1">
      <c r="A2774" s="236"/>
      <c r="B2774" s="18"/>
      <c r="C2774" s="18"/>
      <c r="D2774" s="213"/>
      <c r="E2774" s="237"/>
      <c r="F2774" s="18"/>
      <c r="G2774" s="18"/>
    </row>
    <row r="2775" spans="1:7" ht="22.5" customHeight="1">
      <c r="A2775" s="236"/>
      <c r="B2775" s="18"/>
      <c r="C2775" s="18"/>
      <c r="D2775" s="213"/>
      <c r="E2775" s="237"/>
      <c r="F2775" s="18"/>
      <c r="G2775" s="18"/>
    </row>
    <row r="2776" spans="1:7" ht="22.5" customHeight="1">
      <c r="A2776" s="236"/>
      <c r="B2776" s="18"/>
      <c r="C2776" s="18"/>
      <c r="D2776" s="213"/>
      <c r="E2776" s="237"/>
      <c r="F2776" s="18"/>
      <c r="G2776" s="18"/>
    </row>
    <row r="2777" spans="1:7" ht="22.5" customHeight="1">
      <c r="A2777" s="236"/>
      <c r="B2777" s="18"/>
      <c r="C2777" s="18"/>
      <c r="D2777" s="213"/>
      <c r="E2777" s="237"/>
      <c r="F2777" s="18"/>
      <c r="G2777" s="18"/>
    </row>
    <row r="2778" spans="1:7" ht="22.5" customHeight="1">
      <c r="A2778" s="236"/>
      <c r="B2778" s="18"/>
      <c r="C2778" s="18"/>
      <c r="D2778" s="213"/>
      <c r="E2778" s="237"/>
      <c r="F2778" s="18"/>
      <c r="G2778" s="18"/>
    </row>
    <row r="2779" spans="1:7" ht="22.5" customHeight="1">
      <c r="A2779" s="236"/>
      <c r="B2779" s="18"/>
      <c r="C2779" s="18"/>
      <c r="D2779" s="213"/>
      <c r="E2779" s="237"/>
      <c r="F2779" s="18"/>
      <c r="G2779" s="18"/>
    </row>
    <row r="2780" spans="1:7" ht="22.5" customHeight="1">
      <c r="A2780" s="236"/>
      <c r="B2780" s="18"/>
      <c r="C2780" s="18"/>
      <c r="D2780" s="213"/>
      <c r="E2780" s="237"/>
      <c r="F2780" s="18"/>
      <c r="G2780" s="18"/>
    </row>
    <row r="2781" spans="1:7" ht="22.5" customHeight="1">
      <c r="A2781" s="236"/>
      <c r="B2781" s="18"/>
      <c r="C2781" s="18"/>
      <c r="D2781" s="213"/>
      <c r="E2781" s="237"/>
      <c r="F2781" s="18"/>
      <c r="G2781" s="18"/>
    </row>
    <row r="2782" spans="1:7" ht="22.5" customHeight="1">
      <c r="A2782" s="236"/>
      <c r="B2782" s="18"/>
      <c r="C2782" s="18"/>
      <c r="D2782" s="213"/>
      <c r="E2782" s="237"/>
      <c r="F2782" s="18"/>
      <c r="G2782" s="18"/>
    </row>
    <row r="2783" spans="1:7" ht="22.5" customHeight="1">
      <c r="A2783" s="236"/>
      <c r="B2783" s="18"/>
      <c r="C2783" s="18"/>
      <c r="D2783" s="213"/>
      <c r="E2783" s="237"/>
      <c r="F2783" s="18"/>
      <c r="G2783" s="18"/>
    </row>
    <row r="2784" spans="1:7" ht="22.5" customHeight="1">
      <c r="A2784" s="236"/>
      <c r="B2784" s="18"/>
      <c r="C2784" s="18"/>
      <c r="D2784" s="213"/>
      <c r="E2784" s="237"/>
      <c r="F2784" s="18"/>
      <c r="G2784" s="18"/>
    </row>
    <row r="2785" spans="1:7" ht="22.5" customHeight="1">
      <c r="A2785" s="236"/>
      <c r="B2785" s="18"/>
      <c r="C2785" s="18"/>
      <c r="D2785" s="213"/>
      <c r="E2785" s="237"/>
      <c r="F2785" s="18"/>
      <c r="G2785" s="18"/>
    </row>
    <row r="2786" spans="1:7" ht="22.5" customHeight="1">
      <c r="A2786" s="236"/>
      <c r="B2786" s="18"/>
      <c r="C2786" s="18"/>
      <c r="D2786" s="213"/>
      <c r="E2786" s="237"/>
      <c r="F2786" s="18"/>
      <c r="G2786" s="18"/>
    </row>
    <row r="2787" spans="1:7" ht="22.5" customHeight="1">
      <c r="A2787" s="236"/>
      <c r="B2787" s="18"/>
      <c r="C2787" s="18"/>
      <c r="D2787" s="213"/>
      <c r="E2787" s="237"/>
      <c r="F2787" s="18"/>
      <c r="G2787" s="18"/>
    </row>
    <row r="2788" spans="1:7" ht="22.5" customHeight="1">
      <c r="A2788" s="236"/>
      <c r="B2788" s="18"/>
      <c r="C2788" s="18"/>
      <c r="D2788" s="213"/>
      <c r="E2788" s="237"/>
      <c r="F2788" s="18"/>
      <c r="G2788" s="18"/>
    </row>
    <row r="2789" spans="1:7" ht="22.5" customHeight="1">
      <c r="A2789" s="236"/>
      <c r="B2789" s="18"/>
      <c r="C2789" s="18"/>
      <c r="D2789" s="213"/>
      <c r="E2789" s="237"/>
      <c r="F2789" s="18"/>
      <c r="G2789" s="18"/>
    </row>
    <row r="2790" spans="1:7" ht="22.5" customHeight="1">
      <c r="A2790" s="236"/>
      <c r="B2790" s="18"/>
      <c r="C2790" s="18"/>
      <c r="D2790" s="213"/>
      <c r="E2790" s="237"/>
      <c r="F2790" s="18"/>
      <c r="G2790" s="18"/>
    </row>
    <row r="2791" spans="1:7" ht="22.5" customHeight="1">
      <c r="A2791" s="236"/>
      <c r="B2791" s="18"/>
      <c r="C2791" s="18"/>
      <c r="D2791" s="213"/>
      <c r="E2791" s="237"/>
      <c r="F2791" s="18"/>
      <c r="G2791" s="18"/>
    </row>
    <row r="2792" spans="1:7" ht="22.5" customHeight="1">
      <c r="A2792" s="236"/>
      <c r="B2792" s="18"/>
      <c r="C2792" s="18"/>
      <c r="D2792" s="213"/>
      <c r="E2792" s="237"/>
      <c r="F2792" s="18"/>
      <c r="G2792" s="18"/>
    </row>
    <row r="2793" spans="1:7" ht="22.5" customHeight="1">
      <c r="A2793" s="236"/>
      <c r="B2793" s="18"/>
      <c r="C2793" s="18"/>
      <c r="D2793" s="213"/>
      <c r="E2793" s="237"/>
      <c r="F2793" s="18"/>
      <c r="G2793" s="18"/>
    </row>
    <row r="2794" spans="1:7" ht="22.5" customHeight="1">
      <c r="A2794" s="236"/>
      <c r="B2794" s="18"/>
      <c r="C2794" s="18"/>
      <c r="D2794" s="213"/>
      <c r="E2794" s="237"/>
      <c r="F2794" s="18"/>
      <c r="G2794" s="18"/>
    </row>
    <row r="2795" spans="1:7" ht="22.5" customHeight="1">
      <c r="A2795" s="236"/>
      <c r="B2795" s="18"/>
      <c r="C2795" s="18"/>
      <c r="D2795" s="213"/>
      <c r="E2795" s="237"/>
      <c r="F2795" s="18"/>
      <c r="G2795" s="18"/>
    </row>
    <row r="2796" spans="1:7" ht="22.5" customHeight="1">
      <c r="A2796" s="236"/>
      <c r="B2796" s="18"/>
      <c r="C2796" s="18"/>
      <c r="D2796" s="213"/>
      <c r="E2796" s="237"/>
      <c r="F2796" s="18"/>
      <c r="G2796" s="18"/>
    </row>
    <row r="2797" spans="1:7" ht="22.5" customHeight="1">
      <c r="A2797" s="236"/>
      <c r="B2797" s="18"/>
      <c r="C2797" s="18"/>
      <c r="D2797" s="213"/>
      <c r="E2797" s="237"/>
      <c r="F2797" s="18"/>
      <c r="G2797" s="18"/>
    </row>
    <row r="2798" spans="1:7" ht="22.5" customHeight="1">
      <c r="A2798" s="236"/>
      <c r="B2798" s="18"/>
      <c r="C2798" s="18"/>
      <c r="D2798" s="213"/>
      <c r="E2798" s="237"/>
      <c r="F2798" s="18"/>
      <c r="G2798" s="18"/>
    </row>
    <row r="2799" spans="1:7" ht="22.5" customHeight="1">
      <c r="A2799" s="236"/>
      <c r="B2799" s="18"/>
      <c r="C2799" s="18"/>
      <c r="D2799" s="213"/>
      <c r="E2799" s="237"/>
      <c r="F2799" s="18"/>
      <c r="G2799" s="18"/>
    </row>
    <row r="2800" spans="1:7" ht="22.5" customHeight="1">
      <c r="A2800" s="236"/>
      <c r="B2800" s="18"/>
      <c r="C2800" s="18"/>
      <c r="D2800" s="213"/>
      <c r="E2800" s="237"/>
      <c r="F2800" s="18"/>
      <c r="G2800" s="18"/>
    </row>
    <row r="2801" spans="1:7" ht="22.5" customHeight="1">
      <c r="A2801" s="236"/>
      <c r="B2801" s="18"/>
      <c r="C2801" s="18"/>
      <c r="D2801" s="213"/>
      <c r="E2801" s="237"/>
      <c r="F2801" s="18"/>
      <c r="G2801" s="18"/>
    </row>
    <row r="2802" spans="1:7" ht="22.5" customHeight="1">
      <c r="A2802" s="236"/>
      <c r="B2802" s="18"/>
      <c r="C2802" s="18"/>
      <c r="D2802" s="213"/>
      <c r="E2802" s="237"/>
      <c r="F2802" s="18"/>
      <c r="G2802" s="18"/>
    </row>
    <row r="2803" spans="1:7" ht="22.5" customHeight="1">
      <c r="A2803" s="236"/>
      <c r="B2803" s="18"/>
      <c r="C2803" s="18"/>
      <c r="D2803" s="213"/>
      <c r="E2803" s="237"/>
      <c r="F2803" s="18"/>
      <c r="G2803" s="18"/>
    </row>
    <row r="2804" spans="1:7" ht="22.5" customHeight="1">
      <c r="A2804" s="236"/>
      <c r="B2804" s="18"/>
      <c r="C2804" s="18"/>
      <c r="D2804" s="213"/>
      <c r="E2804" s="237"/>
      <c r="F2804" s="18"/>
      <c r="G2804" s="18"/>
    </row>
    <row r="2805" spans="1:7" ht="22.5" customHeight="1">
      <c r="A2805" s="236"/>
      <c r="B2805" s="18"/>
      <c r="C2805" s="18"/>
      <c r="D2805" s="213"/>
      <c r="E2805" s="237"/>
      <c r="F2805" s="18"/>
      <c r="G2805" s="18"/>
    </row>
    <row r="2806" spans="1:7" ht="22.5" customHeight="1">
      <c r="A2806" s="236"/>
      <c r="B2806" s="18"/>
      <c r="C2806" s="18"/>
      <c r="D2806" s="213"/>
      <c r="E2806" s="237"/>
      <c r="F2806" s="18"/>
      <c r="G2806" s="18"/>
    </row>
    <row r="2807" spans="1:7" ht="22.5" customHeight="1">
      <c r="A2807" s="236"/>
      <c r="B2807" s="18"/>
      <c r="C2807" s="18"/>
      <c r="D2807" s="213"/>
      <c r="E2807" s="237"/>
      <c r="F2807" s="18"/>
      <c r="G2807" s="18"/>
    </row>
    <row r="2808" spans="1:7" ht="22.5" customHeight="1">
      <c r="A2808" s="236"/>
      <c r="B2808" s="18"/>
      <c r="C2808" s="18"/>
      <c r="D2808" s="213"/>
      <c r="E2808" s="237"/>
      <c r="F2808" s="18"/>
      <c r="G2808" s="18"/>
    </row>
    <row r="2809" spans="1:7" ht="22.5" customHeight="1">
      <c r="A2809" s="236"/>
      <c r="B2809" s="18"/>
      <c r="C2809" s="18"/>
      <c r="D2809" s="213"/>
      <c r="E2809" s="237"/>
      <c r="F2809" s="18"/>
      <c r="G2809" s="18"/>
    </row>
    <row r="2810" spans="1:7" ht="22.5" customHeight="1">
      <c r="A2810" s="236"/>
      <c r="B2810" s="18"/>
      <c r="C2810" s="18"/>
      <c r="D2810" s="213"/>
      <c r="E2810" s="237"/>
      <c r="F2810" s="18"/>
      <c r="G2810" s="18"/>
    </row>
    <row r="2811" spans="1:7" ht="22.5" customHeight="1">
      <c r="A2811" s="236"/>
      <c r="B2811" s="18"/>
      <c r="C2811" s="18"/>
      <c r="D2811" s="213"/>
      <c r="E2811" s="237"/>
      <c r="F2811" s="18"/>
      <c r="G2811" s="18"/>
    </row>
    <row r="2812" spans="1:7" ht="22.5" customHeight="1">
      <c r="A2812" s="236"/>
      <c r="B2812" s="18"/>
      <c r="C2812" s="18"/>
      <c r="D2812" s="213"/>
      <c r="E2812" s="237"/>
      <c r="F2812" s="18"/>
      <c r="G2812" s="18"/>
    </row>
    <row r="2813" spans="1:7" ht="22.5" customHeight="1">
      <c r="A2813" s="236"/>
      <c r="B2813" s="18"/>
      <c r="C2813" s="18"/>
      <c r="D2813" s="213"/>
      <c r="E2813" s="237"/>
      <c r="F2813" s="18"/>
      <c r="G2813" s="18"/>
    </row>
    <row r="2814" spans="1:7" ht="22.5" customHeight="1">
      <c r="A2814" s="236"/>
      <c r="B2814" s="18"/>
      <c r="C2814" s="18"/>
      <c r="D2814" s="213"/>
      <c r="E2814" s="237"/>
      <c r="F2814" s="18"/>
      <c r="G2814" s="18"/>
    </row>
    <row r="2815" spans="1:7" ht="22.5" customHeight="1">
      <c r="A2815" s="236"/>
      <c r="B2815" s="18"/>
      <c r="C2815" s="18"/>
      <c r="D2815" s="213"/>
      <c r="E2815" s="237"/>
      <c r="F2815" s="18"/>
      <c r="G2815" s="18"/>
    </row>
    <row r="2816" spans="1:7" ht="22.5" customHeight="1">
      <c r="A2816" s="236"/>
      <c r="B2816" s="18"/>
      <c r="C2816" s="18"/>
      <c r="D2816" s="213"/>
      <c r="E2816" s="237"/>
      <c r="F2816" s="18"/>
      <c r="G2816" s="18"/>
    </row>
    <row r="2817" spans="1:7" ht="22.5" customHeight="1">
      <c r="A2817" s="236"/>
      <c r="B2817" s="18"/>
      <c r="C2817" s="18"/>
      <c r="D2817" s="213"/>
      <c r="E2817" s="237"/>
      <c r="F2817" s="18"/>
      <c r="G2817" s="18"/>
    </row>
    <row r="2818" spans="1:7" ht="22.5" customHeight="1">
      <c r="A2818" s="236"/>
      <c r="B2818" s="18"/>
      <c r="C2818" s="18"/>
      <c r="D2818" s="213"/>
      <c r="E2818" s="237"/>
      <c r="F2818" s="18"/>
      <c r="G2818" s="18"/>
    </row>
    <row r="2819" spans="1:7" ht="22.5" customHeight="1">
      <c r="A2819" s="236"/>
      <c r="B2819" s="18"/>
      <c r="C2819" s="18"/>
      <c r="D2819" s="213"/>
      <c r="E2819" s="237"/>
      <c r="F2819" s="18"/>
      <c r="G2819" s="18"/>
    </row>
    <row r="2820" spans="1:7" ht="22.5" customHeight="1">
      <c r="A2820" s="236"/>
      <c r="B2820" s="18"/>
      <c r="C2820" s="18"/>
      <c r="D2820" s="213"/>
      <c r="E2820" s="237"/>
      <c r="F2820" s="18"/>
      <c r="G2820" s="18"/>
    </row>
    <row r="2821" spans="1:7" ht="22.5" customHeight="1">
      <c r="A2821" s="236"/>
      <c r="B2821" s="18"/>
      <c r="C2821" s="18"/>
      <c r="D2821" s="213"/>
      <c r="E2821" s="237"/>
      <c r="F2821" s="18"/>
      <c r="G2821" s="18"/>
    </row>
    <row r="2822" spans="1:7" ht="22.5" customHeight="1">
      <c r="A2822" s="236"/>
      <c r="B2822" s="18"/>
      <c r="C2822" s="18"/>
      <c r="D2822" s="213"/>
      <c r="E2822" s="237"/>
      <c r="F2822" s="18"/>
      <c r="G2822" s="18"/>
    </row>
    <row r="2823" spans="1:7" ht="22.5" customHeight="1">
      <c r="A2823" s="236"/>
      <c r="B2823" s="18"/>
      <c r="C2823" s="18"/>
      <c r="D2823" s="213"/>
      <c r="E2823" s="237"/>
      <c r="F2823" s="18"/>
      <c r="G2823" s="18"/>
    </row>
    <row r="2824" spans="1:7" ht="22.5" customHeight="1">
      <c r="A2824" s="236"/>
      <c r="B2824" s="18"/>
      <c r="C2824" s="18"/>
      <c r="D2824" s="213"/>
      <c r="E2824" s="237"/>
      <c r="F2824" s="18"/>
      <c r="G2824" s="18"/>
    </row>
    <row r="2825" spans="1:7" ht="22.5" customHeight="1">
      <c r="A2825" s="236"/>
      <c r="B2825" s="18"/>
      <c r="C2825" s="18"/>
      <c r="D2825" s="213"/>
      <c r="E2825" s="237"/>
      <c r="F2825" s="18"/>
      <c r="G2825" s="18"/>
    </row>
    <row r="2826" spans="1:7" ht="22.5" customHeight="1">
      <c r="A2826" s="236"/>
      <c r="B2826" s="18"/>
      <c r="C2826" s="18"/>
      <c r="D2826" s="213"/>
      <c r="E2826" s="237"/>
      <c r="F2826" s="18"/>
      <c r="G2826" s="18"/>
    </row>
    <row r="2827" spans="1:7" ht="22.5" customHeight="1">
      <c r="A2827" s="236"/>
      <c r="B2827" s="18"/>
      <c r="C2827" s="18"/>
      <c r="D2827" s="213"/>
      <c r="E2827" s="237"/>
      <c r="F2827" s="18"/>
      <c r="G2827" s="18"/>
    </row>
    <row r="2828" spans="1:7" ht="22.5" customHeight="1">
      <c r="A2828" s="236"/>
      <c r="B2828" s="18"/>
      <c r="C2828" s="18"/>
      <c r="D2828" s="213"/>
      <c r="E2828" s="237"/>
      <c r="F2828" s="18"/>
      <c r="G2828" s="18"/>
    </row>
    <row r="2829" spans="1:7" ht="22.5" customHeight="1">
      <c r="A2829" s="236"/>
      <c r="B2829" s="18"/>
      <c r="C2829" s="18"/>
      <c r="D2829" s="213"/>
      <c r="E2829" s="237"/>
      <c r="F2829" s="18"/>
      <c r="G2829" s="18"/>
    </row>
    <row r="2830" spans="1:7" ht="22.5" customHeight="1">
      <c r="A2830" s="236"/>
      <c r="B2830" s="18"/>
      <c r="C2830" s="18"/>
      <c r="D2830" s="213"/>
      <c r="E2830" s="237"/>
      <c r="F2830" s="18"/>
      <c r="G2830" s="18"/>
    </row>
    <row r="2831" spans="1:7" ht="22.5" customHeight="1">
      <c r="A2831" s="236"/>
      <c r="B2831" s="18"/>
      <c r="C2831" s="18"/>
      <c r="D2831" s="213"/>
      <c r="E2831" s="237"/>
      <c r="F2831" s="18"/>
      <c r="G2831" s="18"/>
    </row>
    <row r="2832" spans="1:7" ht="22.5" customHeight="1">
      <c r="A2832" s="236"/>
      <c r="B2832" s="18"/>
      <c r="C2832" s="18"/>
      <c r="D2832" s="213"/>
      <c r="E2832" s="237"/>
      <c r="F2832" s="18"/>
      <c r="G2832" s="18"/>
    </row>
    <row r="2833" spans="1:7" ht="22.5" customHeight="1">
      <c r="A2833" s="236"/>
      <c r="B2833" s="18"/>
      <c r="C2833" s="18"/>
      <c r="D2833" s="213"/>
      <c r="E2833" s="237"/>
      <c r="F2833" s="18"/>
      <c r="G2833" s="18"/>
    </row>
    <row r="2834" spans="1:7" ht="22.5" customHeight="1">
      <c r="A2834" s="236"/>
      <c r="B2834" s="18"/>
      <c r="C2834" s="18"/>
      <c r="D2834" s="213"/>
      <c r="E2834" s="237"/>
      <c r="F2834" s="18"/>
      <c r="G2834" s="18"/>
    </row>
    <row r="2835" spans="1:7" ht="22.5" customHeight="1">
      <c r="A2835" s="236"/>
      <c r="B2835" s="18"/>
      <c r="C2835" s="18"/>
      <c r="D2835" s="213"/>
      <c r="E2835" s="237"/>
      <c r="F2835" s="18"/>
      <c r="G2835" s="18"/>
    </row>
    <row r="2836" spans="1:7" ht="22.5" customHeight="1">
      <c r="A2836" s="236"/>
      <c r="B2836" s="18"/>
      <c r="C2836" s="18"/>
      <c r="D2836" s="213"/>
      <c r="E2836" s="237"/>
      <c r="F2836" s="18"/>
      <c r="G2836" s="18"/>
    </row>
    <row r="2837" spans="1:7" ht="22.5" customHeight="1">
      <c r="A2837" s="236"/>
      <c r="B2837" s="18"/>
      <c r="C2837" s="18"/>
      <c r="D2837" s="213"/>
      <c r="E2837" s="237"/>
      <c r="F2837" s="18"/>
      <c r="G2837" s="18"/>
    </row>
    <row r="2838" spans="1:7" ht="22.5" customHeight="1">
      <c r="A2838" s="236"/>
      <c r="B2838" s="18"/>
      <c r="C2838" s="18"/>
      <c r="D2838" s="213"/>
      <c r="E2838" s="237"/>
      <c r="F2838" s="18"/>
      <c r="G2838" s="18"/>
    </row>
    <row r="2839" spans="1:7" ht="22.5" customHeight="1">
      <c r="A2839" s="236"/>
      <c r="B2839" s="18"/>
      <c r="C2839" s="18"/>
      <c r="D2839" s="213"/>
      <c r="E2839" s="237"/>
      <c r="F2839" s="18"/>
      <c r="G2839" s="18"/>
    </row>
    <row r="2840" spans="1:7" ht="22.5" customHeight="1">
      <c r="A2840" s="236"/>
      <c r="B2840" s="18"/>
      <c r="C2840" s="18"/>
      <c r="D2840" s="213"/>
      <c r="E2840" s="237"/>
      <c r="F2840" s="18"/>
      <c r="G2840" s="18"/>
    </row>
    <row r="2841" spans="1:7" ht="22.5" customHeight="1">
      <c r="A2841" s="236"/>
      <c r="B2841" s="18"/>
      <c r="C2841" s="18"/>
      <c r="D2841" s="213"/>
      <c r="E2841" s="237"/>
      <c r="F2841" s="18"/>
      <c r="G2841" s="18"/>
    </row>
    <row r="2842" spans="1:7" ht="22.5" customHeight="1">
      <c r="A2842" s="236"/>
      <c r="B2842" s="18"/>
      <c r="C2842" s="18"/>
      <c r="D2842" s="213"/>
      <c r="E2842" s="237"/>
      <c r="F2842" s="18"/>
      <c r="G2842" s="18"/>
    </row>
    <row r="2843" spans="1:7" ht="22.5" customHeight="1">
      <c r="A2843" s="236"/>
      <c r="B2843" s="18"/>
      <c r="C2843" s="18"/>
      <c r="D2843" s="213"/>
      <c r="E2843" s="237"/>
      <c r="F2843" s="18"/>
      <c r="G2843" s="18"/>
    </row>
    <row r="2844" spans="1:7" ht="22.5" customHeight="1">
      <c r="A2844" s="236"/>
      <c r="B2844" s="18"/>
      <c r="C2844" s="18"/>
      <c r="D2844" s="213"/>
      <c r="E2844" s="237"/>
      <c r="F2844" s="18"/>
      <c r="G2844" s="18"/>
    </row>
    <row r="2845" spans="1:7" ht="22.5" customHeight="1">
      <c r="A2845" s="236"/>
      <c r="B2845" s="18"/>
      <c r="C2845" s="18"/>
      <c r="D2845" s="213"/>
      <c r="E2845" s="237"/>
      <c r="F2845" s="18"/>
      <c r="G2845" s="18"/>
    </row>
    <row r="2846" spans="1:7" ht="22.5" customHeight="1">
      <c r="A2846" s="236"/>
      <c r="B2846" s="18"/>
      <c r="C2846" s="18"/>
      <c r="D2846" s="213"/>
      <c r="E2846" s="237"/>
      <c r="F2846" s="18"/>
      <c r="G2846" s="18"/>
    </row>
    <row r="2847" spans="1:7" ht="22.5" customHeight="1">
      <c r="A2847" s="236"/>
      <c r="B2847" s="18"/>
      <c r="C2847" s="18"/>
      <c r="D2847" s="213"/>
      <c r="E2847" s="237"/>
      <c r="F2847" s="18"/>
      <c r="G2847" s="18"/>
    </row>
    <row r="2848" spans="1:7" ht="22.5" customHeight="1">
      <c r="A2848" s="236"/>
      <c r="B2848" s="18"/>
      <c r="C2848" s="18"/>
      <c r="D2848" s="213"/>
      <c r="E2848" s="237"/>
      <c r="F2848" s="18"/>
      <c r="G2848" s="18"/>
    </row>
    <row r="2849" spans="1:7" ht="22.5" customHeight="1">
      <c r="A2849" s="236"/>
      <c r="B2849" s="18"/>
      <c r="C2849" s="18"/>
      <c r="D2849" s="213"/>
      <c r="E2849" s="237"/>
      <c r="F2849" s="18"/>
      <c r="G2849" s="18"/>
    </row>
    <row r="2850" spans="1:7" ht="22.5" customHeight="1">
      <c r="A2850" s="236"/>
      <c r="B2850" s="18"/>
      <c r="C2850" s="18"/>
      <c r="D2850" s="213"/>
      <c r="E2850" s="237"/>
      <c r="F2850" s="18"/>
      <c r="G2850" s="18"/>
    </row>
    <row r="2851" spans="1:7" ht="22.5" customHeight="1">
      <c r="A2851" s="236"/>
      <c r="B2851" s="18"/>
      <c r="C2851" s="18"/>
      <c r="D2851" s="213"/>
      <c r="E2851" s="237"/>
      <c r="F2851" s="18"/>
      <c r="G2851" s="18"/>
    </row>
    <row r="2852" spans="1:7" ht="22.5" customHeight="1">
      <c r="A2852" s="236"/>
      <c r="B2852" s="18"/>
      <c r="C2852" s="18"/>
      <c r="D2852" s="213"/>
      <c r="E2852" s="237"/>
      <c r="F2852" s="18"/>
      <c r="G2852" s="18"/>
    </row>
    <row r="2853" spans="1:7" ht="22.5" customHeight="1">
      <c r="A2853" s="236"/>
      <c r="B2853" s="18"/>
      <c r="C2853" s="18"/>
      <c r="D2853" s="213"/>
      <c r="E2853" s="237"/>
      <c r="F2853" s="18"/>
      <c r="G2853" s="18"/>
    </row>
    <row r="2854" spans="1:7" ht="22.5" customHeight="1">
      <c r="A2854" s="236"/>
      <c r="B2854" s="18"/>
      <c r="C2854" s="18"/>
      <c r="D2854" s="213"/>
      <c r="E2854" s="237"/>
      <c r="F2854" s="18"/>
      <c r="G2854" s="18"/>
    </row>
    <row r="2855" spans="1:7" ht="22.5" customHeight="1">
      <c r="A2855" s="236"/>
      <c r="B2855" s="18"/>
      <c r="C2855" s="18"/>
      <c r="D2855" s="213"/>
      <c r="E2855" s="237"/>
      <c r="F2855" s="18"/>
      <c r="G2855" s="18"/>
    </row>
    <row r="2856" spans="1:7" ht="22.5" customHeight="1">
      <c r="A2856" s="236"/>
      <c r="B2856" s="18"/>
      <c r="C2856" s="18"/>
      <c r="D2856" s="213"/>
      <c r="E2856" s="237"/>
      <c r="F2856" s="18"/>
      <c r="G2856" s="18"/>
    </row>
    <row r="2857" spans="1:7" ht="22.5" customHeight="1">
      <c r="A2857" s="236"/>
      <c r="B2857" s="18"/>
      <c r="C2857" s="18"/>
      <c r="D2857" s="213"/>
      <c r="E2857" s="237"/>
      <c r="F2857" s="18"/>
      <c r="G2857" s="18"/>
    </row>
    <row r="2858" spans="1:7" ht="22.5" customHeight="1">
      <c r="A2858" s="236"/>
      <c r="B2858" s="18"/>
      <c r="C2858" s="18"/>
      <c r="D2858" s="213"/>
      <c r="E2858" s="237"/>
      <c r="F2858" s="18"/>
      <c r="G2858" s="18"/>
    </row>
    <row r="2859" spans="1:7" ht="22.5" customHeight="1">
      <c r="A2859" s="236"/>
      <c r="B2859" s="18"/>
      <c r="C2859" s="18"/>
      <c r="D2859" s="213"/>
      <c r="E2859" s="237"/>
      <c r="F2859" s="18"/>
      <c r="G2859" s="18"/>
    </row>
    <row r="2860" spans="1:7" ht="22.5" customHeight="1">
      <c r="A2860" s="236"/>
      <c r="B2860" s="18"/>
      <c r="C2860" s="18"/>
      <c r="D2860" s="213"/>
      <c r="E2860" s="237"/>
      <c r="F2860" s="18"/>
      <c r="G2860" s="18"/>
    </row>
    <row r="2861" spans="1:7" ht="22.5" customHeight="1">
      <c r="A2861" s="236"/>
      <c r="B2861" s="18"/>
      <c r="C2861" s="18"/>
      <c r="D2861" s="213"/>
      <c r="E2861" s="237"/>
      <c r="F2861" s="18"/>
      <c r="G2861" s="18"/>
    </row>
    <row r="2862" spans="1:7" ht="22.5" customHeight="1">
      <c r="A2862" s="236"/>
      <c r="B2862" s="18"/>
      <c r="C2862" s="18"/>
      <c r="D2862" s="213"/>
      <c r="E2862" s="237"/>
      <c r="F2862" s="18"/>
      <c r="G2862" s="18"/>
    </row>
    <row r="2863" spans="1:7" ht="22.5" customHeight="1">
      <c r="A2863" s="236"/>
      <c r="B2863" s="18"/>
      <c r="C2863" s="18"/>
      <c r="D2863" s="213"/>
      <c r="E2863" s="237"/>
      <c r="F2863" s="18"/>
      <c r="G2863" s="18"/>
    </row>
    <row r="2864" spans="1:7" ht="22.5" customHeight="1">
      <c r="A2864" s="236"/>
      <c r="B2864" s="18"/>
      <c r="C2864" s="18"/>
      <c r="D2864" s="213"/>
      <c r="E2864" s="237"/>
      <c r="F2864" s="18"/>
      <c r="G2864" s="18"/>
    </row>
    <row r="2865" spans="1:7" ht="22.5" customHeight="1">
      <c r="A2865" s="236"/>
      <c r="B2865" s="18"/>
      <c r="C2865" s="18"/>
      <c r="D2865" s="213"/>
      <c r="E2865" s="237"/>
      <c r="F2865" s="18"/>
      <c r="G2865" s="18"/>
    </row>
    <row r="2866" spans="1:7" ht="22.5" customHeight="1">
      <c r="A2866" s="236"/>
      <c r="B2866" s="18"/>
      <c r="C2866" s="18"/>
      <c r="D2866" s="213"/>
      <c r="E2866" s="237"/>
      <c r="F2866" s="18"/>
      <c r="G2866" s="18"/>
    </row>
    <row r="2867" spans="1:7" ht="22.5" customHeight="1">
      <c r="A2867" s="236"/>
      <c r="B2867" s="18"/>
      <c r="C2867" s="18"/>
      <c r="D2867" s="213"/>
      <c r="E2867" s="237"/>
      <c r="F2867" s="18"/>
      <c r="G2867" s="18"/>
    </row>
    <row r="2868" spans="1:7" ht="22.5" customHeight="1">
      <c r="A2868" s="236"/>
      <c r="B2868" s="18"/>
      <c r="C2868" s="18"/>
      <c r="D2868" s="213"/>
      <c r="E2868" s="237"/>
      <c r="F2868" s="18"/>
      <c r="G2868" s="18"/>
    </row>
    <row r="2869" spans="1:7" ht="22.5" customHeight="1">
      <c r="A2869" s="236"/>
      <c r="B2869" s="18"/>
      <c r="C2869" s="18"/>
      <c r="D2869" s="213"/>
      <c r="E2869" s="237"/>
      <c r="F2869" s="18"/>
      <c r="G2869" s="18"/>
    </row>
    <row r="2870" spans="1:7" ht="22.5" customHeight="1">
      <c r="A2870" s="236"/>
      <c r="B2870" s="18"/>
      <c r="C2870" s="18"/>
      <c r="D2870" s="213"/>
      <c r="E2870" s="237"/>
      <c r="F2870" s="18"/>
      <c r="G2870" s="18"/>
    </row>
    <row r="2871" spans="1:7" ht="22.5" customHeight="1">
      <c r="A2871" s="236"/>
      <c r="B2871" s="18"/>
      <c r="C2871" s="18"/>
      <c r="D2871" s="213"/>
      <c r="E2871" s="237"/>
      <c r="F2871" s="18"/>
      <c r="G2871" s="18"/>
    </row>
    <row r="2872" spans="1:7" ht="22.5" customHeight="1">
      <c r="A2872" s="236"/>
      <c r="B2872" s="18"/>
      <c r="C2872" s="18"/>
      <c r="D2872" s="213"/>
      <c r="E2872" s="237"/>
      <c r="F2872" s="18"/>
      <c r="G2872" s="18"/>
    </row>
    <row r="2873" spans="1:7" ht="22.5" customHeight="1">
      <c r="A2873" s="236"/>
      <c r="B2873" s="18"/>
      <c r="C2873" s="18"/>
      <c r="D2873" s="213"/>
      <c r="E2873" s="237"/>
      <c r="F2873" s="18"/>
      <c r="G2873" s="18"/>
    </row>
    <row r="2874" spans="1:7" ht="22.5" customHeight="1">
      <c r="A2874" s="236"/>
      <c r="B2874" s="18"/>
      <c r="C2874" s="18"/>
      <c r="D2874" s="213"/>
      <c r="E2874" s="237"/>
      <c r="F2874" s="18"/>
      <c r="G2874" s="18"/>
    </row>
    <row r="2875" spans="1:7" ht="22.5" customHeight="1">
      <c r="A2875" s="236"/>
      <c r="B2875" s="18"/>
      <c r="C2875" s="18"/>
      <c r="D2875" s="213"/>
      <c r="E2875" s="237"/>
      <c r="F2875" s="18"/>
      <c r="G2875" s="18"/>
    </row>
    <row r="2876" spans="1:7" ht="22.5" customHeight="1">
      <c r="A2876" s="236"/>
      <c r="B2876" s="18"/>
      <c r="C2876" s="18"/>
      <c r="D2876" s="213"/>
      <c r="E2876" s="237"/>
      <c r="F2876" s="18"/>
      <c r="G2876" s="18"/>
    </row>
    <row r="2877" spans="1:7" ht="22.5" customHeight="1">
      <c r="A2877" s="236"/>
      <c r="B2877" s="18"/>
      <c r="C2877" s="18"/>
      <c r="D2877" s="213"/>
      <c r="E2877" s="237"/>
      <c r="F2877" s="18"/>
      <c r="G2877" s="18"/>
    </row>
    <row r="2878" spans="1:7" ht="22.5" customHeight="1">
      <c r="A2878" s="236"/>
      <c r="B2878" s="18"/>
      <c r="C2878" s="18"/>
      <c r="D2878" s="213"/>
      <c r="E2878" s="237"/>
      <c r="F2878" s="18"/>
      <c r="G2878" s="18"/>
    </row>
    <row r="2879" spans="1:7" ht="22.5" customHeight="1">
      <c r="A2879" s="236"/>
      <c r="B2879" s="18"/>
      <c r="C2879" s="18"/>
      <c r="D2879" s="213"/>
      <c r="E2879" s="237"/>
      <c r="F2879" s="18"/>
      <c r="G2879" s="18"/>
    </row>
    <row r="2880" spans="1:7" ht="22.5" customHeight="1">
      <c r="A2880" s="236"/>
      <c r="B2880" s="18"/>
      <c r="C2880" s="18"/>
      <c r="D2880" s="213"/>
      <c r="E2880" s="237"/>
      <c r="F2880" s="18"/>
      <c r="G2880" s="18"/>
    </row>
    <row r="2881" spans="1:7" ht="22.5" customHeight="1">
      <c r="A2881" s="236"/>
      <c r="B2881" s="18"/>
      <c r="C2881" s="18"/>
      <c r="D2881" s="213"/>
      <c r="E2881" s="237"/>
      <c r="F2881" s="18"/>
      <c r="G2881" s="18"/>
    </row>
    <row r="2882" spans="1:7" ht="22.5" customHeight="1">
      <c r="A2882" s="236"/>
      <c r="B2882" s="18"/>
      <c r="C2882" s="18"/>
      <c r="D2882" s="213"/>
      <c r="E2882" s="237"/>
      <c r="F2882" s="18"/>
      <c r="G2882" s="18"/>
    </row>
    <row r="2883" spans="1:7" ht="22.5" customHeight="1">
      <c r="A2883" s="236"/>
      <c r="B2883" s="18"/>
      <c r="C2883" s="18"/>
      <c r="D2883" s="213"/>
      <c r="E2883" s="237"/>
      <c r="F2883" s="18"/>
      <c r="G2883" s="18"/>
    </row>
    <row r="2884" spans="1:7" ht="22.5" customHeight="1">
      <c r="A2884" s="236"/>
      <c r="B2884" s="18"/>
      <c r="C2884" s="18"/>
      <c r="D2884" s="213"/>
      <c r="E2884" s="237"/>
      <c r="F2884" s="18"/>
      <c r="G2884" s="18"/>
    </row>
    <row r="2885" spans="1:7" ht="22.5" customHeight="1">
      <c r="A2885" s="236"/>
      <c r="B2885" s="18"/>
      <c r="C2885" s="18"/>
      <c r="D2885" s="213"/>
      <c r="E2885" s="237"/>
      <c r="F2885" s="18"/>
      <c r="G2885" s="18"/>
    </row>
    <row r="2886" spans="1:7" ht="22.5" customHeight="1">
      <c r="A2886" s="236"/>
      <c r="B2886" s="18"/>
      <c r="C2886" s="18"/>
      <c r="D2886" s="213"/>
      <c r="E2886" s="237"/>
      <c r="F2886" s="18"/>
      <c r="G2886" s="18"/>
    </row>
    <row r="2887" spans="1:7" ht="22.5" customHeight="1">
      <c r="A2887" s="236"/>
      <c r="B2887" s="18"/>
      <c r="C2887" s="18"/>
      <c r="D2887" s="213"/>
      <c r="E2887" s="237"/>
      <c r="F2887" s="18"/>
      <c r="G2887" s="18"/>
    </row>
    <row r="2888" spans="1:7" ht="22.5" customHeight="1">
      <c r="A2888" s="236"/>
      <c r="B2888" s="18"/>
      <c r="C2888" s="18"/>
      <c r="D2888" s="213"/>
      <c r="E2888" s="237"/>
      <c r="F2888" s="18"/>
      <c r="G2888" s="18"/>
    </row>
    <row r="2889" spans="1:7" ht="22.5" customHeight="1">
      <c r="A2889" s="236"/>
      <c r="B2889" s="18"/>
      <c r="C2889" s="18"/>
      <c r="D2889" s="213"/>
      <c r="E2889" s="237"/>
      <c r="F2889" s="18"/>
      <c r="G2889" s="18"/>
    </row>
    <row r="2890" spans="1:7" ht="22.5" customHeight="1">
      <c r="A2890" s="236"/>
      <c r="B2890" s="18"/>
      <c r="C2890" s="18"/>
      <c r="D2890" s="213"/>
      <c r="E2890" s="237"/>
      <c r="F2890" s="18"/>
      <c r="G2890" s="18"/>
    </row>
    <row r="2891" spans="1:7" ht="22.5" customHeight="1">
      <c r="A2891" s="236"/>
      <c r="B2891" s="18"/>
      <c r="C2891" s="18"/>
      <c r="D2891" s="213"/>
      <c r="E2891" s="237"/>
      <c r="F2891" s="18"/>
      <c r="G2891" s="18"/>
    </row>
    <row r="2892" spans="1:7" ht="22.5" customHeight="1">
      <c r="A2892" s="236"/>
      <c r="B2892" s="18"/>
      <c r="C2892" s="18"/>
      <c r="D2892" s="213"/>
      <c r="E2892" s="237"/>
      <c r="F2892" s="18"/>
      <c r="G2892" s="18"/>
    </row>
    <row r="2893" spans="1:7" ht="22.5" customHeight="1">
      <c r="A2893" s="236"/>
      <c r="B2893" s="18"/>
      <c r="C2893" s="18"/>
      <c r="D2893" s="213"/>
      <c r="E2893" s="237"/>
      <c r="F2893" s="18"/>
      <c r="G2893" s="18"/>
    </row>
    <row r="2894" spans="1:7" ht="22.5" customHeight="1">
      <c r="A2894" s="236"/>
      <c r="B2894" s="18"/>
      <c r="C2894" s="18"/>
      <c r="D2894" s="213"/>
      <c r="E2894" s="237"/>
      <c r="F2894" s="18"/>
      <c r="G2894" s="18"/>
    </row>
    <row r="2895" spans="1:7" ht="22.5" customHeight="1">
      <c r="A2895" s="236"/>
      <c r="B2895" s="18"/>
      <c r="C2895" s="18"/>
      <c r="D2895" s="213"/>
      <c r="E2895" s="237"/>
      <c r="F2895" s="18"/>
      <c r="G2895" s="18"/>
    </row>
    <row r="2896" spans="1:7" ht="22.5" customHeight="1">
      <c r="A2896" s="236"/>
      <c r="B2896" s="18"/>
      <c r="C2896" s="18"/>
      <c r="D2896" s="213"/>
      <c r="E2896" s="237"/>
      <c r="F2896" s="18"/>
      <c r="G2896" s="18"/>
    </row>
    <row r="2897" spans="1:7" ht="22.5" customHeight="1">
      <c r="A2897" s="236"/>
      <c r="B2897" s="18"/>
      <c r="C2897" s="18"/>
      <c r="D2897" s="213"/>
      <c r="E2897" s="237"/>
      <c r="F2897" s="18"/>
      <c r="G2897" s="18"/>
    </row>
    <row r="2898" spans="1:7" ht="22.5" customHeight="1">
      <c r="A2898" s="236"/>
      <c r="B2898" s="18"/>
      <c r="C2898" s="18"/>
      <c r="D2898" s="213"/>
      <c r="E2898" s="237"/>
      <c r="F2898" s="18"/>
      <c r="G2898" s="18"/>
    </row>
    <row r="2899" spans="1:7" ht="22.5" customHeight="1">
      <c r="A2899" s="236"/>
      <c r="B2899" s="18"/>
      <c r="C2899" s="18"/>
      <c r="D2899" s="213"/>
      <c r="E2899" s="237"/>
      <c r="F2899" s="18"/>
      <c r="G2899" s="18"/>
    </row>
    <row r="2900" spans="1:7" ht="22.5" customHeight="1">
      <c r="A2900" s="236"/>
      <c r="B2900" s="18"/>
      <c r="C2900" s="18"/>
      <c r="D2900" s="213"/>
      <c r="E2900" s="237"/>
      <c r="F2900" s="18"/>
      <c r="G2900" s="18"/>
    </row>
    <row r="2901" spans="1:7" ht="22.5" customHeight="1">
      <c r="A2901" s="236"/>
      <c r="B2901" s="18"/>
      <c r="C2901" s="18"/>
      <c r="D2901" s="213"/>
      <c r="E2901" s="237"/>
      <c r="F2901" s="18"/>
      <c r="G2901" s="18"/>
    </row>
    <row r="2902" spans="1:7" ht="22.5" customHeight="1">
      <c r="A2902" s="236"/>
      <c r="B2902" s="18"/>
      <c r="C2902" s="18"/>
      <c r="D2902" s="213"/>
      <c r="E2902" s="237"/>
      <c r="F2902" s="18"/>
      <c r="G2902" s="18"/>
    </row>
    <row r="2903" spans="1:7" ht="22.5" customHeight="1">
      <c r="A2903" s="236"/>
      <c r="B2903" s="18"/>
      <c r="C2903" s="18"/>
      <c r="D2903" s="213"/>
      <c r="E2903" s="237"/>
      <c r="F2903" s="18"/>
      <c r="G2903" s="18"/>
    </row>
    <row r="2904" spans="1:7" ht="22.5" customHeight="1">
      <c r="A2904" s="236"/>
      <c r="B2904" s="18"/>
      <c r="C2904" s="18"/>
      <c r="D2904" s="213"/>
      <c r="E2904" s="237"/>
      <c r="F2904" s="18"/>
      <c r="G2904" s="18"/>
    </row>
    <row r="2905" spans="1:7" ht="22.5" customHeight="1">
      <c r="A2905" s="236"/>
      <c r="B2905" s="18"/>
      <c r="C2905" s="18"/>
      <c r="D2905" s="213"/>
      <c r="E2905" s="237"/>
      <c r="F2905" s="18"/>
      <c r="G2905" s="18"/>
    </row>
    <row r="2906" spans="1:7" ht="22.5" customHeight="1">
      <c r="A2906" s="236"/>
      <c r="B2906" s="18"/>
      <c r="C2906" s="18"/>
      <c r="D2906" s="213"/>
      <c r="E2906" s="237"/>
      <c r="F2906" s="18"/>
      <c r="G2906" s="18"/>
    </row>
    <row r="2907" spans="1:7" ht="22.5" customHeight="1">
      <c r="A2907" s="236"/>
      <c r="B2907" s="18"/>
      <c r="C2907" s="18"/>
      <c r="D2907" s="213"/>
      <c r="E2907" s="237"/>
      <c r="F2907" s="18"/>
      <c r="G2907" s="18"/>
    </row>
    <row r="2908" spans="1:7" ht="22.5" customHeight="1">
      <c r="A2908" s="236"/>
      <c r="B2908" s="18"/>
      <c r="C2908" s="18"/>
      <c r="D2908" s="213"/>
      <c r="E2908" s="237"/>
      <c r="F2908" s="18"/>
      <c r="G2908" s="18"/>
    </row>
    <row r="2909" spans="1:7" ht="22.5" customHeight="1">
      <c r="A2909" s="236"/>
      <c r="B2909" s="18"/>
      <c r="C2909" s="18"/>
      <c r="D2909" s="213"/>
      <c r="E2909" s="237"/>
      <c r="F2909" s="18"/>
      <c r="G2909" s="18"/>
    </row>
    <row r="2910" spans="1:7" ht="22.5" customHeight="1">
      <c r="A2910" s="236"/>
      <c r="B2910" s="18"/>
      <c r="C2910" s="18"/>
      <c r="D2910" s="213"/>
      <c r="E2910" s="237"/>
      <c r="F2910" s="18"/>
      <c r="G2910" s="18"/>
    </row>
    <row r="2911" spans="1:7" ht="22.5" customHeight="1">
      <c r="A2911" s="236"/>
      <c r="B2911" s="18"/>
      <c r="C2911" s="18"/>
      <c r="D2911" s="213"/>
      <c r="E2911" s="237"/>
      <c r="F2911" s="18"/>
      <c r="G2911" s="18"/>
    </row>
    <row r="2912" spans="1:7" ht="22.5" customHeight="1">
      <c r="A2912" s="236"/>
      <c r="B2912" s="18"/>
      <c r="C2912" s="18"/>
      <c r="D2912" s="213"/>
      <c r="E2912" s="237"/>
      <c r="F2912" s="18"/>
      <c r="G2912" s="18"/>
    </row>
    <row r="2913" spans="1:7" ht="22.5" customHeight="1">
      <c r="A2913" s="236"/>
      <c r="B2913" s="18"/>
      <c r="C2913" s="18"/>
      <c r="D2913" s="213"/>
      <c r="E2913" s="237"/>
      <c r="F2913" s="18"/>
      <c r="G2913" s="18"/>
    </row>
    <row r="2914" spans="1:7" ht="22.5" customHeight="1">
      <c r="A2914" s="236"/>
      <c r="B2914" s="18"/>
      <c r="C2914" s="18"/>
      <c r="D2914" s="213"/>
      <c r="E2914" s="237"/>
      <c r="F2914" s="18"/>
      <c r="G2914" s="18"/>
    </row>
    <row r="2915" spans="1:7" ht="22.5" customHeight="1">
      <c r="A2915" s="236"/>
      <c r="B2915" s="18"/>
      <c r="C2915" s="18"/>
      <c r="D2915" s="213"/>
      <c r="E2915" s="237"/>
      <c r="F2915" s="18"/>
      <c r="G2915" s="18"/>
    </row>
    <row r="2916" spans="1:7" ht="22.5" customHeight="1">
      <c r="A2916" s="236"/>
      <c r="B2916" s="18"/>
      <c r="C2916" s="18"/>
      <c r="D2916" s="213"/>
      <c r="E2916" s="237"/>
      <c r="F2916" s="18"/>
      <c r="G2916" s="18"/>
    </row>
    <row r="2917" spans="1:7" ht="22.5" customHeight="1">
      <c r="A2917" s="236"/>
      <c r="B2917" s="18"/>
      <c r="C2917" s="18"/>
      <c r="D2917" s="213"/>
      <c r="E2917" s="237"/>
      <c r="F2917" s="18"/>
      <c r="G2917" s="18"/>
    </row>
    <row r="2918" spans="1:7" ht="22.5" customHeight="1">
      <c r="A2918" s="236"/>
      <c r="B2918" s="18"/>
      <c r="C2918" s="18"/>
      <c r="D2918" s="213"/>
      <c r="E2918" s="237"/>
      <c r="F2918" s="18"/>
      <c r="G2918" s="18"/>
    </row>
    <row r="2919" spans="1:7" ht="22.5" customHeight="1">
      <c r="A2919" s="236"/>
      <c r="B2919" s="18"/>
      <c r="C2919" s="18"/>
      <c r="D2919" s="213"/>
      <c r="E2919" s="237"/>
      <c r="F2919" s="18"/>
      <c r="G2919" s="18"/>
    </row>
    <row r="2920" spans="1:7" ht="22.5" customHeight="1">
      <c r="A2920" s="236"/>
      <c r="B2920" s="18"/>
      <c r="C2920" s="18"/>
      <c r="D2920" s="213"/>
      <c r="E2920" s="237"/>
      <c r="F2920" s="18"/>
      <c r="G2920" s="18"/>
    </row>
    <row r="2921" spans="1:7" ht="22.5" customHeight="1">
      <c r="A2921" s="236"/>
      <c r="B2921" s="18"/>
      <c r="C2921" s="18"/>
      <c r="D2921" s="213"/>
      <c r="E2921" s="237"/>
      <c r="F2921" s="18"/>
      <c r="G2921" s="18"/>
    </row>
    <row r="2922" spans="1:7" ht="22.5" customHeight="1">
      <c r="A2922" s="236"/>
      <c r="B2922" s="18"/>
      <c r="C2922" s="18"/>
      <c r="D2922" s="213"/>
      <c r="E2922" s="237"/>
      <c r="F2922" s="18"/>
      <c r="G2922" s="18"/>
    </row>
    <row r="2923" spans="1:7" ht="22.5" customHeight="1">
      <c r="A2923" s="236"/>
      <c r="B2923" s="18"/>
      <c r="C2923" s="18"/>
      <c r="D2923" s="213"/>
      <c r="E2923" s="237"/>
      <c r="F2923" s="18"/>
      <c r="G2923" s="18"/>
    </row>
    <row r="2924" spans="1:7" ht="22.5" customHeight="1">
      <c r="A2924" s="236"/>
      <c r="B2924" s="18"/>
      <c r="C2924" s="18"/>
      <c r="D2924" s="213"/>
      <c r="E2924" s="237"/>
      <c r="F2924" s="18"/>
      <c r="G2924" s="18"/>
    </row>
    <row r="2925" spans="1:7" ht="22.5" customHeight="1">
      <c r="A2925" s="236"/>
      <c r="B2925" s="18"/>
      <c r="C2925" s="18"/>
      <c r="D2925" s="213"/>
      <c r="E2925" s="237"/>
      <c r="F2925" s="18"/>
      <c r="G2925" s="18"/>
    </row>
    <row r="2926" spans="1:7" ht="22.5" customHeight="1">
      <c r="A2926" s="236"/>
      <c r="B2926" s="18"/>
      <c r="C2926" s="18"/>
      <c r="D2926" s="213"/>
      <c r="E2926" s="237"/>
      <c r="F2926" s="18"/>
      <c r="G2926" s="18"/>
    </row>
    <row r="2927" spans="1:7" ht="22.5" customHeight="1">
      <c r="A2927" s="236"/>
      <c r="B2927" s="18"/>
      <c r="C2927" s="18"/>
      <c r="D2927" s="213"/>
      <c r="E2927" s="237"/>
      <c r="F2927" s="18"/>
      <c r="G2927" s="18"/>
    </row>
    <row r="2928" spans="1:7" ht="22.5" customHeight="1">
      <c r="A2928" s="236"/>
      <c r="B2928" s="18"/>
      <c r="C2928" s="18"/>
      <c r="D2928" s="213"/>
      <c r="E2928" s="237"/>
      <c r="F2928" s="18"/>
      <c r="G2928" s="18"/>
    </row>
    <row r="2929" spans="1:7" ht="22.5" customHeight="1">
      <c r="A2929" s="236"/>
      <c r="B2929" s="18"/>
      <c r="C2929" s="18"/>
      <c r="D2929" s="213"/>
      <c r="E2929" s="237"/>
      <c r="F2929" s="18"/>
      <c r="G2929" s="18"/>
    </row>
    <row r="2930" spans="1:7" ht="22.5" customHeight="1">
      <c r="A2930" s="236"/>
      <c r="B2930" s="18"/>
      <c r="C2930" s="18"/>
      <c r="D2930" s="213"/>
      <c r="E2930" s="237"/>
      <c r="F2930" s="18"/>
      <c r="G2930" s="18"/>
    </row>
    <row r="2931" spans="1:7" ht="22.5" customHeight="1">
      <c r="A2931" s="236"/>
      <c r="B2931" s="18"/>
      <c r="C2931" s="18"/>
      <c r="D2931" s="213"/>
      <c r="E2931" s="237"/>
      <c r="F2931" s="18"/>
      <c r="G2931" s="18"/>
    </row>
    <row r="2932" spans="1:7" ht="22.5" customHeight="1">
      <c r="A2932" s="236"/>
      <c r="B2932" s="18"/>
      <c r="C2932" s="18"/>
      <c r="D2932" s="213"/>
      <c r="E2932" s="237"/>
      <c r="F2932" s="18"/>
      <c r="G2932" s="18"/>
    </row>
    <row r="2933" spans="1:7" ht="22.5" customHeight="1">
      <c r="A2933" s="236"/>
      <c r="B2933" s="18"/>
      <c r="C2933" s="18"/>
      <c r="D2933" s="213"/>
      <c r="E2933" s="237"/>
      <c r="F2933" s="18"/>
      <c r="G2933" s="18"/>
    </row>
    <row r="2934" spans="1:7" ht="22.5" customHeight="1">
      <c r="A2934" s="236"/>
      <c r="B2934" s="18"/>
      <c r="C2934" s="18"/>
      <c r="D2934" s="213"/>
      <c r="E2934" s="237"/>
      <c r="F2934" s="18"/>
      <c r="G2934" s="18"/>
    </row>
    <row r="2935" spans="1:7" ht="22.5" customHeight="1">
      <c r="A2935" s="236"/>
      <c r="B2935" s="18"/>
      <c r="C2935" s="18"/>
      <c r="D2935" s="213"/>
      <c r="E2935" s="237"/>
      <c r="F2935" s="18"/>
      <c r="G2935" s="18"/>
    </row>
    <row r="2936" spans="1:7" ht="22.5" customHeight="1">
      <c r="A2936" s="236"/>
      <c r="B2936" s="18"/>
      <c r="C2936" s="18"/>
      <c r="D2936" s="213"/>
      <c r="E2936" s="237"/>
      <c r="F2936" s="18"/>
      <c r="G2936" s="18"/>
    </row>
    <row r="2937" spans="1:7" ht="22.5" customHeight="1">
      <c r="A2937" s="236"/>
      <c r="B2937" s="18"/>
      <c r="C2937" s="18"/>
      <c r="D2937" s="213"/>
      <c r="E2937" s="237"/>
      <c r="F2937" s="18"/>
      <c r="G2937" s="18"/>
    </row>
    <row r="2938" spans="1:7" ht="22.5" customHeight="1">
      <c r="A2938" s="236"/>
      <c r="B2938" s="18"/>
      <c r="C2938" s="18"/>
      <c r="D2938" s="213"/>
      <c r="E2938" s="237"/>
      <c r="F2938" s="18"/>
      <c r="G2938" s="18"/>
    </row>
    <row r="2939" spans="1:7" ht="22.5" customHeight="1">
      <c r="A2939" s="236"/>
      <c r="B2939" s="18"/>
      <c r="C2939" s="18"/>
      <c r="D2939" s="213"/>
      <c r="E2939" s="237"/>
      <c r="F2939" s="18"/>
      <c r="G2939" s="18"/>
    </row>
    <row r="2940" spans="1:7" ht="22.5" customHeight="1">
      <c r="A2940" s="236"/>
      <c r="B2940" s="18"/>
      <c r="C2940" s="18"/>
      <c r="D2940" s="213"/>
      <c r="E2940" s="237"/>
      <c r="F2940" s="18"/>
      <c r="G2940" s="18"/>
    </row>
    <row r="2941" spans="1:7" ht="22.5" customHeight="1">
      <c r="A2941" s="236"/>
      <c r="B2941" s="18"/>
      <c r="C2941" s="18"/>
      <c r="D2941" s="213"/>
      <c r="E2941" s="237"/>
      <c r="F2941" s="18"/>
      <c r="G2941" s="18"/>
    </row>
    <row r="2942" spans="1:7" ht="22.5" customHeight="1">
      <c r="A2942" s="236"/>
      <c r="B2942" s="18"/>
      <c r="C2942" s="18"/>
      <c r="D2942" s="213"/>
      <c r="E2942" s="237"/>
      <c r="F2942" s="18"/>
      <c r="G2942" s="18"/>
    </row>
    <row r="2943" spans="1:7" ht="22.5" customHeight="1">
      <c r="A2943" s="236"/>
      <c r="B2943" s="18"/>
      <c r="C2943" s="18"/>
      <c r="D2943" s="213"/>
      <c r="E2943" s="237"/>
      <c r="F2943" s="18"/>
      <c r="G2943" s="18"/>
    </row>
    <row r="2944" spans="1:7" ht="22.5" customHeight="1">
      <c r="A2944" s="236"/>
      <c r="B2944" s="18"/>
      <c r="C2944" s="18"/>
      <c r="D2944" s="213"/>
      <c r="E2944" s="237"/>
      <c r="F2944" s="18"/>
      <c r="G2944" s="18"/>
    </row>
    <row r="2945" spans="1:7" ht="22.5" customHeight="1">
      <c r="A2945" s="236"/>
      <c r="B2945" s="18"/>
      <c r="C2945" s="18"/>
      <c r="D2945" s="213"/>
      <c r="E2945" s="237"/>
      <c r="F2945" s="18"/>
      <c r="G2945" s="18"/>
    </row>
    <row r="2946" spans="1:7" ht="22.5" customHeight="1">
      <c r="A2946" s="236"/>
      <c r="B2946" s="18"/>
      <c r="C2946" s="18"/>
      <c r="D2946" s="213"/>
      <c r="E2946" s="237"/>
      <c r="F2946" s="18"/>
      <c r="G2946" s="18"/>
    </row>
    <row r="2947" spans="1:7" ht="22.5" customHeight="1">
      <c r="A2947" s="236"/>
      <c r="B2947" s="18"/>
      <c r="C2947" s="18"/>
      <c r="D2947" s="213"/>
      <c r="E2947" s="237"/>
      <c r="F2947" s="18"/>
      <c r="G2947" s="18"/>
    </row>
    <row r="2948" spans="1:7" ht="22.5" customHeight="1">
      <c r="A2948" s="236"/>
      <c r="B2948" s="18"/>
      <c r="C2948" s="18"/>
      <c r="D2948" s="213"/>
      <c r="E2948" s="237"/>
      <c r="F2948" s="18"/>
      <c r="G2948" s="18"/>
    </row>
    <row r="2949" spans="1:7" ht="22.5" customHeight="1">
      <c r="A2949" s="236"/>
      <c r="B2949" s="18"/>
      <c r="C2949" s="18"/>
      <c r="D2949" s="213"/>
      <c r="E2949" s="237"/>
      <c r="F2949" s="18"/>
      <c r="G2949" s="18"/>
    </row>
    <row r="2950" spans="1:7" ht="22.5" customHeight="1">
      <c r="A2950" s="236"/>
      <c r="B2950" s="18"/>
      <c r="C2950" s="18"/>
      <c r="D2950" s="213"/>
      <c r="E2950" s="237"/>
      <c r="F2950" s="18"/>
      <c r="G2950" s="18"/>
    </row>
    <row r="2951" spans="1:7" ht="22.5" customHeight="1">
      <c r="A2951" s="236"/>
      <c r="B2951" s="18"/>
      <c r="C2951" s="18"/>
      <c r="D2951" s="213"/>
      <c r="E2951" s="237"/>
      <c r="F2951" s="18"/>
      <c r="G2951" s="18"/>
    </row>
    <row r="2952" spans="1:7" ht="22.5" customHeight="1">
      <c r="A2952" s="236"/>
      <c r="B2952" s="18"/>
      <c r="C2952" s="18"/>
      <c r="D2952" s="213"/>
      <c r="E2952" s="237"/>
      <c r="F2952" s="18"/>
      <c r="G2952" s="18"/>
    </row>
    <row r="2953" spans="1:7" ht="22.5" customHeight="1">
      <c r="A2953" s="236"/>
      <c r="B2953" s="18"/>
      <c r="C2953" s="18"/>
      <c r="D2953" s="213"/>
      <c r="E2953" s="237"/>
      <c r="F2953" s="18"/>
      <c r="G2953" s="18"/>
    </row>
    <row r="2954" spans="1:7" ht="22.5" customHeight="1">
      <c r="A2954" s="236"/>
      <c r="B2954" s="18"/>
      <c r="C2954" s="18"/>
      <c r="D2954" s="213"/>
      <c r="E2954" s="237"/>
      <c r="F2954" s="18"/>
      <c r="G2954" s="18"/>
    </row>
    <row r="2955" spans="1:7" ht="22.5" customHeight="1">
      <c r="A2955" s="236"/>
      <c r="B2955" s="18"/>
      <c r="C2955" s="18"/>
      <c r="D2955" s="213"/>
      <c r="E2955" s="237"/>
      <c r="F2955" s="18"/>
      <c r="G2955" s="18"/>
    </row>
    <row r="2956" spans="1:7" ht="22.5" customHeight="1">
      <c r="A2956" s="236"/>
      <c r="B2956" s="18"/>
      <c r="C2956" s="18"/>
      <c r="D2956" s="213"/>
      <c r="E2956" s="237"/>
      <c r="F2956" s="18"/>
      <c r="G2956" s="18"/>
    </row>
    <row r="2957" spans="1:7" ht="22.5" customHeight="1">
      <c r="A2957" s="236"/>
      <c r="B2957" s="18"/>
      <c r="C2957" s="18"/>
      <c r="D2957" s="213"/>
      <c r="E2957" s="237"/>
      <c r="F2957" s="18"/>
      <c r="G2957" s="18"/>
    </row>
    <row r="2958" spans="1:7" ht="22.5" customHeight="1">
      <c r="A2958" s="236"/>
      <c r="B2958" s="18"/>
      <c r="C2958" s="18"/>
      <c r="D2958" s="213"/>
      <c r="E2958" s="237"/>
      <c r="F2958" s="18"/>
      <c r="G2958" s="18"/>
    </row>
    <row r="2959" spans="1:7" ht="22.5" customHeight="1">
      <c r="A2959" s="236"/>
      <c r="B2959" s="18"/>
      <c r="C2959" s="18"/>
      <c r="D2959" s="213"/>
      <c r="E2959" s="237"/>
      <c r="F2959" s="18"/>
      <c r="G2959" s="18"/>
    </row>
    <row r="2960" spans="1:7" ht="22.5" customHeight="1">
      <c r="A2960" s="236"/>
      <c r="B2960" s="18"/>
      <c r="C2960" s="18"/>
      <c r="D2960" s="213"/>
      <c r="E2960" s="237"/>
      <c r="F2960" s="18"/>
      <c r="G2960" s="18"/>
    </row>
    <row r="2961" spans="1:7" ht="22.5" customHeight="1">
      <c r="A2961" s="236"/>
      <c r="B2961" s="18"/>
      <c r="C2961" s="18"/>
      <c r="D2961" s="213"/>
      <c r="E2961" s="237"/>
      <c r="F2961" s="18"/>
      <c r="G2961" s="18"/>
    </row>
    <row r="2962" spans="1:7" ht="22.5" customHeight="1">
      <c r="A2962" s="236"/>
      <c r="B2962" s="18"/>
      <c r="C2962" s="18"/>
      <c r="D2962" s="213"/>
      <c r="E2962" s="237"/>
      <c r="F2962" s="18"/>
      <c r="G2962" s="18"/>
    </row>
    <row r="2963" spans="1:7" ht="22.5" customHeight="1">
      <c r="A2963" s="236"/>
      <c r="B2963" s="18"/>
      <c r="C2963" s="18"/>
      <c r="D2963" s="213"/>
      <c r="E2963" s="237"/>
      <c r="F2963" s="18"/>
      <c r="G2963" s="18"/>
    </row>
    <row r="2964" spans="1:7" ht="22.5" customHeight="1">
      <c r="A2964" s="236"/>
      <c r="B2964" s="18"/>
      <c r="C2964" s="18"/>
      <c r="D2964" s="213"/>
      <c r="E2964" s="237"/>
      <c r="F2964" s="18"/>
      <c r="G2964" s="18"/>
    </row>
    <row r="2965" spans="1:7" ht="22.5" customHeight="1">
      <c r="A2965" s="236"/>
      <c r="B2965" s="18"/>
      <c r="C2965" s="18"/>
      <c r="D2965" s="213"/>
      <c r="E2965" s="237"/>
      <c r="F2965" s="18"/>
      <c r="G2965" s="18"/>
    </row>
    <row r="2966" spans="1:7" ht="22.5" customHeight="1">
      <c r="A2966" s="236"/>
      <c r="B2966" s="18"/>
      <c r="C2966" s="18"/>
      <c r="D2966" s="213"/>
      <c r="E2966" s="237"/>
      <c r="F2966" s="18"/>
      <c r="G2966" s="18"/>
    </row>
    <row r="2967" spans="1:7" ht="22.5" customHeight="1">
      <c r="A2967" s="236"/>
      <c r="B2967" s="18"/>
      <c r="C2967" s="18"/>
      <c r="D2967" s="213"/>
      <c r="E2967" s="237"/>
      <c r="F2967" s="18"/>
      <c r="G2967" s="18"/>
    </row>
    <row r="2968" spans="1:7" ht="22.5" customHeight="1">
      <c r="A2968" s="236"/>
      <c r="B2968" s="18"/>
      <c r="C2968" s="18"/>
      <c r="D2968" s="213"/>
      <c r="E2968" s="237"/>
      <c r="F2968" s="18"/>
      <c r="G2968" s="18"/>
    </row>
    <row r="2969" spans="1:7" ht="22.5" customHeight="1">
      <c r="A2969" s="236"/>
      <c r="B2969" s="18"/>
      <c r="C2969" s="18"/>
      <c r="D2969" s="213"/>
      <c r="E2969" s="237"/>
      <c r="F2969" s="18"/>
      <c r="G2969" s="18"/>
    </row>
    <row r="2970" spans="1:7" ht="22.5" customHeight="1">
      <c r="A2970" s="236"/>
      <c r="B2970" s="18"/>
      <c r="C2970" s="18"/>
      <c r="D2970" s="213"/>
      <c r="E2970" s="237"/>
      <c r="F2970" s="18"/>
      <c r="G2970" s="18"/>
    </row>
    <row r="2971" spans="1:7" ht="22.5" customHeight="1">
      <c r="A2971" s="236"/>
      <c r="B2971" s="18"/>
      <c r="C2971" s="18"/>
      <c r="D2971" s="213"/>
      <c r="E2971" s="237"/>
      <c r="F2971" s="18"/>
      <c r="G2971" s="18"/>
    </row>
    <row r="2972" spans="1:7" ht="22.5" customHeight="1">
      <c r="A2972" s="236"/>
      <c r="B2972" s="18"/>
      <c r="C2972" s="18"/>
      <c r="D2972" s="213"/>
      <c r="E2972" s="237"/>
      <c r="F2972" s="18"/>
      <c r="G2972" s="18"/>
    </row>
    <row r="2973" spans="1:7" ht="22.5" customHeight="1">
      <c r="A2973" s="236"/>
      <c r="B2973" s="18"/>
      <c r="C2973" s="18"/>
      <c r="D2973" s="213"/>
      <c r="E2973" s="237"/>
      <c r="F2973" s="18"/>
      <c r="G2973" s="18"/>
    </row>
    <row r="2974" spans="1:7" ht="22.5" customHeight="1">
      <c r="A2974" s="236"/>
      <c r="B2974" s="18"/>
      <c r="C2974" s="18"/>
      <c r="D2974" s="213"/>
      <c r="E2974" s="237"/>
      <c r="F2974" s="18"/>
      <c r="G2974" s="18"/>
    </row>
    <row r="2975" spans="1:7" ht="22.5" customHeight="1">
      <c r="A2975" s="236"/>
      <c r="B2975" s="18"/>
      <c r="C2975" s="18"/>
      <c r="D2975" s="213"/>
      <c r="E2975" s="237"/>
      <c r="F2975" s="18"/>
      <c r="G2975" s="18"/>
    </row>
    <row r="2976" spans="1:7" ht="22.5" customHeight="1">
      <c r="A2976" s="236"/>
      <c r="B2976" s="18"/>
      <c r="C2976" s="18"/>
      <c r="D2976" s="213"/>
      <c r="E2976" s="237"/>
      <c r="F2976" s="18"/>
      <c r="G2976" s="18"/>
    </row>
    <row r="2977" spans="1:7" ht="22.5" customHeight="1">
      <c r="A2977" s="236"/>
      <c r="B2977" s="18"/>
      <c r="C2977" s="18"/>
      <c r="D2977" s="213"/>
      <c r="E2977" s="237"/>
      <c r="F2977" s="18"/>
      <c r="G2977" s="18"/>
    </row>
    <row r="2978" spans="1:7" ht="22.5" customHeight="1">
      <c r="A2978" s="236"/>
      <c r="B2978" s="18"/>
      <c r="C2978" s="18"/>
      <c r="D2978" s="213"/>
      <c r="E2978" s="237"/>
      <c r="F2978" s="18"/>
      <c r="G2978" s="18"/>
    </row>
    <row r="2979" spans="1:7" ht="22.5" customHeight="1">
      <c r="A2979" s="236"/>
      <c r="B2979" s="18"/>
      <c r="C2979" s="18"/>
      <c r="D2979" s="213"/>
      <c r="E2979" s="237"/>
      <c r="F2979" s="18"/>
      <c r="G2979" s="18"/>
    </row>
    <row r="2980" spans="1:7" ht="22.5" customHeight="1">
      <c r="A2980" s="236"/>
      <c r="B2980" s="18"/>
      <c r="C2980" s="18"/>
      <c r="D2980" s="213"/>
      <c r="E2980" s="237"/>
      <c r="F2980" s="18"/>
      <c r="G2980" s="18"/>
    </row>
    <row r="2981" spans="1:7" ht="22.5" customHeight="1">
      <c r="A2981" s="236"/>
      <c r="B2981" s="18"/>
      <c r="C2981" s="18"/>
      <c r="D2981" s="213"/>
      <c r="E2981" s="237"/>
      <c r="F2981" s="18"/>
      <c r="G2981" s="18"/>
    </row>
    <row r="2982" spans="1:7" ht="22.5" customHeight="1">
      <c r="A2982" s="236"/>
      <c r="B2982" s="18"/>
      <c r="C2982" s="18"/>
      <c r="D2982" s="213"/>
      <c r="E2982" s="237"/>
      <c r="F2982" s="18"/>
      <c r="G2982" s="18"/>
    </row>
    <row r="2983" spans="1:7" ht="22.5" customHeight="1">
      <c r="A2983" s="236"/>
      <c r="B2983" s="18"/>
      <c r="C2983" s="18"/>
      <c r="D2983" s="213"/>
      <c r="E2983" s="237"/>
      <c r="F2983" s="18"/>
      <c r="G2983" s="18"/>
    </row>
    <row r="2984" spans="1:7" ht="22.5" customHeight="1">
      <c r="A2984" s="236"/>
      <c r="B2984" s="18"/>
      <c r="C2984" s="18"/>
      <c r="D2984" s="213"/>
      <c r="E2984" s="237"/>
      <c r="F2984" s="18"/>
      <c r="G2984" s="18"/>
    </row>
    <row r="2985" spans="1:7" ht="22.5" customHeight="1">
      <c r="A2985" s="236"/>
      <c r="B2985" s="18"/>
      <c r="C2985" s="18"/>
      <c r="D2985" s="213"/>
      <c r="E2985" s="237"/>
      <c r="F2985" s="18"/>
      <c r="G2985" s="18"/>
    </row>
    <row r="2986" spans="1:7" ht="22.5" customHeight="1">
      <c r="A2986" s="236"/>
      <c r="B2986" s="18"/>
      <c r="C2986" s="18"/>
      <c r="D2986" s="213"/>
      <c r="E2986" s="237"/>
      <c r="F2986" s="18"/>
      <c r="G2986" s="18"/>
    </row>
    <row r="2987" spans="1:7" ht="22.5" customHeight="1">
      <c r="A2987" s="236"/>
      <c r="B2987" s="18"/>
      <c r="C2987" s="18"/>
      <c r="D2987" s="213"/>
      <c r="E2987" s="237"/>
      <c r="F2987" s="18"/>
      <c r="G2987" s="18"/>
    </row>
    <row r="2988" spans="1:7" ht="22.5" customHeight="1">
      <c r="A2988" s="236"/>
      <c r="B2988" s="18"/>
      <c r="C2988" s="18"/>
      <c r="D2988" s="213"/>
      <c r="E2988" s="237"/>
      <c r="F2988" s="18"/>
      <c r="G2988" s="18"/>
    </row>
    <row r="2989" spans="1:7" ht="22.5" customHeight="1">
      <c r="A2989" s="236"/>
      <c r="B2989" s="18"/>
      <c r="C2989" s="18"/>
      <c r="D2989" s="213"/>
      <c r="E2989" s="237"/>
      <c r="F2989" s="18"/>
      <c r="G2989" s="18"/>
    </row>
    <row r="2990" spans="1:7" ht="22.5" customHeight="1">
      <c r="A2990" s="236"/>
      <c r="B2990" s="18"/>
      <c r="C2990" s="18"/>
      <c r="D2990" s="213"/>
      <c r="E2990" s="237"/>
      <c r="F2990" s="18"/>
      <c r="G2990" s="18"/>
    </row>
    <row r="2991" spans="1:7" ht="22.5" customHeight="1">
      <c r="A2991" s="236"/>
      <c r="B2991" s="18"/>
      <c r="C2991" s="18"/>
      <c r="D2991" s="213"/>
      <c r="E2991" s="237"/>
      <c r="F2991" s="18"/>
      <c r="G2991" s="18"/>
    </row>
    <row r="2992" spans="1:7" ht="22.5" customHeight="1">
      <c r="A2992" s="236"/>
      <c r="B2992" s="18"/>
      <c r="C2992" s="18"/>
      <c r="D2992" s="213"/>
      <c r="E2992" s="237"/>
      <c r="F2992" s="18"/>
      <c r="G2992" s="18"/>
    </row>
    <row r="2993" spans="1:7" ht="22.5" customHeight="1">
      <c r="A2993" s="236"/>
      <c r="B2993" s="18"/>
      <c r="C2993" s="18"/>
      <c r="D2993" s="213"/>
      <c r="E2993" s="237"/>
      <c r="F2993" s="18"/>
      <c r="G2993" s="18"/>
    </row>
    <row r="2994" spans="1:7" ht="22.5" customHeight="1">
      <c r="A2994" s="236"/>
      <c r="B2994" s="18"/>
      <c r="C2994" s="18"/>
      <c r="D2994" s="213"/>
      <c r="E2994" s="237"/>
      <c r="F2994" s="18"/>
      <c r="G2994" s="18"/>
    </row>
    <row r="2995" spans="1:7" ht="22.5" customHeight="1">
      <c r="A2995" s="236"/>
      <c r="B2995" s="18"/>
      <c r="C2995" s="18"/>
      <c r="D2995" s="213"/>
      <c r="E2995" s="237"/>
      <c r="F2995" s="18"/>
      <c r="G2995" s="18"/>
    </row>
    <row r="2996" spans="1:7" ht="22.5" customHeight="1">
      <c r="A2996" s="236"/>
      <c r="B2996" s="18"/>
      <c r="C2996" s="18"/>
      <c r="D2996" s="213"/>
      <c r="E2996" s="237"/>
      <c r="F2996" s="18"/>
      <c r="G2996" s="18"/>
    </row>
    <row r="2997" spans="1:7" ht="22.5" customHeight="1">
      <c r="A2997" s="236"/>
      <c r="B2997" s="18"/>
      <c r="C2997" s="18"/>
      <c r="D2997" s="213"/>
      <c r="E2997" s="237"/>
      <c r="F2997" s="18"/>
      <c r="G2997" s="18"/>
    </row>
    <row r="2998" spans="1:7" ht="22.5" customHeight="1">
      <c r="A2998" s="236"/>
      <c r="B2998" s="18"/>
      <c r="C2998" s="18"/>
      <c r="D2998" s="213"/>
      <c r="E2998" s="237"/>
      <c r="F2998" s="18"/>
      <c r="G2998" s="18"/>
    </row>
    <row r="2999" spans="1:7" ht="22.5" customHeight="1">
      <c r="A2999" s="236"/>
      <c r="B2999" s="18"/>
      <c r="C2999" s="18"/>
      <c r="D2999" s="213"/>
      <c r="E2999" s="237"/>
      <c r="F2999" s="18"/>
      <c r="G2999" s="18"/>
    </row>
    <row r="3000" spans="1:7" ht="22.5" customHeight="1">
      <c r="A3000" s="236"/>
      <c r="B3000" s="18"/>
      <c r="C3000" s="18"/>
      <c r="D3000" s="213"/>
      <c r="E3000" s="237"/>
      <c r="F3000" s="18"/>
      <c r="G3000" s="18"/>
    </row>
    <row r="3001" spans="1:7" ht="22.5" customHeight="1">
      <c r="A3001" s="236"/>
      <c r="B3001" s="18"/>
      <c r="C3001" s="18"/>
      <c r="D3001" s="213"/>
      <c r="E3001" s="237"/>
      <c r="F3001" s="18"/>
      <c r="G3001" s="18"/>
    </row>
    <row r="3002" spans="1:7" ht="22.5" customHeight="1">
      <c r="A3002" s="236"/>
      <c r="B3002" s="18"/>
      <c r="C3002" s="18"/>
      <c r="D3002" s="213"/>
      <c r="E3002" s="237"/>
      <c r="F3002" s="18"/>
      <c r="G3002" s="18"/>
    </row>
    <row r="3003" spans="1:7" ht="22.5" customHeight="1">
      <c r="A3003" s="236"/>
      <c r="B3003" s="18"/>
      <c r="C3003" s="18"/>
      <c r="D3003" s="213"/>
      <c r="E3003" s="237"/>
      <c r="F3003" s="18"/>
      <c r="G3003" s="18"/>
    </row>
    <row r="3004" spans="1:7" ht="22.5" customHeight="1">
      <c r="A3004" s="236"/>
      <c r="B3004" s="18"/>
      <c r="C3004" s="18"/>
      <c r="D3004" s="213"/>
      <c r="E3004" s="237"/>
      <c r="F3004" s="18"/>
      <c r="G3004" s="18"/>
    </row>
    <row r="3005" spans="1:7" ht="22.5" customHeight="1">
      <c r="A3005" s="236"/>
      <c r="B3005" s="18"/>
      <c r="C3005" s="18"/>
      <c r="D3005" s="213"/>
      <c r="E3005" s="237"/>
      <c r="F3005" s="18"/>
      <c r="G3005" s="18"/>
    </row>
    <row r="3006" spans="1:7" ht="22.5" customHeight="1">
      <c r="A3006" s="236"/>
      <c r="B3006" s="18"/>
      <c r="C3006" s="18"/>
      <c r="D3006" s="213"/>
      <c r="E3006" s="237"/>
      <c r="F3006" s="18"/>
      <c r="G3006" s="18"/>
    </row>
    <row r="3007" spans="1:7" ht="22.5" customHeight="1">
      <c r="A3007" s="236"/>
      <c r="B3007" s="18"/>
      <c r="C3007" s="18"/>
      <c r="D3007" s="213"/>
      <c r="E3007" s="237"/>
      <c r="F3007" s="18"/>
      <c r="G3007" s="18"/>
    </row>
    <row r="3008" spans="1:7" ht="22.5" customHeight="1">
      <c r="A3008" s="236"/>
      <c r="B3008" s="18"/>
      <c r="C3008" s="18"/>
      <c r="D3008" s="213"/>
      <c r="E3008" s="237"/>
      <c r="F3008" s="18"/>
      <c r="G3008" s="18"/>
    </row>
    <row r="3009" spans="1:7" ht="22.5" customHeight="1">
      <c r="A3009" s="236"/>
      <c r="B3009" s="18"/>
      <c r="C3009" s="18"/>
      <c r="D3009" s="213"/>
      <c r="E3009" s="237"/>
      <c r="F3009" s="18"/>
      <c r="G3009" s="18"/>
    </row>
    <row r="3010" spans="1:7" ht="22.5" customHeight="1">
      <c r="A3010" s="236"/>
      <c r="B3010" s="18"/>
      <c r="C3010" s="18"/>
      <c r="D3010" s="213"/>
      <c r="E3010" s="237"/>
      <c r="F3010" s="18"/>
      <c r="G3010" s="18"/>
    </row>
    <row r="3011" spans="1:7" ht="22.5" customHeight="1">
      <c r="A3011" s="236"/>
      <c r="B3011" s="18"/>
      <c r="C3011" s="18"/>
      <c r="D3011" s="213"/>
      <c r="E3011" s="237"/>
      <c r="F3011" s="18"/>
      <c r="G3011" s="18"/>
    </row>
    <row r="3012" spans="1:7" ht="22.5" customHeight="1">
      <c r="A3012" s="236"/>
      <c r="B3012" s="18"/>
      <c r="C3012" s="18"/>
      <c r="D3012" s="213"/>
      <c r="E3012" s="237"/>
      <c r="F3012" s="18"/>
      <c r="G3012" s="18"/>
    </row>
    <row r="3013" spans="1:7" ht="22.5" customHeight="1">
      <c r="A3013" s="236"/>
      <c r="B3013" s="18"/>
      <c r="C3013" s="18"/>
      <c r="D3013" s="213"/>
      <c r="E3013" s="237"/>
      <c r="F3013" s="18"/>
      <c r="G3013" s="18"/>
    </row>
    <row r="3014" spans="1:7" ht="22.5" customHeight="1">
      <c r="A3014" s="236"/>
      <c r="B3014" s="18"/>
      <c r="C3014" s="18"/>
      <c r="D3014" s="213"/>
      <c r="E3014" s="237"/>
      <c r="F3014" s="18"/>
      <c r="G3014" s="18"/>
    </row>
    <row r="3015" spans="1:7" ht="22.5" customHeight="1">
      <c r="A3015" s="236"/>
      <c r="B3015" s="18"/>
      <c r="C3015" s="18"/>
      <c r="D3015" s="213"/>
      <c r="E3015" s="237"/>
      <c r="F3015" s="18"/>
      <c r="G3015" s="18"/>
    </row>
    <row r="3016" spans="1:7" ht="22.5" customHeight="1">
      <c r="A3016" s="236"/>
      <c r="B3016" s="18"/>
      <c r="C3016" s="18"/>
      <c r="D3016" s="213"/>
      <c r="E3016" s="237"/>
      <c r="F3016" s="18"/>
      <c r="G3016" s="18"/>
    </row>
    <row r="3017" spans="1:7" ht="22.5" customHeight="1">
      <c r="A3017" s="236"/>
      <c r="B3017" s="18"/>
      <c r="C3017" s="18"/>
      <c r="D3017" s="213"/>
      <c r="E3017" s="237"/>
      <c r="F3017" s="18"/>
      <c r="G3017" s="18"/>
    </row>
    <row r="3018" spans="1:7" ht="22.5" customHeight="1">
      <c r="A3018" s="236"/>
      <c r="B3018" s="18"/>
      <c r="C3018" s="18"/>
      <c r="D3018" s="213"/>
      <c r="E3018" s="237"/>
      <c r="F3018" s="18"/>
      <c r="G3018" s="18"/>
    </row>
    <row r="3019" spans="1:7" ht="22.5" customHeight="1">
      <c r="A3019" s="236"/>
      <c r="B3019" s="18"/>
      <c r="C3019" s="18"/>
      <c r="D3019" s="213"/>
      <c r="E3019" s="237"/>
      <c r="F3019" s="18"/>
      <c r="G3019" s="18"/>
    </row>
    <row r="3020" spans="1:7" ht="22.5" customHeight="1">
      <c r="A3020" s="236"/>
      <c r="B3020" s="18"/>
      <c r="C3020" s="18"/>
      <c r="D3020" s="213"/>
      <c r="E3020" s="237"/>
      <c r="F3020" s="18"/>
      <c r="G3020" s="18"/>
    </row>
    <row r="3021" spans="1:7" ht="22.5" customHeight="1">
      <c r="A3021" s="236"/>
      <c r="B3021" s="18"/>
      <c r="C3021" s="18"/>
      <c r="D3021" s="213"/>
      <c r="E3021" s="237"/>
      <c r="F3021" s="18"/>
      <c r="G3021" s="18"/>
    </row>
    <row r="3022" spans="1:7" ht="22.5" customHeight="1">
      <c r="A3022" s="236"/>
      <c r="B3022" s="18"/>
      <c r="C3022" s="18"/>
      <c r="D3022" s="213"/>
      <c r="E3022" s="237"/>
      <c r="F3022" s="18"/>
      <c r="G3022" s="18"/>
    </row>
    <row r="3023" spans="1:7" ht="22.5" customHeight="1">
      <c r="A3023" s="236"/>
      <c r="B3023" s="18"/>
      <c r="C3023" s="18"/>
      <c r="D3023" s="213"/>
      <c r="E3023" s="237"/>
      <c r="F3023" s="18"/>
      <c r="G3023" s="18"/>
    </row>
    <row r="3024" spans="1:7" ht="22.5" customHeight="1">
      <c r="A3024" s="236"/>
      <c r="B3024" s="18"/>
      <c r="C3024" s="18"/>
      <c r="D3024" s="213"/>
      <c r="E3024" s="237"/>
      <c r="F3024" s="18"/>
      <c r="G3024" s="18"/>
    </row>
    <row r="3025" spans="1:7" ht="22.5" customHeight="1">
      <c r="A3025" s="236"/>
      <c r="B3025" s="18"/>
      <c r="C3025" s="18"/>
      <c r="D3025" s="213"/>
      <c r="E3025" s="237"/>
      <c r="F3025" s="18"/>
      <c r="G3025" s="18"/>
    </row>
    <row r="3026" spans="1:7" ht="22.5" customHeight="1">
      <c r="A3026" s="236"/>
      <c r="B3026" s="18"/>
      <c r="C3026" s="18"/>
      <c r="D3026" s="213"/>
      <c r="E3026" s="237"/>
      <c r="F3026" s="18"/>
      <c r="G3026" s="18"/>
    </row>
    <row r="3027" spans="1:7" ht="22.5" customHeight="1">
      <c r="A3027" s="236"/>
      <c r="B3027" s="18"/>
      <c r="C3027" s="18"/>
      <c r="D3027" s="213"/>
      <c r="E3027" s="237"/>
      <c r="F3027" s="18"/>
      <c r="G3027" s="18"/>
    </row>
    <row r="3028" spans="1:7" ht="22.5" customHeight="1">
      <c r="A3028" s="236"/>
      <c r="B3028" s="18"/>
      <c r="C3028" s="18"/>
      <c r="D3028" s="213"/>
      <c r="E3028" s="237"/>
      <c r="F3028" s="18"/>
      <c r="G3028" s="18"/>
    </row>
    <row r="3029" spans="1:7" ht="22.5" customHeight="1">
      <c r="A3029" s="236"/>
      <c r="B3029" s="18"/>
      <c r="C3029" s="18"/>
      <c r="D3029" s="213"/>
      <c r="E3029" s="237"/>
      <c r="F3029" s="18"/>
      <c r="G3029" s="18"/>
    </row>
    <row r="3030" spans="1:7" ht="22.5" customHeight="1">
      <c r="A3030" s="236"/>
      <c r="B3030" s="18"/>
      <c r="C3030" s="18"/>
      <c r="D3030" s="213"/>
      <c r="E3030" s="237"/>
      <c r="F3030" s="18"/>
      <c r="G3030" s="18"/>
    </row>
    <row r="3031" spans="1:7" ht="22.5" customHeight="1">
      <c r="A3031" s="236"/>
      <c r="B3031" s="18"/>
      <c r="C3031" s="18"/>
      <c r="D3031" s="213"/>
      <c r="E3031" s="237"/>
      <c r="F3031" s="18"/>
      <c r="G3031" s="18"/>
    </row>
    <row r="3032" spans="1:7" ht="22.5" customHeight="1">
      <c r="A3032" s="236"/>
      <c r="B3032" s="18"/>
      <c r="C3032" s="18"/>
      <c r="D3032" s="213"/>
      <c r="E3032" s="237"/>
      <c r="F3032" s="18"/>
      <c r="G3032" s="18"/>
    </row>
    <row r="3033" spans="1:7" ht="22.5" customHeight="1">
      <c r="A3033" s="236"/>
      <c r="B3033" s="18"/>
      <c r="C3033" s="18"/>
      <c r="D3033" s="213"/>
      <c r="E3033" s="237"/>
      <c r="F3033" s="18"/>
      <c r="G3033" s="18"/>
    </row>
    <row r="3034" spans="1:7" ht="22.5" customHeight="1">
      <c r="A3034" s="236"/>
      <c r="B3034" s="18"/>
      <c r="C3034" s="18"/>
      <c r="D3034" s="213"/>
      <c r="E3034" s="237"/>
      <c r="F3034" s="18"/>
      <c r="G3034" s="18"/>
    </row>
    <row r="3035" spans="1:7" ht="22.5" customHeight="1">
      <c r="A3035" s="236"/>
      <c r="B3035" s="18"/>
      <c r="C3035" s="18"/>
      <c r="D3035" s="213"/>
      <c r="E3035" s="237"/>
      <c r="F3035" s="18"/>
      <c r="G3035" s="18"/>
    </row>
    <row r="3036" spans="1:7" ht="22.5" customHeight="1">
      <c r="A3036" s="236"/>
      <c r="B3036" s="18"/>
      <c r="C3036" s="18"/>
      <c r="D3036" s="213"/>
      <c r="E3036" s="237"/>
      <c r="F3036" s="18"/>
      <c r="G3036" s="18"/>
    </row>
    <row r="3037" spans="1:7" ht="22.5" customHeight="1">
      <c r="A3037" s="236"/>
      <c r="B3037" s="18"/>
      <c r="C3037" s="18"/>
      <c r="D3037" s="213"/>
      <c r="E3037" s="237"/>
      <c r="F3037" s="18"/>
      <c r="G3037" s="18"/>
    </row>
    <row r="3038" spans="1:7" ht="22.5" customHeight="1">
      <c r="A3038" s="236"/>
      <c r="B3038" s="18"/>
      <c r="C3038" s="18"/>
      <c r="D3038" s="213"/>
      <c r="E3038" s="237"/>
      <c r="F3038" s="18"/>
      <c r="G3038" s="18"/>
    </row>
    <row r="3039" spans="1:7" ht="22.5" customHeight="1">
      <c r="A3039" s="236"/>
      <c r="B3039" s="18"/>
      <c r="C3039" s="18"/>
      <c r="D3039" s="213"/>
      <c r="E3039" s="237"/>
      <c r="F3039" s="18"/>
      <c r="G3039" s="18"/>
    </row>
    <row r="3040" spans="1:7" ht="22.5" customHeight="1">
      <c r="A3040" s="236"/>
      <c r="B3040" s="18"/>
      <c r="C3040" s="18"/>
      <c r="D3040" s="213"/>
      <c r="E3040" s="237"/>
      <c r="F3040" s="18"/>
      <c r="G3040" s="18"/>
    </row>
    <row r="3041" spans="1:7" ht="22.5" customHeight="1">
      <c r="A3041" s="236"/>
      <c r="B3041" s="18"/>
      <c r="C3041" s="18"/>
      <c r="D3041" s="213"/>
      <c r="E3041" s="237"/>
      <c r="F3041" s="18"/>
      <c r="G3041" s="18"/>
    </row>
    <row r="3042" spans="1:7" ht="22.5" customHeight="1">
      <c r="A3042" s="236"/>
      <c r="B3042" s="18"/>
      <c r="C3042" s="18"/>
      <c r="D3042" s="213"/>
      <c r="E3042" s="237"/>
      <c r="F3042" s="18"/>
      <c r="G3042" s="18"/>
    </row>
    <row r="3043" spans="1:7" ht="22.5" customHeight="1">
      <c r="A3043" s="236"/>
      <c r="B3043" s="18"/>
      <c r="C3043" s="18"/>
      <c r="D3043" s="213"/>
      <c r="E3043" s="237"/>
      <c r="F3043" s="18"/>
      <c r="G3043" s="18"/>
    </row>
    <row r="3044" spans="1:7" ht="22.5" customHeight="1">
      <c r="A3044" s="236"/>
      <c r="B3044" s="18"/>
      <c r="C3044" s="18"/>
      <c r="D3044" s="213"/>
      <c r="E3044" s="237"/>
      <c r="F3044" s="18"/>
      <c r="G3044" s="18"/>
    </row>
    <row r="3045" spans="1:7" ht="22.5" customHeight="1">
      <c r="A3045" s="236"/>
      <c r="B3045" s="18"/>
      <c r="C3045" s="18"/>
      <c r="D3045" s="213"/>
      <c r="E3045" s="237"/>
      <c r="F3045" s="18"/>
      <c r="G3045" s="18"/>
    </row>
    <row r="3046" spans="1:7" ht="22.5" customHeight="1">
      <c r="A3046" s="236"/>
      <c r="B3046" s="18"/>
      <c r="C3046" s="18"/>
      <c r="D3046" s="213"/>
      <c r="E3046" s="237"/>
      <c r="F3046" s="18"/>
      <c r="G3046" s="18"/>
    </row>
    <row r="3047" spans="1:7" ht="22.5" customHeight="1">
      <c r="A3047" s="236"/>
      <c r="B3047" s="18"/>
      <c r="C3047" s="18"/>
      <c r="D3047" s="213"/>
      <c r="E3047" s="237"/>
      <c r="F3047" s="18"/>
      <c r="G3047" s="18"/>
    </row>
    <row r="3048" spans="1:7" ht="22.5" customHeight="1">
      <c r="A3048" s="236"/>
      <c r="B3048" s="18"/>
      <c r="C3048" s="18"/>
      <c r="D3048" s="213"/>
      <c r="E3048" s="237"/>
      <c r="F3048" s="18"/>
      <c r="G3048" s="18"/>
    </row>
    <row r="3049" spans="1:7" ht="22.5" customHeight="1">
      <c r="A3049" s="236"/>
      <c r="B3049" s="18"/>
      <c r="C3049" s="18"/>
      <c r="D3049" s="213"/>
      <c r="E3049" s="237"/>
      <c r="F3049" s="18"/>
      <c r="G3049" s="18"/>
    </row>
    <row r="3050" spans="1:7" ht="22.5" customHeight="1">
      <c r="A3050" s="236"/>
      <c r="B3050" s="18"/>
      <c r="C3050" s="18"/>
      <c r="D3050" s="213"/>
      <c r="E3050" s="237"/>
      <c r="F3050" s="18"/>
      <c r="G3050" s="18"/>
    </row>
    <row r="3051" spans="1:7" ht="22.5" customHeight="1">
      <c r="A3051" s="236"/>
      <c r="B3051" s="18"/>
      <c r="C3051" s="18"/>
      <c r="D3051" s="213"/>
      <c r="E3051" s="237"/>
      <c r="F3051" s="18"/>
      <c r="G3051" s="18"/>
    </row>
    <row r="3052" spans="1:7" ht="22.5" customHeight="1">
      <c r="A3052" s="236"/>
      <c r="B3052" s="18"/>
      <c r="C3052" s="18"/>
      <c r="D3052" s="213"/>
      <c r="E3052" s="237"/>
      <c r="F3052" s="18"/>
      <c r="G3052" s="18"/>
    </row>
    <row r="3053" spans="1:7" ht="22.5" customHeight="1">
      <c r="A3053" s="236"/>
      <c r="B3053" s="18"/>
      <c r="C3053" s="18"/>
      <c r="D3053" s="213"/>
      <c r="E3053" s="237"/>
      <c r="F3053" s="18"/>
      <c r="G3053" s="18"/>
    </row>
    <row r="3054" spans="1:7" ht="22.5" customHeight="1">
      <c r="A3054" s="236"/>
      <c r="B3054" s="18"/>
      <c r="C3054" s="18"/>
      <c r="D3054" s="213"/>
      <c r="E3054" s="237"/>
      <c r="F3054" s="18"/>
      <c r="G3054" s="18"/>
    </row>
    <row r="3055" spans="1:7" ht="22.5" customHeight="1">
      <c r="A3055" s="236"/>
      <c r="B3055" s="18"/>
      <c r="C3055" s="18"/>
      <c r="D3055" s="213"/>
      <c r="E3055" s="237"/>
      <c r="F3055" s="18"/>
      <c r="G3055" s="18"/>
    </row>
    <row r="3056" spans="1:7" ht="22.5" customHeight="1">
      <c r="A3056" s="236"/>
      <c r="B3056" s="18"/>
      <c r="C3056" s="18"/>
      <c r="D3056" s="213"/>
      <c r="E3056" s="237"/>
      <c r="F3056" s="18"/>
      <c r="G3056" s="18"/>
    </row>
    <row r="3057" spans="1:7" ht="22.5" customHeight="1">
      <c r="A3057" s="236"/>
      <c r="B3057" s="18"/>
      <c r="C3057" s="18"/>
      <c r="D3057" s="213"/>
      <c r="E3057" s="237"/>
      <c r="F3057" s="18"/>
      <c r="G3057" s="18"/>
    </row>
    <row r="3058" spans="1:7" ht="22.5" customHeight="1">
      <c r="A3058" s="236"/>
      <c r="B3058" s="18"/>
      <c r="C3058" s="18"/>
      <c r="D3058" s="213"/>
      <c r="E3058" s="237"/>
      <c r="F3058" s="18"/>
      <c r="G3058" s="18"/>
    </row>
    <row r="3059" spans="1:7" ht="22.5" customHeight="1">
      <c r="A3059" s="236"/>
      <c r="B3059" s="18"/>
      <c r="C3059" s="18"/>
      <c r="D3059" s="213"/>
      <c r="E3059" s="237"/>
      <c r="F3059" s="18"/>
      <c r="G3059" s="18"/>
    </row>
    <row r="3060" spans="1:7" ht="22.5" customHeight="1">
      <c r="A3060" s="236"/>
      <c r="B3060" s="18"/>
      <c r="C3060" s="18"/>
      <c r="D3060" s="213"/>
      <c r="E3060" s="237"/>
      <c r="F3060" s="18"/>
      <c r="G3060" s="18"/>
    </row>
    <row r="3061" spans="1:7" ht="22.5" customHeight="1">
      <c r="A3061" s="236"/>
      <c r="B3061" s="18"/>
      <c r="C3061" s="18"/>
      <c r="D3061" s="213"/>
      <c r="E3061" s="237"/>
      <c r="F3061" s="18"/>
      <c r="G3061" s="18"/>
    </row>
    <row r="3062" spans="1:7" ht="22.5" customHeight="1">
      <c r="A3062" s="236"/>
      <c r="B3062" s="18"/>
      <c r="C3062" s="18"/>
      <c r="D3062" s="213"/>
      <c r="E3062" s="237"/>
      <c r="F3062" s="18"/>
      <c r="G3062" s="18"/>
    </row>
    <row r="3063" spans="1:7" ht="22.5" customHeight="1">
      <c r="A3063" s="236"/>
      <c r="B3063" s="18"/>
      <c r="C3063" s="18"/>
      <c r="D3063" s="213"/>
      <c r="E3063" s="237"/>
      <c r="F3063" s="18"/>
      <c r="G3063" s="18"/>
    </row>
    <row r="3064" spans="1:7" ht="22.5" customHeight="1">
      <c r="A3064" s="236"/>
      <c r="B3064" s="18"/>
      <c r="C3064" s="18"/>
      <c r="D3064" s="213"/>
      <c r="E3064" s="237"/>
      <c r="F3064" s="18"/>
      <c r="G3064" s="18"/>
    </row>
    <row r="3065" spans="1:7" ht="22.5" customHeight="1">
      <c r="A3065" s="236"/>
      <c r="B3065" s="18"/>
      <c r="C3065" s="18"/>
      <c r="D3065" s="213"/>
      <c r="E3065" s="237"/>
      <c r="F3065" s="18"/>
      <c r="G3065" s="18"/>
    </row>
    <row r="3066" spans="1:7" ht="22.5" customHeight="1">
      <c r="A3066" s="236"/>
      <c r="B3066" s="18"/>
      <c r="C3066" s="18"/>
      <c r="D3066" s="213"/>
      <c r="E3066" s="237"/>
      <c r="F3066" s="18"/>
      <c r="G3066" s="18"/>
    </row>
    <row r="3067" spans="1:7" ht="22.5" customHeight="1">
      <c r="A3067" s="236"/>
      <c r="B3067" s="18"/>
      <c r="C3067" s="18"/>
      <c r="D3067" s="213"/>
      <c r="E3067" s="237"/>
      <c r="F3067" s="18"/>
      <c r="G3067" s="18"/>
    </row>
    <row r="3068" spans="1:7" ht="22.5" customHeight="1">
      <c r="A3068" s="236"/>
      <c r="B3068" s="18"/>
      <c r="C3068" s="18"/>
      <c r="D3068" s="213"/>
      <c r="E3068" s="237"/>
      <c r="F3068" s="18"/>
      <c r="G3068" s="18"/>
    </row>
    <row r="3069" spans="1:7" ht="22.5" customHeight="1">
      <c r="A3069" s="236"/>
      <c r="B3069" s="18"/>
      <c r="C3069" s="18"/>
      <c r="D3069" s="213"/>
      <c r="E3069" s="237"/>
      <c r="F3069" s="18"/>
      <c r="G3069" s="18"/>
    </row>
    <row r="3070" spans="1:7" ht="22.5" customHeight="1">
      <c r="A3070" s="236"/>
      <c r="B3070" s="18"/>
      <c r="C3070" s="18"/>
      <c r="D3070" s="213"/>
      <c r="E3070" s="237"/>
      <c r="F3070" s="18"/>
      <c r="G3070" s="18"/>
    </row>
    <row r="3071" spans="1:7" ht="22.5" customHeight="1">
      <c r="A3071" s="236"/>
      <c r="B3071" s="18"/>
      <c r="C3071" s="18"/>
      <c r="D3071" s="213"/>
      <c r="E3071" s="237"/>
      <c r="F3071" s="18"/>
      <c r="G3071" s="18"/>
    </row>
    <row r="3072" spans="1:7" ht="22.5" customHeight="1">
      <c r="A3072" s="236"/>
      <c r="B3072" s="18"/>
      <c r="C3072" s="18"/>
      <c r="D3072" s="213"/>
      <c r="E3072" s="237"/>
      <c r="F3072" s="18"/>
      <c r="G3072" s="18"/>
    </row>
    <row r="3073" spans="1:7" ht="22.5" customHeight="1">
      <c r="A3073" s="236"/>
      <c r="B3073" s="18"/>
      <c r="C3073" s="18"/>
      <c r="D3073" s="213"/>
      <c r="E3073" s="237"/>
      <c r="F3073" s="18"/>
      <c r="G3073" s="18"/>
    </row>
    <row r="3074" spans="1:7" ht="22.5" customHeight="1">
      <c r="A3074" s="236"/>
      <c r="B3074" s="18"/>
      <c r="C3074" s="18"/>
      <c r="D3074" s="213"/>
      <c r="E3074" s="237"/>
      <c r="F3074" s="18"/>
      <c r="G3074" s="18"/>
    </row>
    <row r="3075" spans="1:7" ht="22.5" customHeight="1">
      <c r="A3075" s="236"/>
      <c r="B3075" s="18"/>
      <c r="C3075" s="18"/>
      <c r="D3075" s="213"/>
      <c r="E3075" s="237"/>
      <c r="F3075" s="18"/>
      <c r="G3075" s="18"/>
    </row>
    <row r="3076" spans="1:7" ht="22.5" customHeight="1">
      <c r="A3076" s="236"/>
      <c r="B3076" s="18"/>
      <c r="C3076" s="18"/>
      <c r="D3076" s="213"/>
      <c r="E3076" s="237"/>
      <c r="F3076" s="18"/>
      <c r="G3076" s="18"/>
    </row>
    <row r="3077" spans="1:7" ht="22.5" customHeight="1">
      <c r="A3077" s="236"/>
      <c r="B3077" s="18"/>
      <c r="C3077" s="18"/>
      <c r="D3077" s="213"/>
      <c r="E3077" s="237"/>
      <c r="F3077" s="18"/>
      <c r="G3077" s="18"/>
    </row>
    <row r="3078" spans="1:7" ht="22.5" customHeight="1">
      <c r="A3078" s="236"/>
      <c r="B3078" s="18"/>
      <c r="C3078" s="18"/>
      <c r="D3078" s="213"/>
      <c r="E3078" s="237"/>
      <c r="F3078" s="18"/>
      <c r="G3078" s="18"/>
    </row>
    <row r="3079" spans="1:7" ht="22.5" customHeight="1">
      <c r="A3079" s="236"/>
      <c r="B3079" s="18"/>
      <c r="C3079" s="18"/>
      <c r="D3079" s="213"/>
      <c r="E3079" s="237"/>
      <c r="F3079" s="18"/>
      <c r="G3079" s="18"/>
    </row>
    <row r="3080" spans="1:7" ht="22.5" customHeight="1">
      <c r="A3080" s="236"/>
      <c r="B3080" s="18"/>
      <c r="C3080" s="18"/>
      <c r="D3080" s="213"/>
      <c r="E3080" s="237"/>
      <c r="F3080" s="18"/>
      <c r="G3080" s="18"/>
    </row>
    <row r="3081" spans="1:7" ht="22.5" customHeight="1">
      <c r="A3081" s="236"/>
      <c r="B3081" s="18"/>
      <c r="C3081" s="18"/>
      <c r="D3081" s="213"/>
      <c r="E3081" s="237"/>
      <c r="F3081" s="18"/>
      <c r="G3081" s="18"/>
    </row>
    <row r="3082" spans="1:7" ht="22.5" customHeight="1">
      <c r="A3082" s="236"/>
      <c r="B3082" s="18"/>
      <c r="C3082" s="18"/>
      <c r="D3082" s="213"/>
      <c r="E3082" s="237"/>
      <c r="F3082" s="18"/>
      <c r="G3082" s="18"/>
    </row>
    <row r="3083" spans="1:7" ht="22.5" customHeight="1">
      <c r="A3083" s="236"/>
      <c r="B3083" s="18"/>
      <c r="C3083" s="18"/>
      <c r="D3083" s="213"/>
      <c r="E3083" s="237"/>
      <c r="F3083" s="18"/>
      <c r="G3083" s="18"/>
    </row>
    <row r="3084" spans="1:7" ht="22.5" customHeight="1">
      <c r="A3084" s="236"/>
      <c r="B3084" s="18"/>
      <c r="C3084" s="18"/>
      <c r="D3084" s="213"/>
      <c r="E3084" s="237"/>
      <c r="F3084" s="18"/>
      <c r="G3084" s="18"/>
    </row>
    <row r="3085" spans="1:7" ht="22.5" customHeight="1">
      <c r="A3085" s="236"/>
      <c r="B3085" s="18"/>
      <c r="C3085" s="18"/>
      <c r="D3085" s="213"/>
      <c r="E3085" s="237"/>
      <c r="F3085" s="18"/>
      <c r="G3085" s="18"/>
    </row>
    <row r="3086" spans="1:7" ht="22.5" customHeight="1">
      <c r="A3086" s="236"/>
      <c r="B3086" s="18"/>
      <c r="C3086" s="18"/>
      <c r="D3086" s="213"/>
      <c r="E3086" s="237"/>
      <c r="F3086" s="18"/>
      <c r="G3086" s="18"/>
    </row>
    <row r="3087" spans="1:7" ht="22.5" customHeight="1">
      <c r="A3087" s="236"/>
      <c r="B3087" s="18"/>
      <c r="C3087" s="18"/>
      <c r="D3087" s="213"/>
      <c r="E3087" s="237"/>
      <c r="F3087" s="18"/>
      <c r="G3087" s="18"/>
    </row>
    <row r="3088" spans="1:7" ht="22.5" customHeight="1">
      <c r="A3088" s="236"/>
      <c r="B3088" s="18"/>
      <c r="C3088" s="18"/>
      <c r="D3088" s="213"/>
      <c r="E3088" s="237"/>
      <c r="F3088" s="18"/>
      <c r="G3088" s="18"/>
    </row>
    <row r="3089" spans="1:7" ht="22.5" customHeight="1">
      <c r="A3089" s="236"/>
      <c r="B3089" s="18"/>
      <c r="C3089" s="18"/>
      <c r="D3089" s="213"/>
      <c r="E3089" s="237"/>
      <c r="F3089" s="18"/>
      <c r="G3089" s="18"/>
    </row>
    <row r="3090" spans="1:7" ht="22.5" customHeight="1">
      <c r="A3090" s="236"/>
      <c r="B3090" s="18"/>
      <c r="C3090" s="18"/>
      <c r="D3090" s="213"/>
      <c r="E3090" s="237"/>
      <c r="F3090" s="18"/>
      <c r="G3090" s="18"/>
    </row>
    <row r="3091" spans="1:7" ht="22.5" customHeight="1">
      <c r="A3091" s="236"/>
      <c r="B3091" s="18"/>
      <c r="C3091" s="18"/>
      <c r="D3091" s="213"/>
      <c r="E3091" s="237"/>
      <c r="F3091" s="18"/>
      <c r="G3091" s="18"/>
    </row>
    <row r="3092" spans="1:7" ht="22.5" customHeight="1">
      <c r="A3092" s="236"/>
      <c r="B3092" s="18"/>
      <c r="C3092" s="18"/>
      <c r="D3092" s="213"/>
      <c r="E3092" s="237"/>
      <c r="F3092" s="18"/>
      <c r="G3092" s="18"/>
    </row>
    <row r="3093" spans="1:7" ht="22.5" customHeight="1">
      <c r="A3093" s="236"/>
      <c r="B3093" s="18"/>
      <c r="C3093" s="18"/>
      <c r="D3093" s="213"/>
      <c r="E3093" s="237"/>
      <c r="F3093" s="18"/>
      <c r="G3093" s="18"/>
    </row>
    <row r="3094" spans="1:7" ht="22.5" customHeight="1">
      <c r="A3094" s="236"/>
      <c r="B3094" s="18"/>
      <c r="C3094" s="18"/>
      <c r="D3094" s="213"/>
      <c r="E3094" s="237"/>
      <c r="F3094" s="18"/>
      <c r="G3094" s="18"/>
    </row>
    <row r="3095" spans="1:7" ht="22.5" customHeight="1">
      <c r="A3095" s="236"/>
      <c r="B3095" s="18"/>
      <c r="C3095" s="18"/>
      <c r="D3095" s="213"/>
      <c r="E3095" s="237"/>
      <c r="F3095" s="18"/>
      <c r="G3095" s="18"/>
    </row>
    <row r="3096" spans="1:7" ht="22.5" customHeight="1">
      <c r="A3096" s="236"/>
      <c r="B3096" s="18"/>
      <c r="C3096" s="18"/>
      <c r="D3096" s="213"/>
      <c r="E3096" s="237"/>
      <c r="F3096" s="18"/>
      <c r="G3096" s="18"/>
    </row>
    <row r="3097" spans="1:7" ht="22.5" customHeight="1">
      <c r="A3097" s="236"/>
      <c r="B3097" s="18"/>
      <c r="C3097" s="18"/>
      <c r="D3097" s="213"/>
      <c r="E3097" s="237"/>
      <c r="F3097" s="18"/>
      <c r="G3097" s="18"/>
    </row>
    <row r="3098" spans="1:7" ht="22.5" customHeight="1">
      <c r="A3098" s="236"/>
      <c r="B3098" s="18"/>
      <c r="C3098" s="18"/>
      <c r="D3098" s="213"/>
      <c r="E3098" s="237"/>
      <c r="F3098" s="18"/>
      <c r="G3098" s="18"/>
    </row>
    <row r="3099" spans="1:7" ht="22.5" customHeight="1">
      <c r="A3099" s="236"/>
      <c r="B3099" s="18"/>
      <c r="C3099" s="18"/>
      <c r="D3099" s="213"/>
      <c r="E3099" s="237"/>
      <c r="F3099" s="18"/>
      <c r="G3099" s="18"/>
    </row>
    <row r="3100" spans="1:7" ht="22.5" customHeight="1">
      <c r="A3100" s="236"/>
      <c r="B3100" s="18"/>
      <c r="C3100" s="18"/>
      <c r="D3100" s="213"/>
      <c r="E3100" s="237"/>
      <c r="F3100" s="18"/>
      <c r="G3100" s="18"/>
    </row>
    <row r="3101" spans="1:7" ht="22.5" customHeight="1">
      <c r="A3101" s="236"/>
      <c r="B3101" s="18"/>
      <c r="C3101" s="18"/>
      <c r="D3101" s="213"/>
      <c r="E3101" s="237"/>
      <c r="F3101" s="18"/>
      <c r="G3101" s="18"/>
    </row>
    <row r="3102" spans="1:7" ht="22.5" customHeight="1">
      <c r="A3102" s="236"/>
      <c r="B3102" s="18"/>
      <c r="C3102" s="18"/>
      <c r="D3102" s="213"/>
      <c r="E3102" s="237"/>
      <c r="F3102" s="18"/>
      <c r="G3102" s="18"/>
    </row>
    <row r="3103" spans="1:7" ht="22.5" customHeight="1">
      <c r="A3103" s="236"/>
      <c r="B3103" s="18"/>
      <c r="C3103" s="18"/>
      <c r="D3103" s="213"/>
      <c r="E3103" s="237"/>
      <c r="F3103" s="18"/>
      <c r="G3103" s="18"/>
    </row>
    <row r="3104" spans="1:7" ht="22.5" customHeight="1">
      <c r="A3104" s="236"/>
      <c r="B3104" s="18"/>
      <c r="C3104" s="18"/>
      <c r="D3104" s="213"/>
      <c r="E3104" s="237"/>
      <c r="F3104" s="18"/>
      <c r="G3104" s="18"/>
    </row>
    <row r="3105" spans="1:7" ht="22.5" customHeight="1">
      <c r="A3105" s="236"/>
      <c r="B3105" s="18"/>
      <c r="C3105" s="18"/>
      <c r="D3105" s="213"/>
      <c r="E3105" s="237"/>
      <c r="F3105" s="18"/>
      <c r="G3105" s="18"/>
    </row>
    <row r="3106" spans="1:7" ht="22.5" customHeight="1">
      <c r="A3106" s="236"/>
      <c r="B3106" s="18"/>
      <c r="C3106" s="18"/>
      <c r="D3106" s="213"/>
      <c r="E3106" s="237"/>
      <c r="F3106" s="18"/>
      <c r="G3106" s="18"/>
    </row>
    <row r="3107" spans="1:7" ht="22.5" customHeight="1">
      <c r="A3107" s="236"/>
      <c r="B3107" s="18"/>
      <c r="C3107" s="18"/>
      <c r="D3107" s="213"/>
      <c r="E3107" s="237"/>
      <c r="F3107" s="18"/>
      <c r="G3107" s="18"/>
    </row>
    <row r="3108" spans="1:7" ht="22.5" customHeight="1">
      <c r="A3108" s="236"/>
      <c r="B3108" s="18"/>
      <c r="C3108" s="18"/>
      <c r="D3108" s="213"/>
      <c r="E3108" s="237"/>
      <c r="F3108" s="18"/>
      <c r="G3108" s="18"/>
    </row>
    <row r="3109" spans="1:7" ht="22.5" customHeight="1">
      <c r="A3109" s="236"/>
      <c r="B3109" s="18"/>
      <c r="C3109" s="18"/>
      <c r="D3109" s="213"/>
      <c r="E3109" s="237"/>
      <c r="F3109" s="18"/>
      <c r="G3109" s="18"/>
    </row>
    <row r="3110" spans="1:7" ht="22.5" customHeight="1">
      <c r="A3110" s="236"/>
      <c r="B3110" s="18"/>
      <c r="C3110" s="18"/>
      <c r="D3110" s="213"/>
      <c r="E3110" s="237"/>
      <c r="F3110" s="18"/>
      <c r="G3110" s="18"/>
    </row>
    <row r="3111" spans="1:7" ht="22.5" customHeight="1">
      <c r="A3111" s="236"/>
      <c r="B3111" s="18"/>
      <c r="C3111" s="18"/>
      <c r="D3111" s="213"/>
      <c r="E3111" s="237"/>
      <c r="F3111" s="18"/>
      <c r="G3111" s="18"/>
    </row>
    <row r="3112" spans="1:7" ht="22.5" customHeight="1">
      <c r="A3112" s="236"/>
      <c r="B3112" s="18"/>
      <c r="C3112" s="18"/>
      <c r="D3112" s="213"/>
      <c r="E3112" s="237"/>
      <c r="F3112" s="18"/>
      <c r="G3112" s="18"/>
    </row>
    <row r="3113" spans="1:7" ht="22.5" customHeight="1">
      <c r="A3113" s="236"/>
      <c r="B3113" s="18"/>
      <c r="C3113" s="18"/>
      <c r="D3113" s="213"/>
      <c r="E3113" s="237"/>
      <c r="F3113" s="18"/>
      <c r="G3113" s="18"/>
    </row>
    <row r="3114" spans="1:7" ht="22.5" customHeight="1">
      <c r="A3114" s="236"/>
      <c r="B3114" s="18"/>
      <c r="C3114" s="18"/>
      <c r="D3114" s="213"/>
      <c r="E3114" s="237"/>
      <c r="F3114" s="18"/>
      <c r="G3114" s="18"/>
    </row>
    <row r="3115" spans="1:7" ht="22.5" customHeight="1">
      <c r="A3115" s="236"/>
      <c r="B3115" s="18"/>
      <c r="C3115" s="18"/>
      <c r="D3115" s="213"/>
      <c r="E3115" s="237"/>
      <c r="F3115" s="18"/>
      <c r="G3115" s="18"/>
    </row>
    <row r="3116" spans="1:7" ht="22.5" customHeight="1">
      <c r="A3116" s="236"/>
      <c r="B3116" s="18"/>
      <c r="C3116" s="18"/>
      <c r="D3116" s="213"/>
      <c r="E3116" s="237"/>
      <c r="F3116" s="18"/>
      <c r="G3116" s="18"/>
    </row>
    <row r="3117" spans="1:7" ht="22.5" customHeight="1">
      <c r="A3117" s="236"/>
      <c r="B3117" s="18"/>
      <c r="C3117" s="18"/>
      <c r="D3117" s="213"/>
      <c r="E3117" s="237"/>
      <c r="F3117" s="18"/>
      <c r="G3117" s="18"/>
    </row>
    <row r="3118" spans="1:7" ht="22.5" customHeight="1">
      <c r="A3118" s="236"/>
      <c r="B3118" s="18"/>
      <c r="C3118" s="18"/>
      <c r="D3118" s="213"/>
      <c r="E3118" s="237"/>
      <c r="F3118" s="18"/>
      <c r="G3118" s="18"/>
    </row>
    <row r="3119" spans="1:7" ht="22.5" customHeight="1">
      <c r="A3119" s="236"/>
      <c r="B3119" s="18"/>
      <c r="C3119" s="18"/>
      <c r="D3119" s="213"/>
      <c r="E3119" s="237"/>
      <c r="F3119" s="18"/>
      <c r="G3119" s="18"/>
    </row>
    <row r="3120" spans="1:7" ht="22.5" customHeight="1">
      <c r="A3120" s="236"/>
      <c r="B3120" s="18"/>
      <c r="C3120" s="18"/>
      <c r="D3120" s="213"/>
      <c r="E3120" s="237"/>
      <c r="F3120" s="18"/>
      <c r="G3120" s="18"/>
    </row>
    <row r="3121" spans="1:7" ht="22.5" customHeight="1">
      <c r="A3121" s="236"/>
      <c r="B3121" s="18"/>
      <c r="C3121" s="18"/>
      <c r="D3121" s="213"/>
      <c r="E3121" s="237"/>
      <c r="F3121" s="18"/>
      <c r="G3121" s="18"/>
    </row>
    <row r="3122" spans="1:7" ht="22.5" customHeight="1">
      <c r="A3122" s="236"/>
      <c r="B3122" s="18"/>
      <c r="C3122" s="18"/>
      <c r="D3122" s="213"/>
      <c r="E3122" s="237"/>
      <c r="F3122" s="18"/>
      <c r="G3122" s="18"/>
    </row>
    <row r="3123" spans="1:7" ht="22.5" customHeight="1">
      <c r="A3123" s="236"/>
      <c r="B3123" s="18"/>
      <c r="C3123" s="18"/>
      <c r="D3123" s="213"/>
      <c r="E3123" s="237"/>
      <c r="F3123" s="18"/>
      <c r="G3123" s="18"/>
    </row>
    <row r="3124" spans="1:7" ht="22.5" customHeight="1">
      <c r="A3124" s="236"/>
      <c r="B3124" s="18"/>
      <c r="C3124" s="18"/>
      <c r="D3124" s="213"/>
      <c r="E3124" s="237"/>
      <c r="F3124" s="18"/>
      <c r="G3124" s="18"/>
    </row>
    <row r="3125" spans="1:7" ht="22.5" customHeight="1">
      <c r="A3125" s="236"/>
      <c r="B3125" s="18"/>
      <c r="C3125" s="18"/>
      <c r="D3125" s="213"/>
      <c r="E3125" s="237"/>
      <c r="F3125" s="18"/>
      <c r="G3125" s="18"/>
    </row>
    <row r="3126" spans="1:7" ht="22.5" customHeight="1">
      <c r="A3126" s="236"/>
      <c r="B3126" s="18"/>
      <c r="C3126" s="18"/>
      <c r="D3126" s="213"/>
      <c r="E3126" s="237"/>
      <c r="F3126" s="18"/>
      <c r="G3126" s="18"/>
    </row>
    <row r="3127" spans="1:7" ht="22.5" customHeight="1">
      <c r="A3127" s="236"/>
      <c r="B3127" s="18"/>
      <c r="C3127" s="18"/>
      <c r="D3127" s="213"/>
      <c r="E3127" s="237"/>
      <c r="F3127" s="18"/>
      <c r="G3127" s="18"/>
    </row>
    <row r="3128" spans="1:7" ht="22.5" customHeight="1">
      <c r="A3128" s="236"/>
      <c r="B3128" s="18"/>
      <c r="C3128" s="18"/>
      <c r="D3128" s="213"/>
      <c r="E3128" s="237"/>
      <c r="F3128" s="18"/>
      <c r="G3128" s="18"/>
    </row>
    <row r="3129" spans="1:7" ht="22.5" customHeight="1">
      <c r="A3129" s="236"/>
      <c r="B3129" s="18"/>
      <c r="C3129" s="18"/>
      <c r="D3129" s="213"/>
      <c r="E3129" s="237"/>
      <c r="F3129" s="18"/>
      <c r="G3129" s="18"/>
    </row>
    <row r="3130" spans="1:7" ht="22.5" customHeight="1">
      <c r="A3130" s="236"/>
      <c r="B3130" s="18"/>
      <c r="C3130" s="18"/>
      <c r="D3130" s="213"/>
      <c r="E3130" s="237"/>
      <c r="F3130" s="18"/>
      <c r="G3130" s="18"/>
    </row>
    <row r="3131" spans="1:7" ht="22.5" customHeight="1">
      <c r="A3131" s="236"/>
      <c r="B3131" s="18"/>
      <c r="C3131" s="18"/>
      <c r="D3131" s="213"/>
      <c r="E3131" s="237"/>
      <c r="F3131" s="18"/>
      <c r="G3131" s="18"/>
    </row>
    <row r="3132" spans="1:7" ht="22.5" customHeight="1">
      <c r="A3132" s="236"/>
      <c r="B3132" s="18"/>
      <c r="C3132" s="18"/>
      <c r="D3132" s="213"/>
      <c r="E3132" s="237"/>
      <c r="F3132" s="18"/>
      <c r="G3132" s="18"/>
    </row>
    <row r="3133" spans="1:7" ht="22.5" customHeight="1">
      <c r="A3133" s="236"/>
      <c r="B3133" s="18"/>
      <c r="C3133" s="18"/>
      <c r="D3133" s="213"/>
      <c r="E3133" s="237"/>
      <c r="F3133" s="18"/>
      <c r="G3133" s="18"/>
    </row>
    <row r="3134" spans="1:7" ht="22.5" customHeight="1">
      <c r="A3134" s="236"/>
      <c r="B3134" s="18"/>
      <c r="C3134" s="18"/>
      <c r="D3134" s="213"/>
      <c r="E3134" s="237"/>
      <c r="F3134" s="18"/>
      <c r="G3134" s="18"/>
    </row>
    <row r="3135" spans="1:7" ht="22.5" customHeight="1">
      <c r="A3135" s="236"/>
      <c r="B3135" s="18"/>
      <c r="C3135" s="18"/>
      <c r="D3135" s="213"/>
      <c r="E3135" s="237"/>
      <c r="F3135" s="18"/>
      <c r="G3135" s="18"/>
    </row>
    <row r="3136" spans="1:7" ht="22.5" customHeight="1">
      <c r="A3136" s="236"/>
      <c r="B3136" s="18"/>
      <c r="C3136" s="18"/>
      <c r="D3136" s="213"/>
      <c r="E3136" s="237"/>
      <c r="F3136" s="18"/>
      <c r="G3136" s="18"/>
    </row>
    <row r="3137" spans="1:7" ht="22.5" customHeight="1">
      <c r="A3137" s="236"/>
      <c r="B3137" s="18"/>
      <c r="C3137" s="18"/>
      <c r="D3137" s="213"/>
      <c r="E3137" s="237"/>
      <c r="F3137" s="18"/>
      <c r="G3137" s="18"/>
    </row>
    <row r="3138" spans="1:7" ht="22.5" customHeight="1">
      <c r="A3138" s="236"/>
      <c r="B3138" s="18"/>
      <c r="C3138" s="18"/>
      <c r="D3138" s="213"/>
      <c r="E3138" s="237"/>
      <c r="F3138" s="18"/>
      <c r="G3138" s="18"/>
    </row>
    <row r="3139" spans="1:7" ht="22.5" customHeight="1">
      <c r="A3139" s="236"/>
      <c r="B3139" s="18"/>
      <c r="C3139" s="18"/>
      <c r="D3139" s="213"/>
      <c r="E3139" s="237"/>
      <c r="F3139" s="18"/>
      <c r="G3139" s="18"/>
    </row>
    <row r="3140" spans="1:7" ht="22.5" customHeight="1">
      <c r="A3140" s="236"/>
      <c r="B3140" s="18"/>
      <c r="C3140" s="18"/>
      <c r="D3140" s="213"/>
      <c r="E3140" s="237"/>
      <c r="F3140" s="18"/>
      <c r="G3140" s="18"/>
    </row>
    <row r="3141" spans="1:7" ht="22.5" customHeight="1">
      <c r="A3141" s="236"/>
      <c r="B3141" s="18"/>
      <c r="C3141" s="18"/>
      <c r="D3141" s="213"/>
      <c r="E3141" s="237"/>
      <c r="F3141" s="18"/>
      <c r="G3141" s="18"/>
    </row>
    <row r="3142" spans="1:7" ht="22.5" customHeight="1">
      <c r="A3142" s="236"/>
      <c r="B3142" s="18"/>
      <c r="C3142" s="18"/>
      <c r="D3142" s="213"/>
      <c r="E3142" s="237"/>
      <c r="F3142" s="18"/>
      <c r="G3142" s="18"/>
    </row>
    <row r="3143" spans="1:7" ht="22.5" customHeight="1">
      <c r="A3143" s="236"/>
      <c r="B3143" s="18"/>
      <c r="C3143" s="18"/>
      <c r="D3143" s="213"/>
      <c r="E3143" s="237"/>
      <c r="F3143" s="18"/>
      <c r="G3143" s="18"/>
    </row>
    <row r="3144" spans="1:7" ht="22.5" customHeight="1">
      <c r="A3144" s="236"/>
      <c r="B3144" s="18"/>
      <c r="C3144" s="18"/>
      <c r="D3144" s="213"/>
      <c r="E3144" s="237"/>
      <c r="F3144" s="18"/>
      <c r="G3144" s="18"/>
    </row>
    <row r="3145" spans="1:7" ht="22.5" customHeight="1">
      <c r="A3145" s="236"/>
      <c r="B3145" s="18"/>
      <c r="C3145" s="18"/>
      <c r="D3145" s="213"/>
      <c r="E3145" s="237"/>
      <c r="F3145" s="18"/>
      <c r="G3145" s="18"/>
    </row>
    <row r="3146" spans="1:7" ht="22.5" customHeight="1">
      <c r="A3146" s="236"/>
      <c r="B3146" s="18"/>
      <c r="C3146" s="18"/>
      <c r="D3146" s="213"/>
      <c r="E3146" s="237"/>
      <c r="F3146" s="18"/>
      <c r="G3146" s="18"/>
    </row>
    <row r="3147" spans="1:7" ht="22.5" customHeight="1">
      <c r="A3147" s="236"/>
      <c r="B3147" s="18"/>
      <c r="C3147" s="18"/>
      <c r="D3147" s="213"/>
      <c r="E3147" s="237"/>
      <c r="F3147" s="18"/>
      <c r="G3147" s="18"/>
    </row>
    <row r="3148" spans="1:7" ht="22.5" customHeight="1">
      <c r="A3148" s="236"/>
      <c r="B3148" s="18"/>
      <c r="C3148" s="18"/>
      <c r="D3148" s="213"/>
      <c r="E3148" s="237"/>
      <c r="F3148" s="18"/>
      <c r="G3148" s="18"/>
    </row>
    <row r="3149" spans="1:7" ht="22.5" customHeight="1">
      <c r="A3149" s="236"/>
      <c r="B3149" s="18"/>
      <c r="C3149" s="18"/>
      <c r="D3149" s="213"/>
      <c r="E3149" s="237"/>
      <c r="F3149" s="18"/>
      <c r="G3149" s="18"/>
    </row>
    <row r="3150" spans="1:7" ht="22.5" customHeight="1">
      <c r="A3150" s="236"/>
      <c r="B3150" s="18"/>
      <c r="C3150" s="18"/>
      <c r="D3150" s="213"/>
      <c r="E3150" s="237"/>
      <c r="F3150" s="18"/>
      <c r="G3150" s="18"/>
    </row>
    <row r="3151" spans="1:7" ht="22.5" customHeight="1">
      <c r="A3151" s="236"/>
      <c r="B3151" s="18"/>
      <c r="C3151" s="18"/>
      <c r="D3151" s="213"/>
      <c r="E3151" s="237"/>
      <c r="F3151" s="18"/>
      <c r="G3151" s="18"/>
    </row>
    <row r="3152" spans="1:7" ht="22.5" customHeight="1">
      <c r="A3152" s="236"/>
      <c r="B3152" s="18"/>
      <c r="C3152" s="18"/>
      <c r="D3152" s="213"/>
      <c r="E3152" s="237"/>
      <c r="F3152" s="18"/>
      <c r="G3152" s="18"/>
    </row>
    <row r="3153" spans="1:7" ht="22.5" customHeight="1">
      <c r="A3153" s="236"/>
      <c r="B3153" s="18"/>
      <c r="C3153" s="18"/>
      <c r="D3153" s="213"/>
      <c r="E3153" s="237"/>
      <c r="F3153" s="18"/>
      <c r="G3153" s="18"/>
    </row>
    <row r="3154" spans="1:7" ht="22.5" customHeight="1">
      <c r="A3154" s="236"/>
      <c r="B3154" s="18"/>
      <c r="C3154" s="18"/>
      <c r="D3154" s="213"/>
      <c r="E3154" s="237"/>
      <c r="F3154" s="18"/>
      <c r="G3154" s="18"/>
    </row>
    <row r="3155" spans="1:7" ht="22.5" customHeight="1">
      <c r="A3155" s="236"/>
      <c r="B3155" s="18"/>
      <c r="C3155" s="18"/>
      <c r="D3155" s="213"/>
      <c r="E3155" s="237"/>
      <c r="F3155" s="18"/>
      <c r="G3155" s="18"/>
    </row>
    <row r="3156" spans="1:7" ht="22.5" customHeight="1">
      <c r="A3156" s="236"/>
      <c r="B3156" s="18"/>
      <c r="C3156" s="18"/>
      <c r="D3156" s="213"/>
      <c r="E3156" s="237"/>
      <c r="F3156" s="18"/>
      <c r="G3156" s="18"/>
    </row>
    <row r="3157" spans="1:7" ht="22.5" customHeight="1">
      <c r="A3157" s="236"/>
      <c r="B3157" s="18"/>
      <c r="C3157" s="18"/>
      <c r="D3157" s="213"/>
      <c r="E3157" s="237"/>
      <c r="F3157" s="18"/>
      <c r="G3157" s="18"/>
    </row>
    <row r="3158" spans="1:7" ht="22.5" customHeight="1">
      <c r="A3158" s="236"/>
      <c r="B3158" s="18"/>
      <c r="C3158" s="18"/>
      <c r="D3158" s="213"/>
      <c r="E3158" s="237"/>
      <c r="F3158" s="18"/>
      <c r="G3158" s="18"/>
    </row>
    <row r="3159" spans="1:7" ht="22.5" customHeight="1">
      <c r="A3159" s="236"/>
      <c r="B3159" s="18"/>
      <c r="C3159" s="18"/>
      <c r="D3159" s="213"/>
      <c r="E3159" s="237"/>
      <c r="F3159" s="18"/>
      <c r="G3159" s="18"/>
    </row>
    <row r="3160" spans="1:7" ht="22.5" customHeight="1">
      <c r="A3160" s="236"/>
      <c r="B3160" s="18"/>
      <c r="C3160" s="18"/>
      <c r="D3160" s="213"/>
      <c r="E3160" s="237"/>
      <c r="F3160" s="18"/>
      <c r="G3160" s="18"/>
    </row>
    <row r="3161" spans="1:7" ht="22.5" customHeight="1">
      <c r="A3161" s="236"/>
      <c r="B3161" s="18"/>
      <c r="C3161" s="18"/>
      <c r="D3161" s="213"/>
      <c r="E3161" s="237"/>
      <c r="F3161" s="18"/>
      <c r="G3161" s="18"/>
    </row>
    <row r="3162" spans="1:7" ht="22.5" customHeight="1">
      <c r="A3162" s="236"/>
      <c r="B3162" s="18"/>
      <c r="C3162" s="18"/>
      <c r="D3162" s="213"/>
      <c r="E3162" s="237"/>
      <c r="F3162" s="18"/>
      <c r="G3162" s="18"/>
    </row>
    <row r="3163" spans="1:7" ht="22.5" customHeight="1">
      <c r="A3163" s="236"/>
      <c r="B3163" s="18"/>
      <c r="C3163" s="18"/>
      <c r="D3163" s="213"/>
      <c r="E3163" s="237"/>
      <c r="F3163" s="18"/>
      <c r="G3163" s="18"/>
    </row>
    <row r="3164" spans="1:7" ht="22.5" customHeight="1">
      <c r="A3164" s="236"/>
      <c r="B3164" s="18"/>
      <c r="C3164" s="18"/>
      <c r="D3164" s="213"/>
      <c r="E3164" s="237"/>
      <c r="F3164" s="18"/>
      <c r="G3164" s="18"/>
    </row>
    <row r="3165" spans="1:7" ht="22.5" customHeight="1">
      <c r="A3165" s="236"/>
      <c r="B3165" s="18"/>
      <c r="C3165" s="18"/>
      <c r="D3165" s="213"/>
      <c r="E3165" s="237"/>
      <c r="F3165" s="18"/>
      <c r="G3165" s="18"/>
    </row>
    <row r="3166" spans="1:7" ht="22.5" customHeight="1">
      <c r="A3166" s="236"/>
      <c r="B3166" s="18"/>
      <c r="C3166" s="18"/>
      <c r="D3166" s="213"/>
      <c r="E3166" s="237"/>
      <c r="F3166" s="18"/>
      <c r="G3166" s="18"/>
    </row>
    <row r="3167" spans="1:7" ht="22.5" customHeight="1">
      <c r="A3167" s="236"/>
      <c r="B3167" s="18"/>
      <c r="C3167" s="18"/>
      <c r="D3167" s="213"/>
      <c r="E3167" s="237"/>
      <c r="F3167" s="18"/>
      <c r="G3167" s="18"/>
    </row>
    <row r="3168" spans="1:7" ht="22.5" customHeight="1">
      <c r="A3168" s="236"/>
      <c r="B3168" s="18"/>
      <c r="C3168" s="18"/>
      <c r="D3168" s="213"/>
      <c r="E3168" s="237"/>
      <c r="F3168" s="18"/>
      <c r="G3168" s="18"/>
    </row>
    <row r="3169" spans="1:7" ht="22.5" customHeight="1">
      <c r="A3169" s="236"/>
      <c r="B3169" s="18"/>
      <c r="C3169" s="18"/>
      <c r="D3169" s="213"/>
      <c r="E3169" s="237"/>
      <c r="F3169" s="18"/>
      <c r="G3169" s="18"/>
    </row>
    <row r="3170" spans="1:7" ht="22.5" customHeight="1">
      <c r="A3170" s="236"/>
      <c r="B3170" s="18"/>
      <c r="C3170" s="18"/>
      <c r="D3170" s="213"/>
      <c r="E3170" s="237"/>
      <c r="F3170" s="18"/>
      <c r="G3170" s="18"/>
    </row>
    <row r="3171" spans="1:7" ht="22.5" customHeight="1">
      <c r="A3171" s="236"/>
      <c r="B3171" s="18"/>
      <c r="C3171" s="18"/>
      <c r="D3171" s="213"/>
      <c r="E3171" s="237"/>
      <c r="F3171" s="18"/>
      <c r="G3171" s="18"/>
    </row>
    <row r="3172" spans="1:7" ht="22.5" customHeight="1">
      <c r="A3172" s="236"/>
      <c r="B3172" s="18"/>
      <c r="C3172" s="18"/>
      <c r="D3172" s="213"/>
      <c r="E3172" s="237"/>
      <c r="F3172" s="18"/>
      <c r="G3172" s="18"/>
    </row>
    <row r="3173" spans="1:7" ht="22.5" customHeight="1">
      <c r="A3173" s="236"/>
      <c r="B3173" s="18"/>
      <c r="C3173" s="18"/>
      <c r="D3173" s="213"/>
      <c r="E3173" s="237"/>
      <c r="F3173" s="18"/>
      <c r="G3173" s="18"/>
    </row>
    <row r="3174" spans="1:7" ht="22.5" customHeight="1">
      <c r="A3174" s="236"/>
      <c r="B3174" s="18"/>
      <c r="C3174" s="18"/>
      <c r="D3174" s="213"/>
      <c r="E3174" s="237"/>
      <c r="F3174" s="18"/>
      <c r="G3174" s="18"/>
    </row>
    <row r="3175" spans="1:7" ht="22.5" customHeight="1">
      <c r="A3175" s="236"/>
      <c r="B3175" s="18"/>
      <c r="C3175" s="18"/>
      <c r="D3175" s="213"/>
      <c r="E3175" s="237"/>
      <c r="F3175" s="18"/>
      <c r="G3175" s="18"/>
    </row>
    <row r="3176" spans="1:7" ht="22.5" customHeight="1">
      <c r="A3176" s="236"/>
      <c r="B3176" s="18"/>
      <c r="C3176" s="18"/>
      <c r="D3176" s="213"/>
      <c r="E3176" s="237"/>
      <c r="F3176" s="18"/>
      <c r="G3176" s="18"/>
    </row>
    <row r="3177" spans="1:7" ht="22.5" customHeight="1">
      <c r="A3177" s="236"/>
      <c r="B3177" s="18"/>
      <c r="C3177" s="18"/>
      <c r="D3177" s="213"/>
      <c r="E3177" s="237"/>
      <c r="F3177" s="18"/>
      <c r="G3177" s="18"/>
    </row>
    <row r="3178" spans="1:7" ht="22.5" customHeight="1">
      <c r="A3178" s="236"/>
      <c r="B3178" s="18"/>
      <c r="C3178" s="18"/>
      <c r="D3178" s="213"/>
      <c r="E3178" s="237"/>
      <c r="F3178" s="18"/>
      <c r="G3178" s="18"/>
    </row>
    <row r="3179" spans="1:7" ht="22.5" customHeight="1">
      <c r="A3179" s="236"/>
      <c r="B3179" s="18"/>
      <c r="C3179" s="18"/>
      <c r="D3179" s="213"/>
      <c r="E3179" s="237"/>
      <c r="F3179" s="18"/>
      <c r="G3179" s="18"/>
    </row>
    <row r="3180" spans="1:7" ht="22.5" customHeight="1">
      <c r="A3180" s="236"/>
      <c r="B3180" s="18"/>
      <c r="C3180" s="18"/>
      <c r="D3180" s="213"/>
      <c r="E3180" s="237"/>
      <c r="F3180" s="18"/>
      <c r="G3180" s="18"/>
    </row>
    <row r="3181" spans="1:7" ht="22.5" customHeight="1">
      <c r="A3181" s="236"/>
      <c r="B3181" s="18"/>
      <c r="C3181" s="18"/>
      <c r="D3181" s="213"/>
      <c r="E3181" s="237"/>
      <c r="F3181" s="18"/>
      <c r="G3181" s="18"/>
    </row>
    <row r="3182" spans="1:7" ht="22.5" customHeight="1">
      <c r="A3182" s="236"/>
      <c r="B3182" s="18"/>
      <c r="C3182" s="18"/>
      <c r="D3182" s="213"/>
      <c r="E3182" s="237"/>
      <c r="F3182" s="18"/>
      <c r="G3182" s="18"/>
    </row>
    <row r="3183" spans="1:7" ht="22.5" customHeight="1">
      <c r="A3183" s="236"/>
      <c r="B3183" s="18"/>
      <c r="C3183" s="18"/>
      <c r="D3183" s="213"/>
      <c r="E3183" s="237"/>
      <c r="F3183" s="18"/>
      <c r="G3183" s="18"/>
    </row>
    <row r="3184" spans="1:7" ht="22.5" customHeight="1">
      <c r="A3184" s="236"/>
      <c r="B3184" s="18"/>
      <c r="C3184" s="18"/>
      <c r="D3184" s="213"/>
      <c r="E3184" s="237"/>
      <c r="F3184" s="18"/>
      <c r="G3184" s="18"/>
    </row>
    <row r="3185" spans="1:7" ht="22.5" customHeight="1">
      <c r="A3185" s="236"/>
      <c r="B3185" s="18"/>
      <c r="C3185" s="18"/>
      <c r="D3185" s="213"/>
      <c r="E3185" s="237"/>
      <c r="F3185" s="18"/>
      <c r="G3185" s="18"/>
    </row>
    <row r="3186" spans="1:7" ht="22.5" customHeight="1">
      <c r="A3186" s="236"/>
      <c r="B3186" s="18"/>
      <c r="C3186" s="18"/>
      <c r="D3186" s="213"/>
      <c r="E3186" s="237"/>
      <c r="F3186" s="18"/>
      <c r="G3186" s="18"/>
    </row>
    <row r="3187" spans="1:7" ht="22.5" customHeight="1">
      <c r="A3187" s="236"/>
      <c r="B3187" s="18"/>
      <c r="C3187" s="18"/>
      <c r="D3187" s="213"/>
      <c r="E3187" s="237"/>
      <c r="F3187" s="18"/>
      <c r="G3187" s="18"/>
    </row>
    <row r="3188" spans="1:7" ht="22.5" customHeight="1">
      <c r="A3188" s="236"/>
      <c r="B3188" s="18"/>
      <c r="C3188" s="18"/>
      <c r="D3188" s="213"/>
      <c r="E3188" s="237"/>
      <c r="F3188" s="18"/>
      <c r="G3188" s="18"/>
    </row>
    <row r="3189" spans="1:7" ht="22.5" customHeight="1">
      <c r="A3189" s="236"/>
      <c r="B3189" s="18"/>
      <c r="C3189" s="18"/>
      <c r="D3189" s="213"/>
      <c r="E3189" s="237"/>
      <c r="F3189" s="18"/>
      <c r="G3189" s="18"/>
    </row>
    <row r="3190" spans="1:7" ht="22.5" customHeight="1">
      <c r="A3190" s="236"/>
      <c r="B3190" s="18"/>
      <c r="C3190" s="18"/>
      <c r="D3190" s="213"/>
      <c r="E3190" s="237"/>
      <c r="F3190" s="18"/>
      <c r="G3190" s="18"/>
    </row>
    <row r="3191" spans="1:7" ht="22.5" customHeight="1">
      <c r="A3191" s="236"/>
      <c r="B3191" s="18"/>
      <c r="C3191" s="18"/>
      <c r="D3191" s="213"/>
      <c r="E3191" s="237"/>
      <c r="F3191" s="18"/>
      <c r="G3191" s="18"/>
    </row>
    <row r="3192" spans="1:7" ht="22.5" customHeight="1">
      <c r="A3192" s="236"/>
      <c r="B3192" s="18"/>
      <c r="C3192" s="18"/>
      <c r="D3192" s="213"/>
      <c r="E3192" s="237"/>
      <c r="F3192" s="18"/>
      <c r="G3192" s="18"/>
    </row>
    <row r="3193" spans="1:7" ht="22.5" customHeight="1">
      <c r="A3193" s="236"/>
      <c r="B3193" s="18"/>
      <c r="C3193" s="18"/>
      <c r="D3193" s="213"/>
      <c r="E3193" s="237"/>
      <c r="F3193" s="18"/>
      <c r="G3193" s="18"/>
    </row>
    <row r="3194" spans="1:7" ht="22.5" customHeight="1">
      <c r="A3194" s="236"/>
      <c r="B3194" s="18"/>
      <c r="C3194" s="18"/>
      <c r="D3194" s="213"/>
      <c r="E3194" s="237"/>
      <c r="F3194" s="18"/>
      <c r="G3194" s="18"/>
    </row>
    <row r="3195" spans="1:7" ht="22.5" customHeight="1">
      <c r="A3195" s="236"/>
      <c r="B3195" s="18"/>
      <c r="C3195" s="18"/>
      <c r="D3195" s="213"/>
      <c r="E3195" s="237"/>
      <c r="F3195" s="18"/>
      <c r="G3195" s="18"/>
    </row>
    <row r="3196" spans="1:7" ht="22.5" customHeight="1">
      <c r="A3196" s="236"/>
      <c r="B3196" s="18"/>
      <c r="C3196" s="18"/>
      <c r="D3196" s="213"/>
      <c r="E3196" s="237"/>
      <c r="F3196" s="18"/>
      <c r="G3196" s="18"/>
    </row>
    <row r="3197" spans="1:7" ht="22.5" customHeight="1">
      <c r="A3197" s="236"/>
      <c r="B3197" s="18"/>
      <c r="C3197" s="18"/>
      <c r="D3197" s="213"/>
      <c r="E3197" s="237"/>
      <c r="F3197" s="18"/>
      <c r="G3197" s="18"/>
    </row>
    <row r="3198" spans="1:7" ht="22.5" customHeight="1">
      <c r="A3198" s="236"/>
      <c r="B3198" s="18"/>
      <c r="C3198" s="18"/>
      <c r="D3198" s="213"/>
      <c r="E3198" s="237"/>
      <c r="F3198" s="18"/>
      <c r="G3198" s="18"/>
    </row>
    <row r="3199" spans="1:7" ht="22.5" customHeight="1">
      <c r="A3199" s="236"/>
      <c r="B3199" s="18"/>
      <c r="C3199" s="18"/>
      <c r="D3199" s="213"/>
      <c r="E3199" s="237"/>
      <c r="F3199" s="18"/>
      <c r="G3199" s="18"/>
    </row>
    <row r="3200" spans="1:7" ht="22.5" customHeight="1">
      <c r="A3200" s="236"/>
      <c r="B3200" s="18"/>
      <c r="C3200" s="18"/>
      <c r="D3200" s="213"/>
      <c r="E3200" s="237"/>
      <c r="F3200" s="18"/>
      <c r="G3200" s="18"/>
    </row>
    <row r="3201" spans="1:7" ht="22.5" customHeight="1">
      <c r="A3201" s="236"/>
      <c r="B3201" s="18"/>
      <c r="C3201" s="18"/>
      <c r="D3201" s="213"/>
      <c r="E3201" s="237"/>
      <c r="F3201" s="18"/>
      <c r="G3201" s="18"/>
    </row>
    <row r="3202" spans="1:7" ht="22.5" customHeight="1">
      <c r="A3202" s="236"/>
      <c r="B3202" s="18"/>
      <c r="C3202" s="18"/>
      <c r="D3202" s="213"/>
      <c r="E3202" s="237"/>
      <c r="F3202" s="18"/>
      <c r="G3202" s="18"/>
    </row>
    <row r="3203" spans="1:7" ht="22.5" customHeight="1">
      <c r="A3203" s="236"/>
      <c r="B3203" s="18"/>
      <c r="C3203" s="18"/>
      <c r="D3203" s="213"/>
      <c r="E3203" s="237"/>
      <c r="F3203" s="18"/>
      <c r="G3203" s="18"/>
    </row>
    <row r="3204" spans="1:7" ht="22.5" customHeight="1">
      <c r="A3204" s="236"/>
      <c r="B3204" s="18"/>
      <c r="C3204" s="18"/>
      <c r="D3204" s="213"/>
      <c r="E3204" s="237"/>
      <c r="F3204" s="18"/>
      <c r="G3204" s="18"/>
    </row>
    <row r="3205" spans="1:7" ht="22.5" customHeight="1">
      <c r="A3205" s="236"/>
      <c r="B3205" s="18"/>
      <c r="C3205" s="18"/>
      <c r="D3205" s="213"/>
      <c r="E3205" s="237"/>
      <c r="F3205" s="18"/>
      <c r="G3205" s="18"/>
    </row>
    <row r="3206" spans="1:7" ht="22.5" customHeight="1">
      <c r="A3206" s="236"/>
      <c r="B3206" s="18"/>
      <c r="C3206" s="18"/>
      <c r="D3206" s="213"/>
      <c r="E3206" s="237"/>
      <c r="F3206" s="18"/>
      <c r="G3206" s="18"/>
    </row>
    <row r="3207" spans="1:7" ht="22.5" customHeight="1">
      <c r="A3207" s="236"/>
      <c r="B3207" s="18"/>
      <c r="C3207" s="18"/>
      <c r="D3207" s="213"/>
      <c r="E3207" s="237"/>
      <c r="F3207" s="18"/>
      <c r="G3207" s="18"/>
    </row>
    <row r="3208" spans="1:7" ht="22.5" customHeight="1">
      <c r="A3208" s="236"/>
      <c r="B3208" s="18"/>
      <c r="C3208" s="18"/>
      <c r="D3208" s="213"/>
      <c r="E3208" s="237"/>
      <c r="F3208" s="18"/>
      <c r="G3208" s="18"/>
    </row>
    <row r="3209" spans="1:7" ht="22.5" customHeight="1">
      <c r="A3209" s="236"/>
      <c r="B3209" s="18"/>
      <c r="C3209" s="18"/>
      <c r="D3209" s="213"/>
      <c r="E3209" s="237"/>
      <c r="F3209" s="18"/>
      <c r="G3209" s="18"/>
    </row>
    <row r="3210" spans="1:7" ht="22.5" customHeight="1">
      <c r="A3210" s="236"/>
      <c r="B3210" s="18"/>
      <c r="C3210" s="18"/>
      <c r="D3210" s="213"/>
      <c r="E3210" s="237"/>
      <c r="F3210" s="18"/>
      <c r="G3210" s="18"/>
    </row>
    <row r="3211" spans="1:7" ht="22.5" customHeight="1">
      <c r="A3211" s="236"/>
      <c r="B3211" s="18"/>
      <c r="C3211" s="18"/>
      <c r="D3211" s="213"/>
      <c r="E3211" s="237"/>
      <c r="F3211" s="18"/>
      <c r="G3211" s="18"/>
    </row>
    <row r="3212" spans="1:7" ht="22.5" customHeight="1">
      <c r="A3212" s="236"/>
      <c r="B3212" s="18"/>
      <c r="C3212" s="18"/>
      <c r="D3212" s="213"/>
      <c r="E3212" s="237"/>
      <c r="F3212" s="18"/>
      <c r="G3212" s="18"/>
    </row>
    <row r="3213" spans="1:7" ht="22.5" customHeight="1">
      <c r="A3213" s="236"/>
      <c r="B3213" s="18"/>
      <c r="C3213" s="18"/>
      <c r="D3213" s="213"/>
      <c r="E3213" s="237"/>
      <c r="F3213" s="18"/>
      <c r="G3213" s="18"/>
    </row>
    <row r="3214" spans="1:7" ht="22.5" customHeight="1">
      <c r="A3214" s="236"/>
      <c r="B3214" s="18"/>
      <c r="C3214" s="18"/>
      <c r="D3214" s="213"/>
      <c r="E3214" s="237"/>
      <c r="F3214" s="18"/>
      <c r="G3214" s="18"/>
    </row>
    <row r="3215" spans="1:7" ht="22.5" customHeight="1">
      <c r="A3215" s="236"/>
      <c r="B3215" s="18"/>
      <c r="C3215" s="18"/>
      <c r="D3215" s="213"/>
      <c r="E3215" s="237"/>
      <c r="F3215" s="18"/>
      <c r="G3215" s="18"/>
    </row>
    <row r="3216" spans="1:7" ht="22.5" customHeight="1">
      <c r="A3216" s="236"/>
      <c r="B3216" s="18"/>
      <c r="C3216" s="18"/>
      <c r="D3216" s="213"/>
      <c r="E3216" s="237"/>
      <c r="F3216" s="18"/>
      <c r="G3216" s="18"/>
    </row>
    <row r="3217" spans="1:7" ht="22.5" customHeight="1">
      <c r="A3217" s="236"/>
      <c r="B3217" s="18"/>
      <c r="C3217" s="18"/>
      <c r="D3217" s="213"/>
      <c r="E3217" s="237"/>
      <c r="F3217" s="18"/>
      <c r="G3217" s="18"/>
    </row>
    <row r="3218" spans="1:7" ht="22.5" customHeight="1">
      <c r="A3218" s="236"/>
      <c r="B3218" s="18"/>
      <c r="C3218" s="18"/>
      <c r="D3218" s="213"/>
      <c r="E3218" s="237"/>
      <c r="F3218" s="18"/>
      <c r="G3218" s="18"/>
    </row>
    <row r="3219" spans="1:7" ht="22.5" customHeight="1">
      <c r="A3219" s="236"/>
      <c r="B3219" s="18"/>
      <c r="C3219" s="18"/>
      <c r="D3219" s="213"/>
      <c r="E3219" s="237"/>
      <c r="F3219" s="18"/>
      <c r="G3219" s="18"/>
    </row>
    <row r="3220" spans="1:7" ht="22.5" customHeight="1">
      <c r="A3220" s="236"/>
      <c r="B3220" s="18"/>
      <c r="C3220" s="18"/>
      <c r="D3220" s="213"/>
      <c r="E3220" s="237"/>
      <c r="F3220" s="18"/>
      <c r="G3220" s="18"/>
    </row>
    <row r="3221" spans="1:7" ht="22.5" customHeight="1">
      <c r="A3221" s="236"/>
      <c r="B3221" s="18"/>
      <c r="C3221" s="18"/>
      <c r="D3221" s="213"/>
      <c r="E3221" s="237"/>
      <c r="F3221" s="18"/>
      <c r="G3221" s="18"/>
    </row>
    <row r="3222" spans="1:7" ht="22.5" customHeight="1">
      <c r="A3222" s="236"/>
      <c r="B3222" s="18"/>
      <c r="C3222" s="18"/>
      <c r="D3222" s="213"/>
      <c r="E3222" s="237"/>
      <c r="F3222" s="18"/>
      <c r="G3222" s="18"/>
    </row>
    <row r="3223" spans="1:7" ht="22.5" customHeight="1">
      <c r="A3223" s="236"/>
      <c r="B3223" s="18"/>
      <c r="C3223" s="18"/>
      <c r="D3223" s="213"/>
      <c r="E3223" s="237"/>
      <c r="F3223" s="18"/>
      <c r="G3223" s="18"/>
    </row>
    <row r="3224" spans="1:7" ht="22.5" customHeight="1">
      <c r="A3224" s="236"/>
      <c r="B3224" s="18"/>
      <c r="C3224" s="18"/>
      <c r="D3224" s="213"/>
      <c r="E3224" s="237"/>
      <c r="F3224" s="18"/>
      <c r="G3224" s="18"/>
    </row>
    <row r="3225" spans="1:7" ht="22.5" customHeight="1">
      <c r="A3225" s="236"/>
      <c r="B3225" s="18"/>
      <c r="C3225" s="18"/>
      <c r="D3225" s="213"/>
      <c r="E3225" s="237"/>
      <c r="F3225" s="18"/>
      <c r="G3225" s="18"/>
    </row>
    <row r="3226" spans="1:7" ht="22.5" customHeight="1">
      <c r="A3226" s="236"/>
      <c r="B3226" s="18"/>
      <c r="C3226" s="18"/>
      <c r="D3226" s="213"/>
      <c r="E3226" s="237"/>
      <c r="F3226" s="18"/>
      <c r="G3226" s="18"/>
    </row>
    <row r="3227" spans="1:7" ht="22.5" customHeight="1">
      <c r="A3227" s="236"/>
      <c r="B3227" s="18"/>
      <c r="C3227" s="18"/>
      <c r="D3227" s="213"/>
      <c r="E3227" s="237"/>
      <c r="F3227" s="18"/>
      <c r="G3227" s="18"/>
    </row>
    <row r="3228" spans="1:7" ht="22.5" customHeight="1">
      <c r="A3228" s="236"/>
      <c r="B3228" s="18"/>
      <c r="C3228" s="18"/>
      <c r="D3228" s="213"/>
      <c r="E3228" s="237"/>
      <c r="F3228" s="18"/>
      <c r="G3228" s="18"/>
    </row>
    <row r="3229" spans="1:7" ht="22.5" customHeight="1">
      <c r="A3229" s="236"/>
      <c r="B3229" s="18"/>
      <c r="C3229" s="18"/>
      <c r="D3229" s="213"/>
      <c r="E3229" s="237"/>
      <c r="F3229" s="18"/>
      <c r="G3229" s="18"/>
    </row>
    <row r="3230" spans="1:7" ht="22.5" customHeight="1">
      <c r="A3230" s="236"/>
      <c r="B3230" s="18"/>
      <c r="C3230" s="18"/>
      <c r="D3230" s="213"/>
      <c r="E3230" s="237"/>
      <c r="F3230" s="18"/>
      <c r="G3230" s="18"/>
    </row>
    <row r="3231" spans="1:7" ht="22.5" customHeight="1">
      <c r="A3231" s="236"/>
      <c r="B3231" s="18"/>
      <c r="C3231" s="18"/>
      <c r="D3231" s="213"/>
      <c r="E3231" s="237"/>
      <c r="F3231" s="18"/>
      <c r="G3231" s="18"/>
    </row>
    <row r="3232" spans="1:7" ht="22.5" customHeight="1">
      <c r="A3232" s="236"/>
      <c r="B3232" s="18"/>
      <c r="C3232" s="18"/>
      <c r="D3232" s="213"/>
      <c r="E3232" s="237"/>
      <c r="F3232" s="18"/>
      <c r="G3232" s="18"/>
    </row>
    <row r="3233" spans="1:7" ht="22.5" customHeight="1">
      <c r="A3233" s="236"/>
      <c r="B3233" s="18"/>
      <c r="C3233" s="18"/>
      <c r="D3233" s="213"/>
      <c r="E3233" s="237"/>
      <c r="F3233" s="18"/>
      <c r="G3233" s="18"/>
    </row>
    <row r="3234" spans="1:7" ht="22.5" customHeight="1">
      <c r="A3234" s="236"/>
      <c r="B3234" s="18"/>
      <c r="C3234" s="18"/>
      <c r="D3234" s="213"/>
      <c r="E3234" s="237"/>
      <c r="F3234" s="18"/>
      <c r="G3234" s="18"/>
    </row>
    <row r="3235" spans="1:7" ht="22.5" customHeight="1">
      <c r="A3235" s="236"/>
      <c r="B3235" s="18"/>
      <c r="C3235" s="18"/>
      <c r="D3235" s="213"/>
      <c r="E3235" s="237"/>
      <c r="F3235" s="18"/>
      <c r="G3235" s="18"/>
    </row>
    <row r="3236" spans="1:7" ht="22.5" customHeight="1">
      <c r="A3236" s="236"/>
      <c r="B3236" s="18"/>
      <c r="C3236" s="18"/>
      <c r="D3236" s="213"/>
      <c r="E3236" s="237"/>
      <c r="F3236" s="18"/>
      <c r="G3236" s="18"/>
    </row>
    <row r="3237" spans="1:7" ht="22.5" customHeight="1">
      <c r="A3237" s="236"/>
      <c r="B3237" s="18"/>
      <c r="C3237" s="18"/>
      <c r="D3237" s="213"/>
      <c r="E3237" s="237"/>
      <c r="F3237" s="18"/>
      <c r="G3237" s="18"/>
    </row>
    <row r="3238" spans="1:7" ht="22.5" customHeight="1">
      <c r="A3238" s="236"/>
      <c r="B3238" s="18"/>
      <c r="C3238" s="18"/>
      <c r="D3238" s="213"/>
      <c r="E3238" s="237"/>
      <c r="F3238" s="18"/>
      <c r="G3238" s="18"/>
    </row>
    <row r="3239" spans="1:7" ht="22.5" customHeight="1">
      <c r="A3239" s="236"/>
      <c r="B3239" s="18"/>
      <c r="C3239" s="18"/>
      <c r="D3239" s="213"/>
      <c r="E3239" s="237"/>
      <c r="F3239" s="18"/>
      <c r="G3239" s="18"/>
    </row>
    <row r="3240" spans="1:7" ht="22.5" customHeight="1">
      <c r="A3240" s="236"/>
      <c r="B3240" s="18"/>
      <c r="C3240" s="18"/>
      <c r="D3240" s="213"/>
      <c r="E3240" s="237"/>
      <c r="F3240" s="18"/>
      <c r="G3240" s="18"/>
    </row>
    <row r="3241" spans="1:7" ht="22.5" customHeight="1">
      <c r="A3241" s="236"/>
      <c r="B3241" s="18"/>
      <c r="C3241" s="18"/>
      <c r="D3241" s="213"/>
      <c r="E3241" s="237"/>
      <c r="F3241" s="18"/>
      <c r="G3241" s="18"/>
    </row>
    <row r="3242" spans="1:7" ht="22.5" customHeight="1">
      <c r="A3242" s="236"/>
      <c r="B3242" s="18"/>
      <c r="C3242" s="18"/>
      <c r="D3242" s="213"/>
      <c r="E3242" s="237"/>
      <c r="F3242" s="18"/>
      <c r="G3242" s="18"/>
    </row>
    <row r="3243" spans="1:7" ht="22.5" customHeight="1">
      <c r="A3243" s="236"/>
      <c r="B3243" s="18"/>
      <c r="C3243" s="18"/>
      <c r="D3243" s="213"/>
      <c r="E3243" s="237"/>
      <c r="F3243" s="18"/>
      <c r="G3243" s="18"/>
    </row>
    <row r="3244" spans="1:7" ht="22.5" customHeight="1">
      <c r="A3244" s="236"/>
      <c r="B3244" s="18"/>
      <c r="C3244" s="18"/>
      <c r="D3244" s="213"/>
      <c r="E3244" s="237"/>
      <c r="F3244" s="18"/>
      <c r="G3244" s="18"/>
    </row>
    <row r="3245" spans="1:7" ht="22.5" customHeight="1">
      <c r="A3245" s="236"/>
      <c r="B3245" s="18"/>
      <c r="C3245" s="18"/>
      <c r="D3245" s="213"/>
      <c r="E3245" s="237"/>
      <c r="F3245" s="18"/>
      <c r="G3245" s="18"/>
    </row>
    <row r="3246" spans="1:7" ht="22.5" customHeight="1">
      <c r="A3246" s="236"/>
      <c r="B3246" s="18"/>
      <c r="C3246" s="18"/>
      <c r="D3246" s="213"/>
      <c r="E3246" s="237"/>
      <c r="F3246" s="18"/>
      <c r="G3246" s="18"/>
    </row>
    <row r="3247" spans="1:7" ht="22.5" customHeight="1">
      <c r="A3247" s="236"/>
      <c r="B3247" s="18"/>
      <c r="C3247" s="18"/>
      <c r="D3247" s="213"/>
      <c r="E3247" s="237"/>
      <c r="F3247" s="18"/>
      <c r="G3247" s="18"/>
    </row>
    <row r="3248" spans="1:7" ht="22.5" customHeight="1">
      <c r="A3248" s="236"/>
      <c r="B3248" s="18"/>
      <c r="C3248" s="18"/>
      <c r="D3248" s="213"/>
      <c r="E3248" s="237"/>
      <c r="F3248" s="18"/>
      <c r="G3248" s="18"/>
    </row>
    <row r="3249" spans="1:7" ht="22.5" customHeight="1">
      <c r="A3249" s="236"/>
      <c r="B3249" s="18"/>
      <c r="C3249" s="18"/>
      <c r="D3249" s="213"/>
      <c r="E3249" s="237"/>
      <c r="F3249" s="18"/>
      <c r="G3249" s="18"/>
    </row>
    <row r="3250" spans="1:7" ht="22.5" customHeight="1">
      <c r="A3250" s="236"/>
      <c r="B3250" s="18"/>
      <c r="C3250" s="18"/>
      <c r="D3250" s="213"/>
      <c r="E3250" s="237"/>
      <c r="F3250" s="18"/>
      <c r="G3250" s="18"/>
    </row>
    <row r="3251" spans="1:7" ht="22.5" customHeight="1">
      <c r="A3251" s="236"/>
      <c r="B3251" s="18"/>
      <c r="C3251" s="18"/>
      <c r="D3251" s="213"/>
      <c r="E3251" s="237"/>
      <c r="F3251" s="18"/>
      <c r="G3251" s="18"/>
    </row>
    <row r="3252" spans="1:7" ht="22.5" customHeight="1">
      <c r="A3252" s="236"/>
      <c r="B3252" s="18"/>
      <c r="C3252" s="18"/>
      <c r="D3252" s="213"/>
      <c r="E3252" s="237"/>
      <c r="F3252" s="18"/>
      <c r="G3252" s="18"/>
    </row>
    <row r="3253" spans="1:7" ht="22.5" customHeight="1">
      <c r="A3253" s="236"/>
      <c r="B3253" s="18"/>
      <c r="C3253" s="18"/>
      <c r="D3253" s="213"/>
      <c r="E3253" s="237"/>
      <c r="F3253" s="18"/>
      <c r="G3253" s="18"/>
    </row>
    <row r="3254" spans="1:7" ht="22.5" customHeight="1">
      <c r="A3254" s="236"/>
      <c r="B3254" s="18"/>
      <c r="C3254" s="18"/>
      <c r="D3254" s="213"/>
      <c r="E3254" s="237"/>
      <c r="F3254" s="18"/>
      <c r="G3254" s="18"/>
    </row>
    <row r="3255" spans="1:7" ht="22.5" customHeight="1">
      <c r="A3255" s="236"/>
      <c r="B3255" s="18"/>
      <c r="C3255" s="18"/>
      <c r="D3255" s="213"/>
      <c r="E3255" s="237"/>
      <c r="F3255" s="18"/>
      <c r="G3255" s="18"/>
    </row>
    <row r="3256" spans="1:7" ht="22.5" customHeight="1">
      <c r="A3256" s="236"/>
      <c r="B3256" s="18"/>
      <c r="C3256" s="18"/>
      <c r="D3256" s="213"/>
      <c r="E3256" s="237"/>
      <c r="F3256" s="18"/>
      <c r="G3256" s="18"/>
    </row>
    <row r="3257" spans="1:7" ht="22.5" customHeight="1">
      <c r="A3257" s="236"/>
      <c r="B3257" s="18"/>
      <c r="C3257" s="18"/>
      <c r="D3257" s="213"/>
      <c r="E3257" s="237"/>
      <c r="F3257" s="18"/>
      <c r="G3257" s="18"/>
    </row>
    <row r="3258" spans="1:7" ht="22.5" customHeight="1">
      <c r="A3258" s="236"/>
      <c r="B3258" s="18"/>
      <c r="C3258" s="18"/>
      <c r="D3258" s="213"/>
      <c r="E3258" s="237"/>
      <c r="F3258" s="18"/>
      <c r="G3258" s="18"/>
    </row>
    <row r="3259" spans="1:7" ht="22.5" customHeight="1">
      <c r="A3259" s="236"/>
      <c r="B3259" s="18"/>
      <c r="C3259" s="18"/>
      <c r="D3259" s="213"/>
      <c r="E3259" s="237"/>
      <c r="F3259" s="18"/>
      <c r="G3259" s="18"/>
    </row>
    <row r="3260" spans="1:7" ht="22.5" customHeight="1">
      <c r="A3260" s="236"/>
      <c r="B3260" s="18"/>
      <c r="C3260" s="18"/>
      <c r="D3260" s="213"/>
      <c r="E3260" s="237"/>
      <c r="F3260" s="18"/>
      <c r="G3260" s="18"/>
    </row>
    <row r="3261" spans="1:7" ht="22.5" customHeight="1">
      <c r="A3261" s="236"/>
      <c r="B3261" s="18"/>
      <c r="C3261" s="18"/>
      <c r="D3261" s="213"/>
      <c r="E3261" s="237"/>
      <c r="F3261" s="18"/>
      <c r="G3261" s="18"/>
    </row>
    <row r="3262" spans="1:7" ht="22.5" customHeight="1">
      <c r="A3262" s="236"/>
      <c r="B3262" s="18"/>
      <c r="C3262" s="18"/>
      <c r="D3262" s="213"/>
      <c r="E3262" s="237"/>
      <c r="F3262" s="18"/>
      <c r="G3262" s="18"/>
    </row>
    <row r="3263" spans="1:7" ht="22.5" customHeight="1">
      <c r="A3263" s="236"/>
      <c r="B3263" s="18"/>
      <c r="C3263" s="18"/>
      <c r="D3263" s="213"/>
      <c r="E3263" s="237"/>
      <c r="F3263" s="18"/>
      <c r="G3263" s="18"/>
    </row>
    <row r="3264" spans="1:7" ht="22.5" customHeight="1">
      <c r="A3264" s="236"/>
      <c r="B3264" s="18"/>
      <c r="C3264" s="18"/>
      <c r="D3264" s="213"/>
      <c r="E3264" s="237"/>
      <c r="F3264" s="18"/>
      <c r="G3264" s="18"/>
    </row>
    <row r="3265" spans="1:7" ht="22.5" customHeight="1">
      <c r="A3265" s="236"/>
      <c r="B3265" s="18"/>
      <c r="C3265" s="18"/>
      <c r="D3265" s="213"/>
      <c r="E3265" s="237"/>
      <c r="F3265" s="18"/>
      <c r="G3265" s="18"/>
    </row>
    <row r="3266" spans="1:7" ht="22.5" customHeight="1">
      <c r="A3266" s="236"/>
      <c r="B3266" s="18"/>
      <c r="C3266" s="18"/>
      <c r="D3266" s="213"/>
      <c r="E3266" s="237"/>
      <c r="F3266" s="18"/>
      <c r="G3266" s="18"/>
    </row>
    <row r="3267" spans="1:7" ht="22.5" customHeight="1">
      <c r="A3267" s="236"/>
      <c r="B3267" s="18"/>
      <c r="C3267" s="18"/>
      <c r="D3267" s="213"/>
      <c r="E3267" s="237"/>
      <c r="F3267" s="18"/>
      <c r="G3267" s="18"/>
    </row>
    <row r="3268" spans="1:7" ht="22.5" customHeight="1">
      <c r="A3268" s="236"/>
      <c r="B3268" s="18"/>
      <c r="C3268" s="18"/>
      <c r="D3268" s="213"/>
      <c r="E3268" s="237"/>
      <c r="F3268" s="18"/>
      <c r="G3268" s="18"/>
    </row>
    <row r="3269" spans="1:7" ht="22.5" customHeight="1">
      <c r="A3269" s="236"/>
      <c r="B3269" s="18"/>
      <c r="C3269" s="18"/>
      <c r="D3269" s="213"/>
      <c r="E3269" s="237"/>
      <c r="F3269" s="18"/>
      <c r="G3269" s="18"/>
    </row>
    <row r="3270" spans="1:7" ht="22.5" customHeight="1">
      <c r="A3270" s="236"/>
      <c r="B3270" s="18"/>
      <c r="C3270" s="18"/>
      <c r="D3270" s="213"/>
      <c r="E3270" s="237"/>
      <c r="F3270" s="18"/>
      <c r="G3270" s="18"/>
    </row>
    <row r="3271" spans="1:7" ht="22.5" customHeight="1">
      <c r="A3271" s="236"/>
      <c r="B3271" s="18"/>
      <c r="C3271" s="18"/>
      <c r="D3271" s="213"/>
      <c r="E3271" s="237"/>
      <c r="F3271" s="18"/>
      <c r="G3271" s="18"/>
    </row>
    <row r="3272" spans="1:7" ht="22.5" customHeight="1">
      <c r="A3272" s="236"/>
      <c r="B3272" s="18"/>
      <c r="C3272" s="18"/>
      <c r="D3272" s="213"/>
      <c r="E3272" s="237"/>
      <c r="F3272" s="18"/>
      <c r="G3272" s="18"/>
    </row>
    <row r="3273" spans="1:7" ht="22.5" customHeight="1">
      <c r="A3273" s="236"/>
      <c r="B3273" s="18"/>
      <c r="C3273" s="18"/>
      <c r="D3273" s="213"/>
      <c r="E3273" s="237"/>
      <c r="F3273" s="18"/>
      <c r="G3273" s="18"/>
    </row>
    <row r="3274" spans="1:7" ht="22.5" customHeight="1">
      <c r="A3274" s="236"/>
      <c r="B3274" s="18"/>
      <c r="C3274" s="18"/>
      <c r="D3274" s="213"/>
      <c r="E3274" s="237"/>
      <c r="F3274" s="18"/>
      <c r="G3274" s="18"/>
    </row>
    <row r="3275" spans="1:7" ht="22.5" customHeight="1">
      <c r="A3275" s="236"/>
      <c r="B3275" s="18"/>
      <c r="C3275" s="18"/>
      <c r="D3275" s="213"/>
      <c r="E3275" s="237"/>
      <c r="F3275" s="18"/>
      <c r="G3275" s="18"/>
    </row>
    <row r="3276" spans="1:7" ht="22.5" customHeight="1">
      <c r="A3276" s="236"/>
      <c r="B3276" s="18"/>
      <c r="C3276" s="18"/>
      <c r="D3276" s="213"/>
      <c r="E3276" s="237"/>
      <c r="F3276" s="18"/>
      <c r="G3276" s="18"/>
    </row>
    <row r="3277" spans="1:7" ht="22.5" customHeight="1">
      <c r="A3277" s="236"/>
      <c r="B3277" s="18"/>
      <c r="C3277" s="18"/>
      <c r="D3277" s="213"/>
      <c r="E3277" s="237"/>
      <c r="F3277" s="18"/>
      <c r="G3277" s="18"/>
    </row>
    <row r="3278" spans="1:7" ht="22.5" customHeight="1">
      <c r="A3278" s="236"/>
      <c r="B3278" s="18"/>
      <c r="C3278" s="18"/>
      <c r="D3278" s="213"/>
      <c r="E3278" s="237"/>
      <c r="F3278" s="18"/>
      <c r="G3278" s="18"/>
    </row>
    <row r="3279" spans="1:7" ht="22.5" customHeight="1">
      <c r="A3279" s="236"/>
      <c r="B3279" s="18"/>
      <c r="C3279" s="18"/>
      <c r="D3279" s="213"/>
      <c r="E3279" s="237"/>
      <c r="F3279" s="18"/>
      <c r="G3279" s="18"/>
    </row>
    <row r="3280" spans="1:7" ht="22.5" customHeight="1">
      <c r="A3280" s="236"/>
      <c r="B3280" s="18"/>
      <c r="C3280" s="18"/>
      <c r="D3280" s="213"/>
      <c r="E3280" s="237"/>
      <c r="F3280" s="18"/>
      <c r="G3280" s="18"/>
    </row>
    <row r="3281" spans="1:7" ht="22.5" customHeight="1">
      <c r="A3281" s="236"/>
      <c r="B3281" s="18"/>
      <c r="C3281" s="18"/>
      <c r="D3281" s="213"/>
      <c r="E3281" s="237"/>
      <c r="F3281" s="18"/>
      <c r="G3281" s="18"/>
    </row>
    <row r="3282" spans="1:7" ht="22.5" customHeight="1">
      <c r="A3282" s="236"/>
      <c r="B3282" s="18"/>
      <c r="C3282" s="18"/>
      <c r="D3282" s="213"/>
      <c r="E3282" s="237"/>
      <c r="F3282" s="18"/>
      <c r="G3282" s="18"/>
    </row>
    <row r="3283" spans="1:7" ht="22.5" customHeight="1">
      <c r="A3283" s="236"/>
      <c r="B3283" s="18"/>
      <c r="C3283" s="18"/>
      <c r="D3283" s="213"/>
      <c r="E3283" s="237"/>
      <c r="F3283" s="18"/>
      <c r="G3283" s="18"/>
    </row>
    <row r="3284" spans="1:7" ht="22.5" customHeight="1">
      <c r="A3284" s="236"/>
      <c r="B3284" s="18"/>
      <c r="C3284" s="18"/>
      <c r="D3284" s="213"/>
      <c r="E3284" s="237"/>
      <c r="F3284" s="18"/>
      <c r="G3284" s="18"/>
    </row>
    <row r="3285" spans="1:7" ht="22.5" customHeight="1">
      <c r="A3285" s="236"/>
      <c r="B3285" s="18"/>
      <c r="C3285" s="18"/>
      <c r="D3285" s="213"/>
      <c r="E3285" s="237"/>
      <c r="F3285" s="18"/>
      <c r="G3285" s="18"/>
    </row>
    <row r="3286" spans="1:7" ht="22.5" customHeight="1">
      <c r="A3286" s="236"/>
      <c r="B3286" s="18"/>
      <c r="C3286" s="18"/>
      <c r="D3286" s="213"/>
      <c r="E3286" s="237"/>
      <c r="F3286" s="18"/>
      <c r="G3286" s="18"/>
    </row>
    <row r="3287" spans="1:7" ht="22.5" customHeight="1">
      <c r="A3287" s="236"/>
      <c r="B3287" s="18"/>
      <c r="C3287" s="18"/>
      <c r="D3287" s="213"/>
      <c r="E3287" s="237"/>
      <c r="F3287" s="18"/>
      <c r="G3287" s="18"/>
    </row>
    <row r="3288" spans="1:7" ht="22.5" customHeight="1">
      <c r="A3288" s="236"/>
      <c r="B3288" s="18"/>
      <c r="C3288" s="18"/>
      <c r="D3288" s="213"/>
      <c r="E3288" s="237"/>
      <c r="F3288" s="18"/>
      <c r="G3288" s="18"/>
    </row>
    <row r="3289" spans="1:7" ht="22.5" customHeight="1">
      <c r="A3289" s="236"/>
      <c r="B3289" s="18"/>
      <c r="C3289" s="18"/>
      <c r="D3289" s="213"/>
      <c r="E3289" s="237"/>
      <c r="F3289" s="18"/>
      <c r="G3289" s="18"/>
    </row>
    <row r="3290" spans="1:7" ht="22.5" customHeight="1">
      <c r="A3290" s="236"/>
      <c r="B3290" s="18"/>
      <c r="C3290" s="18"/>
      <c r="D3290" s="213"/>
      <c r="E3290" s="237"/>
      <c r="F3290" s="18"/>
      <c r="G3290" s="18"/>
    </row>
    <row r="3291" spans="1:7" ht="22.5" customHeight="1">
      <c r="A3291" s="236"/>
      <c r="B3291" s="18"/>
      <c r="C3291" s="18"/>
      <c r="D3291" s="213"/>
      <c r="E3291" s="237"/>
      <c r="F3291" s="18"/>
      <c r="G3291" s="18"/>
    </row>
    <row r="3292" spans="1:7" ht="22.5" customHeight="1">
      <c r="A3292" s="236"/>
      <c r="B3292" s="18"/>
      <c r="C3292" s="18"/>
      <c r="D3292" s="213"/>
      <c r="E3292" s="237"/>
      <c r="F3292" s="18"/>
      <c r="G3292" s="18"/>
    </row>
    <row r="3293" spans="1:7" ht="22.5" customHeight="1">
      <c r="A3293" s="236"/>
      <c r="B3293" s="18"/>
      <c r="C3293" s="18"/>
      <c r="D3293" s="213"/>
      <c r="E3293" s="237"/>
      <c r="F3293" s="18"/>
      <c r="G3293" s="18"/>
    </row>
    <row r="3294" spans="1:7" ht="22.5" customHeight="1">
      <c r="A3294" s="236"/>
      <c r="B3294" s="18"/>
      <c r="C3294" s="18"/>
      <c r="D3294" s="213"/>
      <c r="E3294" s="237"/>
      <c r="F3294" s="18"/>
      <c r="G3294" s="18"/>
    </row>
    <row r="3295" spans="1:7" ht="22.5" customHeight="1">
      <c r="A3295" s="236"/>
      <c r="B3295" s="18"/>
      <c r="C3295" s="18"/>
      <c r="D3295" s="213"/>
      <c r="E3295" s="237"/>
      <c r="F3295" s="18"/>
      <c r="G3295" s="18"/>
    </row>
    <row r="3296" spans="1:7" ht="22.5" customHeight="1">
      <c r="A3296" s="236"/>
      <c r="B3296" s="18"/>
      <c r="C3296" s="18"/>
      <c r="D3296" s="213"/>
      <c r="E3296" s="237"/>
      <c r="F3296" s="18"/>
      <c r="G3296" s="18"/>
    </row>
    <row r="3297" spans="1:7" ht="22.5" customHeight="1">
      <c r="A3297" s="236"/>
      <c r="B3297" s="18"/>
      <c r="C3297" s="18"/>
      <c r="D3297" s="213"/>
      <c r="E3297" s="237"/>
      <c r="F3297" s="18"/>
      <c r="G3297" s="18"/>
    </row>
    <row r="3298" spans="1:7" ht="22.5" customHeight="1">
      <c r="A3298" s="236"/>
      <c r="B3298" s="18"/>
      <c r="C3298" s="18"/>
      <c r="D3298" s="213"/>
      <c r="E3298" s="237"/>
      <c r="F3298" s="18"/>
      <c r="G3298" s="18"/>
    </row>
    <row r="3299" spans="1:7" ht="22.5" customHeight="1">
      <c r="A3299" s="236"/>
      <c r="B3299" s="18"/>
      <c r="C3299" s="18"/>
      <c r="D3299" s="213"/>
      <c r="E3299" s="237"/>
      <c r="F3299" s="18"/>
      <c r="G3299" s="18"/>
    </row>
    <row r="3300" spans="1:7" ht="22.5" customHeight="1">
      <c r="A3300" s="236"/>
      <c r="B3300" s="18"/>
      <c r="C3300" s="18"/>
      <c r="D3300" s="213"/>
      <c r="E3300" s="237"/>
      <c r="F3300" s="18"/>
      <c r="G3300" s="18"/>
    </row>
    <row r="3301" spans="1:7" ht="22.5" customHeight="1">
      <c r="A3301" s="236"/>
      <c r="B3301" s="18"/>
      <c r="C3301" s="18"/>
      <c r="D3301" s="213"/>
      <c r="E3301" s="237"/>
      <c r="F3301" s="18"/>
      <c r="G3301" s="18"/>
    </row>
    <row r="3302" spans="1:7" ht="22.5" customHeight="1">
      <c r="A3302" s="236"/>
      <c r="B3302" s="18"/>
      <c r="C3302" s="18"/>
      <c r="D3302" s="213"/>
      <c r="E3302" s="237"/>
      <c r="F3302" s="18"/>
      <c r="G3302" s="18"/>
    </row>
    <row r="3303" spans="1:7" ht="22.5" customHeight="1">
      <c r="A3303" s="236"/>
      <c r="B3303" s="18"/>
      <c r="C3303" s="18"/>
      <c r="D3303" s="213"/>
      <c r="E3303" s="237"/>
      <c r="F3303" s="18"/>
      <c r="G3303" s="18"/>
    </row>
    <row r="3304" spans="1:7" ht="22.5" customHeight="1">
      <c r="A3304" s="236"/>
      <c r="B3304" s="18"/>
      <c r="C3304" s="18"/>
      <c r="D3304" s="213"/>
      <c r="E3304" s="237"/>
      <c r="F3304" s="18"/>
      <c r="G3304" s="18"/>
    </row>
    <row r="3305" spans="1:7" ht="22.5" customHeight="1">
      <c r="A3305" s="236"/>
      <c r="B3305" s="18"/>
      <c r="C3305" s="18"/>
      <c r="D3305" s="213"/>
      <c r="E3305" s="237"/>
      <c r="F3305" s="18"/>
      <c r="G3305" s="18"/>
    </row>
    <row r="3306" spans="1:7" ht="22.5" customHeight="1">
      <c r="A3306" s="236"/>
      <c r="B3306" s="18"/>
      <c r="C3306" s="18"/>
      <c r="D3306" s="213"/>
      <c r="E3306" s="237"/>
      <c r="F3306" s="18"/>
      <c r="G3306" s="18"/>
    </row>
    <row r="3307" spans="1:7" ht="22.5" customHeight="1">
      <c r="A3307" s="236"/>
      <c r="B3307" s="18"/>
      <c r="C3307" s="18"/>
      <c r="D3307" s="213"/>
      <c r="E3307" s="237"/>
      <c r="F3307" s="18"/>
      <c r="G3307" s="18"/>
    </row>
    <row r="3308" spans="1:7" ht="22.5" customHeight="1">
      <c r="A3308" s="236"/>
      <c r="B3308" s="18"/>
      <c r="C3308" s="18"/>
      <c r="D3308" s="213"/>
      <c r="E3308" s="237"/>
      <c r="F3308" s="18"/>
      <c r="G3308" s="18"/>
    </row>
    <row r="3309" spans="1:7" ht="22.5" customHeight="1">
      <c r="A3309" s="236"/>
      <c r="B3309" s="18"/>
      <c r="C3309" s="18"/>
      <c r="D3309" s="213"/>
      <c r="E3309" s="237"/>
      <c r="F3309" s="18"/>
      <c r="G3309" s="18"/>
    </row>
    <row r="3310" spans="1:7" ht="22.5" customHeight="1">
      <c r="A3310" s="236"/>
      <c r="B3310" s="18"/>
      <c r="C3310" s="18"/>
      <c r="D3310" s="213"/>
      <c r="E3310" s="237"/>
      <c r="F3310" s="18"/>
      <c r="G3310" s="18"/>
    </row>
    <row r="3311" spans="1:7" ht="22.5" customHeight="1">
      <c r="A3311" s="236"/>
      <c r="B3311" s="18"/>
      <c r="C3311" s="18"/>
      <c r="D3311" s="213"/>
      <c r="E3311" s="237"/>
      <c r="F3311" s="18"/>
      <c r="G3311" s="18"/>
    </row>
    <row r="3312" spans="1:7" ht="22.5" customHeight="1">
      <c r="A3312" s="236"/>
      <c r="B3312" s="18"/>
      <c r="C3312" s="18"/>
      <c r="D3312" s="213"/>
      <c r="E3312" s="237"/>
      <c r="F3312" s="18"/>
      <c r="G3312" s="18"/>
    </row>
    <row r="3313" spans="1:7" ht="22.5" customHeight="1">
      <c r="A3313" s="236"/>
      <c r="B3313" s="18"/>
      <c r="C3313" s="18"/>
      <c r="D3313" s="213"/>
      <c r="E3313" s="237"/>
      <c r="F3313" s="18"/>
      <c r="G3313" s="18"/>
    </row>
    <row r="3314" spans="1:7" ht="22.5" customHeight="1">
      <c r="A3314" s="236"/>
      <c r="B3314" s="18"/>
      <c r="C3314" s="18"/>
      <c r="D3314" s="213"/>
      <c r="E3314" s="237"/>
      <c r="F3314" s="18"/>
      <c r="G3314" s="18"/>
    </row>
    <row r="3315" spans="1:7" ht="22.5" customHeight="1">
      <c r="A3315" s="236"/>
      <c r="B3315" s="18"/>
      <c r="C3315" s="18"/>
      <c r="D3315" s="213"/>
      <c r="E3315" s="237"/>
      <c r="F3315" s="18"/>
      <c r="G3315" s="18"/>
    </row>
    <row r="3316" spans="1:7" ht="22.5" customHeight="1">
      <c r="A3316" s="236"/>
      <c r="B3316" s="18"/>
      <c r="C3316" s="18"/>
      <c r="D3316" s="213"/>
      <c r="E3316" s="237"/>
      <c r="F3316" s="18"/>
      <c r="G3316" s="18"/>
    </row>
    <row r="3317" spans="1:7" ht="22.5" customHeight="1">
      <c r="A3317" s="236"/>
      <c r="B3317" s="18"/>
      <c r="C3317" s="18"/>
      <c r="D3317" s="213"/>
      <c r="E3317" s="237"/>
      <c r="F3317" s="18"/>
      <c r="G3317" s="18"/>
    </row>
    <row r="3318" spans="1:7" ht="22.5" customHeight="1">
      <c r="A3318" s="236"/>
      <c r="B3318" s="18"/>
      <c r="C3318" s="18"/>
      <c r="D3318" s="213"/>
      <c r="E3318" s="237"/>
      <c r="F3318" s="18"/>
      <c r="G3318" s="18"/>
    </row>
    <row r="3319" spans="1:7" ht="22.5" customHeight="1">
      <c r="A3319" s="236"/>
      <c r="B3319" s="18"/>
      <c r="C3319" s="18"/>
      <c r="D3319" s="213"/>
      <c r="E3319" s="237"/>
      <c r="F3319" s="18"/>
      <c r="G3319" s="18"/>
    </row>
    <row r="3320" spans="1:7" ht="22.5" customHeight="1">
      <c r="A3320" s="236"/>
      <c r="B3320" s="18"/>
      <c r="C3320" s="18"/>
      <c r="D3320" s="213"/>
      <c r="E3320" s="237"/>
      <c r="F3320" s="18"/>
      <c r="G3320" s="18"/>
    </row>
    <row r="3321" spans="1:7" ht="22.5" customHeight="1">
      <c r="A3321" s="236"/>
      <c r="B3321" s="18"/>
      <c r="C3321" s="18"/>
      <c r="D3321" s="213"/>
      <c r="E3321" s="237"/>
      <c r="F3321" s="18"/>
      <c r="G3321" s="18"/>
    </row>
    <row r="3322" spans="1:7" ht="22.5" customHeight="1">
      <c r="A3322" s="236"/>
      <c r="B3322" s="18"/>
      <c r="C3322" s="18"/>
      <c r="D3322" s="213"/>
      <c r="E3322" s="237"/>
      <c r="F3322" s="18"/>
      <c r="G3322" s="18"/>
    </row>
    <row r="3323" spans="1:7" ht="22.5" customHeight="1">
      <c r="A3323" s="236"/>
      <c r="B3323" s="18"/>
      <c r="C3323" s="18"/>
      <c r="D3323" s="213"/>
      <c r="E3323" s="237"/>
      <c r="F3323" s="18"/>
      <c r="G3323" s="18"/>
    </row>
    <row r="3324" spans="1:7" ht="22.5" customHeight="1">
      <c r="A3324" s="236"/>
      <c r="B3324" s="18"/>
      <c r="C3324" s="18"/>
      <c r="D3324" s="213"/>
      <c r="E3324" s="237"/>
      <c r="F3324" s="18"/>
      <c r="G3324" s="18"/>
    </row>
    <row r="3325" spans="1:7" ht="22.5" customHeight="1">
      <c r="A3325" s="236"/>
      <c r="B3325" s="18"/>
      <c r="C3325" s="18"/>
      <c r="D3325" s="213"/>
      <c r="E3325" s="237"/>
      <c r="F3325" s="18"/>
      <c r="G3325" s="18"/>
    </row>
    <row r="3326" spans="1:7" ht="22.5" customHeight="1">
      <c r="A3326" s="236"/>
      <c r="B3326" s="18"/>
      <c r="C3326" s="18"/>
      <c r="D3326" s="213"/>
      <c r="E3326" s="237"/>
      <c r="F3326" s="18"/>
      <c r="G3326" s="18"/>
    </row>
    <row r="3327" spans="1:7" ht="22.5" customHeight="1">
      <c r="A3327" s="236"/>
      <c r="B3327" s="18"/>
      <c r="C3327" s="18"/>
      <c r="D3327" s="213"/>
      <c r="E3327" s="237"/>
      <c r="F3327" s="18"/>
      <c r="G3327" s="18"/>
    </row>
    <row r="3328" spans="1:7" ht="22.5" customHeight="1">
      <c r="A3328" s="236"/>
      <c r="B3328" s="18"/>
      <c r="C3328" s="18"/>
      <c r="D3328" s="213"/>
      <c r="E3328" s="237"/>
      <c r="F3328" s="18"/>
      <c r="G3328" s="18"/>
    </row>
    <row r="3329" spans="1:7" ht="22.5" customHeight="1">
      <c r="A3329" s="236"/>
      <c r="B3329" s="18"/>
      <c r="C3329" s="18"/>
      <c r="D3329" s="213"/>
      <c r="E3329" s="237"/>
      <c r="F3329" s="18"/>
      <c r="G3329" s="18"/>
    </row>
    <row r="3330" spans="1:7" ht="22.5" customHeight="1">
      <c r="A3330" s="236"/>
      <c r="B3330" s="18"/>
      <c r="C3330" s="18"/>
      <c r="D3330" s="213"/>
      <c r="E3330" s="237"/>
      <c r="F3330" s="18"/>
      <c r="G3330" s="18"/>
    </row>
    <row r="3331" spans="1:7" ht="22.5" customHeight="1">
      <c r="A3331" s="236"/>
      <c r="B3331" s="18"/>
      <c r="C3331" s="18"/>
      <c r="D3331" s="213"/>
      <c r="E3331" s="237"/>
      <c r="F3331" s="18"/>
      <c r="G3331" s="18"/>
    </row>
    <row r="3332" spans="1:7" ht="22.5" customHeight="1">
      <c r="A3332" s="236"/>
      <c r="B3332" s="18"/>
      <c r="C3332" s="18"/>
      <c r="D3332" s="213"/>
      <c r="E3332" s="237"/>
      <c r="F3332" s="18"/>
      <c r="G3332" s="18"/>
    </row>
    <row r="3333" spans="1:7" ht="22.5" customHeight="1">
      <c r="A3333" s="236"/>
      <c r="B3333" s="18"/>
      <c r="C3333" s="18"/>
      <c r="D3333" s="213"/>
      <c r="E3333" s="237"/>
      <c r="F3333" s="18"/>
      <c r="G3333" s="18"/>
    </row>
    <row r="3334" spans="1:7" ht="22.5" customHeight="1">
      <c r="A3334" s="236"/>
      <c r="B3334" s="18"/>
      <c r="C3334" s="18"/>
      <c r="D3334" s="213"/>
      <c r="E3334" s="237"/>
      <c r="F3334" s="18"/>
      <c r="G3334" s="18"/>
    </row>
    <row r="3335" spans="1:7" ht="22.5" customHeight="1">
      <c r="A3335" s="236"/>
      <c r="B3335" s="18"/>
      <c r="C3335" s="18"/>
      <c r="D3335" s="213"/>
      <c r="E3335" s="237"/>
      <c r="F3335" s="18"/>
      <c r="G3335" s="18"/>
    </row>
    <row r="3336" spans="1:7" ht="22.5" customHeight="1">
      <c r="A3336" s="236"/>
      <c r="B3336" s="18"/>
      <c r="C3336" s="18"/>
      <c r="D3336" s="213"/>
      <c r="E3336" s="237"/>
      <c r="F3336" s="18"/>
      <c r="G3336" s="18"/>
    </row>
    <row r="3337" spans="1:7" ht="22.5" customHeight="1">
      <c r="A3337" s="236"/>
      <c r="B3337" s="18"/>
      <c r="C3337" s="18"/>
      <c r="D3337" s="213"/>
      <c r="E3337" s="237"/>
      <c r="F3337" s="18"/>
      <c r="G3337" s="18"/>
    </row>
    <row r="3338" spans="1:7" ht="22.5" customHeight="1">
      <c r="A3338" s="236"/>
      <c r="B3338" s="18"/>
      <c r="C3338" s="18"/>
      <c r="D3338" s="213"/>
      <c r="E3338" s="237"/>
      <c r="F3338" s="18"/>
      <c r="G3338" s="18"/>
    </row>
    <row r="3339" spans="1:7" ht="22.5" customHeight="1">
      <c r="A3339" s="236"/>
      <c r="B3339" s="18"/>
      <c r="C3339" s="18"/>
      <c r="D3339" s="213"/>
      <c r="E3339" s="237"/>
      <c r="F3339" s="18"/>
      <c r="G3339" s="18"/>
    </row>
    <row r="3340" spans="1:7" ht="22.5" customHeight="1">
      <c r="A3340" s="236"/>
      <c r="B3340" s="18"/>
      <c r="C3340" s="18"/>
      <c r="D3340" s="213"/>
      <c r="E3340" s="237"/>
      <c r="F3340" s="18"/>
      <c r="G3340" s="18"/>
    </row>
    <row r="3341" spans="1:7" ht="22.5" customHeight="1">
      <c r="A3341" s="236"/>
      <c r="B3341" s="18"/>
      <c r="C3341" s="18"/>
      <c r="D3341" s="213"/>
      <c r="E3341" s="237"/>
      <c r="F3341" s="18"/>
      <c r="G3341" s="18"/>
    </row>
    <row r="3342" spans="1:7" ht="22.5" customHeight="1">
      <c r="A3342" s="236"/>
      <c r="B3342" s="18"/>
      <c r="C3342" s="18"/>
      <c r="D3342" s="213"/>
      <c r="E3342" s="237"/>
      <c r="F3342" s="18"/>
      <c r="G3342" s="18"/>
    </row>
    <row r="3343" spans="1:7" ht="22.5" customHeight="1">
      <c r="A3343" s="236"/>
      <c r="B3343" s="18"/>
      <c r="C3343" s="18"/>
      <c r="D3343" s="213"/>
      <c r="E3343" s="237"/>
      <c r="F3343" s="18"/>
      <c r="G3343" s="18"/>
    </row>
    <row r="3344" spans="1:7" ht="22.5" customHeight="1">
      <c r="A3344" s="236"/>
      <c r="B3344" s="18"/>
      <c r="C3344" s="18"/>
      <c r="D3344" s="213"/>
      <c r="E3344" s="237"/>
      <c r="F3344" s="18"/>
      <c r="G3344" s="18"/>
    </row>
    <row r="3345" spans="1:7" ht="22.5" customHeight="1">
      <c r="A3345" s="236"/>
      <c r="B3345" s="18"/>
      <c r="C3345" s="18"/>
      <c r="D3345" s="213"/>
      <c r="E3345" s="237"/>
      <c r="F3345" s="18"/>
      <c r="G3345" s="18"/>
    </row>
    <row r="3346" spans="1:7" ht="22.5" customHeight="1">
      <c r="A3346" s="236"/>
      <c r="B3346" s="18"/>
      <c r="C3346" s="18"/>
      <c r="D3346" s="213"/>
      <c r="E3346" s="237"/>
      <c r="F3346" s="18"/>
      <c r="G3346" s="18"/>
    </row>
    <row r="3347" spans="1:7" ht="22.5" customHeight="1">
      <c r="A3347" s="236"/>
      <c r="B3347" s="18"/>
      <c r="C3347" s="18"/>
      <c r="D3347" s="213"/>
      <c r="E3347" s="237"/>
      <c r="F3347" s="18"/>
      <c r="G3347" s="18"/>
    </row>
    <row r="3348" spans="1:7" ht="22.5" customHeight="1">
      <c r="A3348" s="236"/>
      <c r="B3348" s="18"/>
      <c r="C3348" s="18"/>
      <c r="D3348" s="213"/>
      <c r="E3348" s="237"/>
      <c r="F3348" s="18"/>
      <c r="G3348" s="18"/>
    </row>
    <row r="3349" spans="1:7" ht="22.5" customHeight="1">
      <c r="A3349" s="236"/>
      <c r="B3349" s="18"/>
      <c r="C3349" s="18"/>
      <c r="D3349" s="213"/>
      <c r="E3349" s="237"/>
      <c r="F3349" s="18"/>
      <c r="G3349" s="18"/>
    </row>
    <row r="3350" spans="1:7" ht="22.5" customHeight="1">
      <c r="A3350" s="236"/>
      <c r="B3350" s="18"/>
      <c r="C3350" s="18"/>
      <c r="D3350" s="213"/>
      <c r="E3350" s="237"/>
      <c r="F3350" s="18"/>
      <c r="G3350" s="18"/>
    </row>
    <row r="3351" spans="1:7" ht="22.5" customHeight="1">
      <c r="A3351" s="236"/>
      <c r="B3351" s="18"/>
      <c r="C3351" s="18"/>
      <c r="D3351" s="213"/>
      <c r="E3351" s="237"/>
      <c r="F3351" s="18"/>
      <c r="G3351" s="18"/>
    </row>
    <row r="3352" spans="1:7" ht="22.5" customHeight="1">
      <c r="A3352" s="236"/>
      <c r="B3352" s="18"/>
      <c r="C3352" s="18"/>
      <c r="D3352" s="213"/>
      <c r="E3352" s="237"/>
      <c r="F3352" s="18"/>
      <c r="G3352" s="18"/>
    </row>
    <row r="3353" spans="1:7" ht="22.5" customHeight="1">
      <c r="A3353" s="236"/>
      <c r="B3353" s="18"/>
      <c r="C3353" s="18"/>
      <c r="D3353" s="213"/>
      <c r="E3353" s="237"/>
      <c r="F3353" s="18"/>
      <c r="G3353" s="18"/>
    </row>
    <row r="3354" spans="1:7" ht="22.5" customHeight="1">
      <c r="A3354" s="236"/>
      <c r="B3354" s="18"/>
      <c r="C3354" s="18"/>
      <c r="D3354" s="213"/>
      <c r="E3354" s="237"/>
      <c r="F3354" s="18"/>
      <c r="G3354" s="18"/>
    </row>
    <row r="3355" spans="1:7" ht="22.5" customHeight="1">
      <c r="A3355" s="236"/>
      <c r="B3355" s="18"/>
      <c r="C3355" s="18"/>
      <c r="D3355" s="213"/>
      <c r="E3355" s="237"/>
      <c r="F3355" s="18"/>
      <c r="G3355" s="18"/>
    </row>
    <row r="3356" spans="1:7" ht="22.5" customHeight="1">
      <c r="A3356" s="236"/>
      <c r="B3356" s="18"/>
      <c r="C3356" s="18"/>
      <c r="D3356" s="213"/>
      <c r="E3356" s="237"/>
      <c r="F3356" s="18"/>
      <c r="G3356" s="18"/>
    </row>
    <row r="3357" spans="1:7" ht="22.5" customHeight="1">
      <c r="A3357" s="236"/>
      <c r="B3357" s="18"/>
      <c r="C3357" s="18"/>
      <c r="D3357" s="213"/>
      <c r="E3357" s="237"/>
      <c r="F3357" s="18"/>
      <c r="G3357" s="18"/>
    </row>
    <row r="3358" spans="1:7" ht="22.5" customHeight="1">
      <c r="A3358" s="236"/>
      <c r="B3358" s="18"/>
      <c r="C3358" s="18"/>
      <c r="D3358" s="213"/>
      <c r="E3358" s="237"/>
      <c r="F3358" s="18"/>
      <c r="G3358" s="18"/>
    </row>
    <row r="3359" spans="1:7" ht="22.5" customHeight="1">
      <c r="A3359" s="236"/>
      <c r="B3359" s="18"/>
      <c r="C3359" s="18"/>
      <c r="D3359" s="213"/>
      <c r="E3359" s="237"/>
      <c r="F3359" s="18"/>
      <c r="G3359" s="18"/>
    </row>
    <row r="3360" spans="1:7" ht="22.5" customHeight="1">
      <c r="A3360" s="236"/>
      <c r="B3360" s="18"/>
      <c r="C3360" s="18"/>
      <c r="D3360" s="213"/>
      <c r="E3360" s="237"/>
      <c r="F3360" s="18"/>
      <c r="G3360" s="18"/>
    </row>
    <row r="3361" spans="1:7" ht="22.5" customHeight="1">
      <c r="A3361" s="236"/>
      <c r="B3361" s="18"/>
      <c r="C3361" s="18"/>
      <c r="D3361" s="213"/>
      <c r="E3361" s="237"/>
      <c r="F3361" s="18"/>
      <c r="G3361" s="18"/>
    </row>
    <row r="3362" spans="1:7" ht="22.5" customHeight="1">
      <c r="A3362" s="236"/>
      <c r="B3362" s="18"/>
      <c r="C3362" s="18"/>
      <c r="D3362" s="213"/>
      <c r="E3362" s="237"/>
      <c r="F3362" s="18"/>
      <c r="G3362" s="18"/>
    </row>
    <row r="3363" spans="1:7" ht="22.5" customHeight="1">
      <c r="A3363" s="236"/>
      <c r="B3363" s="18"/>
      <c r="C3363" s="18"/>
      <c r="D3363" s="213"/>
      <c r="E3363" s="237"/>
      <c r="F3363" s="18"/>
      <c r="G3363" s="18"/>
    </row>
    <row r="3364" spans="1:7" ht="22.5" customHeight="1">
      <c r="A3364" s="236"/>
      <c r="B3364" s="18"/>
      <c r="C3364" s="18"/>
      <c r="D3364" s="213"/>
      <c r="E3364" s="237"/>
      <c r="F3364" s="18"/>
      <c r="G3364" s="18"/>
    </row>
    <row r="3365" spans="1:7" ht="22.5" customHeight="1">
      <c r="A3365" s="236"/>
      <c r="B3365" s="18"/>
      <c r="C3365" s="18"/>
      <c r="D3365" s="213"/>
      <c r="E3365" s="237"/>
      <c r="F3365" s="18"/>
      <c r="G3365" s="18"/>
    </row>
    <row r="3366" spans="1:7" ht="22.5" customHeight="1">
      <c r="A3366" s="236"/>
      <c r="B3366" s="18"/>
      <c r="C3366" s="18"/>
      <c r="D3366" s="213"/>
      <c r="E3366" s="237"/>
      <c r="F3366" s="18"/>
      <c r="G3366" s="18"/>
    </row>
    <row r="3367" spans="1:7" ht="22.5" customHeight="1">
      <c r="A3367" s="236"/>
      <c r="B3367" s="18"/>
      <c r="C3367" s="18"/>
      <c r="D3367" s="213"/>
      <c r="E3367" s="237"/>
      <c r="F3367" s="18"/>
      <c r="G3367" s="18"/>
    </row>
    <row r="3368" spans="1:7" ht="22.5" customHeight="1">
      <c r="A3368" s="236"/>
      <c r="B3368" s="18"/>
      <c r="C3368" s="18"/>
      <c r="D3368" s="213"/>
      <c r="E3368" s="237"/>
      <c r="F3368" s="18"/>
      <c r="G3368" s="18"/>
    </row>
    <row r="3369" spans="1:7" ht="22.5" customHeight="1">
      <c r="A3369" s="236"/>
      <c r="B3369" s="18"/>
      <c r="C3369" s="18"/>
      <c r="D3369" s="213"/>
      <c r="E3369" s="237"/>
      <c r="F3369" s="18"/>
      <c r="G3369" s="18"/>
    </row>
    <row r="3370" spans="1:7" ht="22.5" customHeight="1">
      <c r="A3370" s="236"/>
      <c r="B3370" s="18"/>
      <c r="C3370" s="18"/>
      <c r="D3370" s="213"/>
      <c r="E3370" s="237"/>
      <c r="F3370" s="18"/>
      <c r="G3370" s="18"/>
    </row>
    <row r="3371" spans="1:7" ht="22.5" customHeight="1">
      <c r="A3371" s="236"/>
      <c r="B3371" s="18"/>
      <c r="C3371" s="18"/>
      <c r="D3371" s="213"/>
      <c r="E3371" s="237"/>
      <c r="F3371" s="18"/>
      <c r="G3371" s="18"/>
    </row>
    <row r="3372" spans="1:7" ht="22.5" customHeight="1">
      <c r="A3372" s="236"/>
      <c r="B3372" s="18"/>
      <c r="C3372" s="18"/>
      <c r="D3372" s="213"/>
      <c r="E3372" s="237"/>
      <c r="F3372" s="18"/>
      <c r="G3372" s="18"/>
    </row>
    <row r="3373" spans="1:7" ht="22.5" customHeight="1">
      <c r="A3373" s="236"/>
      <c r="B3373" s="18"/>
      <c r="C3373" s="18"/>
      <c r="D3373" s="213"/>
      <c r="E3373" s="237"/>
      <c r="F3373" s="18"/>
      <c r="G3373" s="18"/>
    </row>
    <row r="3374" spans="1:7" ht="22.5" customHeight="1">
      <c r="A3374" s="236"/>
      <c r="B3374" s="18"/>
      <c r="C3374" s="18"/>
      <c r="D3374" s="213"/>
      <c r="E3374" s="237"/>
      <c r="F3374" s="18"/>
      <c r="G3374" s="18"/>
    </row>
    <row r="3375" spans="1:7" ht="22.5" customHeight="1">
      <c r="A3375" s="236"/>
      <c r="B3375" s="18"/>
      <c r="C3375" s="18"/>
      <c r="D3375" s="213"/>
      <c r="E3375" s="237"/>
      <c r="F3375" s="18"/>
      <c r="G3375" s="18"/>
    </row>
    <row r="3376" spans="1:7" ht="22.5" customHeight="1">
      <c r="A3376" s="236"/>
      <c r="B3376" s="18"/>
      <c r="C3376" s="18"/>
      <c r="D3376" s="213"/>
      <c r="E3376" s="237"/>
      <c r="F3376" s="18"/>
      <c r="G3376" s="18"/>
    </row>
    <row r="3377" spans="1:7" ht="22.5" customHeight="1">
      <c r="A3377" s="236"/>
      <c r="B3377" s="18"/>
      <c r="C3377" s="18"/>
      <c r="D3377" s="213"/>
      <c r="E3377" s="237"/>
      <c r="F3377" s="18"/>
      <c r="G3377" s="18"/>
    </row>
    <row r="3378" spans="1:7" ht="22.5" customHeight="1">
      <c r="A3378" s="236"/>
      <c r="B3378" s="18"/>
      <c r="C3378" s="18"/>
      <c r="D3378" s="213"/>
      <c r="E3378" s="237"/>
      <c r="F3378" s="18"/>
      <c r="G3378" s="18"/>
    </row>
    <row r="3379" spans="1:7" ht="22.5" customHeight="1">
      <c r="A3379" s="236"/>
      <c r="B3379" s="18"/>
      <c r="C3379" s="18"/>
      <c r="D3379" s="213"/>
      <c r="E3379" s="237"/>
      <c r="F3379" s="18"/>
      <c r="G3379" s="18"/>
    </row>
    <row r="3380" spans="1:7" ht="22.5" customHeight="1">
      <c r="A3380" s="236"/>
      <c r="B3380" s="18"/>
      <c r="C3380" s="18"/>
      <c r="D3380" s="213"/>
      <c r="E3380" s="237"/>
      <c r="F3380" s="18"/>
      <c r="G3380" s="18"/>
    </row>
    <row r="3381" spans="1:7" ht="22.5" customHeight="1">
      <c r="A3381" s="236"/>
      <c r="B3381" s="18"/>
      <c r="C3381" s="18"/>
      <c r="D3381" s="213"/>
      <c r="E3381" s="237"/>
      <c r="F3381" s="18"/>
      <c r="G3381" s="18"/>
    </row>
    <row r="3382" spans="1:7" ht="22.5" customHeight="1">
      <c r="A3382" s="236"/>
      <c r="B3382" s="18"/>
      <c r="C3382" s="18"/>
      <c r="D3382" s="213"/>
      <c r="E3382" s="237"/>
      <c r="F3382" s="18"/>
      <c r="G3382" s="18"/>
    </row>
    <row r="3383" spans="1:7" ht="22.5" customHeight="1">
      <c r="A3383" s="236"/>
      <c r="B3383" s="18"/>
      <c r="C3383" s="18"/>
      <c r="D3383" s="213"/>
      <c r="E3383" s="237"/>
      <c r="F3383" s="18"/>
      <c r="G3383" s="18"/>
    </row>
    <row r="3384" spans="1:7" ht="22.5" customHeight="1">
      <c r="A3384" s="236"/>
      <c r="B3384" s="18"/>
      <c r="C3384" s="18"/>
      <c r="D3384" s="213"/>
      <c r="E3384" s="237"/>
      <c r="F3384" s="18"/>
      <c r="G3384" s="18"/>
    </row>
    <row r="3385" spans="1:7" ht="22.5" customHeight="1">
      <c r="A3385" s="236"/>
      <c r="B3385" s="18"/>
      <c r="C3385" s="18"/>
      <c r="D3385" s="213"/>
      <c r="E3385" s="237"/>
      <c r="F3385" s="18"/>
      <c r="G3385" s="18"/>
    </row>
    <row r="3386" spans="1:7" ht="22.5" customHeight="1">
      <c r="A3386" s="236"/>
      <c r="B3386" s="18"/>
      <c r="C3386" s="18"/>
      <c r="D3386" s="213"/>
      <c r="E3386" s="237"/>
      <c r="F3386" s="18"/>
      <c r="G3386" s="18"/>
    </row>
    <row r="3387" spans="1:7" ht="22.5" customHeight="1">
      <c r="A3387" s="236"/>
      <c r="B3387" s="18"/>
      <c r="C3387" s="18"/>
      <c r="D3387" s="213"/>
      <c r="E3387" s="237"/>
      <c r="F3387" s="18"/>
      <c r="G3387" s="18"/>
    </row>
    <row r="3388" spans="1:7" ht="22.5" customHeight="1">
      <c r="A3388" s="236"/>
      <c r="B3388" s="18"/>
      <c r="C3388" s="18"/>
      <c r="D3388" s="213"/>
      <c r="E3388" s="237"/>
      <c r="F3388" s="18"/>
      <c r="G3388" s="18"/>
    </row>
    <row r="3389" spans="1:7" ht="22.5" customHeight="1">
      <c r="A3389" s="236"/>
      <c r="B3389" s="18"/>
      <c r="C3389" s="18"/>
      <c r="D3389" s="213"/>
      <c r="E3389" s="237"/>
      <c r="F3389" s="18"/>
      <c r="G3389" s="18"/>
    </row>
    <row r="3390" spans="1:7" ht="22.5" customHeight="1">
      <c r="A3390" s="236"/>
      <c r="B3390" s="18"/>
      <c r="C3390" s="18"/>
      <c r="D3390" s="213"/>
      <c r="E3390" s="237"/>
      <c r="F3390" s="18"/>
      <c r="G3390" s="18"/>
    </row>
    <row r="3391" spans="1:7" ht="22.5" customHeight="1">
      <c r="A3391" s="236"/>
      <c r="B3391" s="18"/>
      <c r="C3391" s="18"/>
      <c r="D3391" s="213"/>
      <c r="E3391" s="237"/>
      <c r="F3391" s="18"/>
      <c r="G3391" s="18"/>
    </row>
    <row r="3392" spans="1:7" ht="22.5" customHeight="1">
      <c r="A3392" s="236"/>
      <c r="B3392" s="18"/>
      <c r="C3392" s="18"/>
      <c r="D3392" s="213"/>
      <c r="E3392" s="237"/>
      <c r="F3392" s="18"/>
      <c r="G3392" s="18"/>
    </row>
    <row r="3393" spans="1:7" ht="22.5" customHeight="1">
      <c r="A3393" s="236"/>
      <c r="B3393" s="18"/>
      <c r="C3393" s="18"/>
      <c r="D3393" s="213"/>
      <c r="E3393" s="237"/>
      <c r="F3393" s="18"/>
      <c r="G3393" s="18"/>
    </row>
    <row r="3394" spans="1:7" ht="22.5" customHeight="1">
      <c r="A3394" s="236"/>
      <c r="B3394" s="18"/>
      <c r="C3394" s="18"/>
      <c r="D3394" s="213"/>
      <c r="E3394" s="237"/>
      <c r="F3394" s="18"/>
      <c r="G3394" s="18"/>
    </row>
    <row r="3395" spans="1:7" ht="22.5" customHeight="1">
      <c r="A3395" s="236"/>
      <c r="B3395" s="18"/>
      <c r="C3395" s="18"/>
      <c r="D3395" s="213"/>
      <c r="E3395" s="237"/>
      <c r="F3395" s="18"/>
      <c r="G3395" s="18"/>
    </row>
    <row r="3396" spans="1:7" ht="22.5" customHeight="1">
      <c r="A3396" s="236"/>
      <c r="B3396" s="18"/>
      <c r="C3396" s="18"/>
      <c r="D3396" s="213"/>
      <c r="E3396" s="237"/>
      <c r="F3396" s="18"/>
      <c r="G3396" s="18"/>
    </row>
    <row r="3397" spans="1:7" ht="22.5" customHeight="1">
      <c r="A3397" s="236"/>
      <c r="B3397" s="18"/>
      <c r="C3397" s="18"/>
      <c r="D3397" s="213"/>
      <c r="E3397" s="237"/>
      <c r="F3397" s="18"/>
      <c r="G3397" s="18"/>
    </row>
    <row r="3398" spans="1:7" ht="22.5" customHeight="1">
      <c r="A3398" s="236"/>
      <c r="B3398" s="18"/>
      <c r="C3398" s="18"/>
      <c r="D3398" s="213"/>
      <c r="E3398" s="237"/>
      <c r="F3398" s="18"/>
      <c r="G3398" s="18"/>
    </row>
    <row r="3399" spans="1:7" ht="22.5" customHeight="1">
      <c r="A3399" s="236"/>
      <c r="B3399" s="18"/>
      <c r="C3399" s="18"/>
      <c r="D3399" s="213"/>
      <c r="E3399" s="237"/>
      <c r="F3399" s="18"/>
      <c r="G3399" s="18"/>
    </row>
    <row r="3400" spans="1:7" ht="22.5" customHeight="1">
      <c r="A3400" s="236"/>
      <c r="B3400" s="18"/>
      <c r="C3400" s="18"/>
      <c r="D3400" s="213"/>
      <c r="E3400" s="237"/>
      <c r="F3400" s="18"/>
      <c r="G3400" s="18"/>
    </row>
    <row r="3401" spans="1:7" ht="22.5" customHeight="1">
      <c r="A3401" s="236"/>
      <c r="B3401" s="18"/>
      <c r="C3401" s="18"/>
      <c r="D3401" s="213"/>
      <c r="E3401" s="237"/>
      <c r="F3401" s="18"/>
      <c r="G3401" s="18"/>
    </row>
    <row r="3402" spans="1:7" ht="22.5" customHeight="1">
      <c r="A3402" s="236"/>
      <c r="B3402" s="18"/>
      <c r="C3402" s="18"/>
      <c r="D3402" s="213"/>
      <c r="E3402" s="237"/>
      <c r="F3402" s="18"/>
      <c r="G3402" s="18"/>
    </row>
    <row r="3403" spans="1:7" ht="22.5" customHeight="1">
      <c r="A3403" s="236"/>
      <c r="B3403" s="18"/>
      <c r="C3403" s="18"/>
      <c r="D3403" s="213"/>
      <c r="E3403" s="237"/>
      <c r="F3403" s="18"/>
      <c r="G3403" s="18"/>
    </row>
    <row r="3404" spans="1:7" ht="22.5" customHeight="1">
      <c r="A3404" s="236"/>
      <c r="B3404" s="18"/>
      <c r="C3404" s="18"/>
      <c r="D3404" s="213"/>
      <c r="E3404" s="237"/>
      <c r="F3404" s="18"/>
      <c r="G3404" s="18"/>
    </row>
    <row r="3405" spans="1:7" ht="22.5" customHeight="1">
      <c r="A3405" s="236"/>
      <c r="B3405" s="18"/>
      <c r="C3405" s="18"/>
      <c r="D3405" s="213"/>
      <c r="E3405" s="237"/>
      <c r="F3405" s="18"/>
      <c r="G3405" s="18"/>
    </row>
    <row r="3406" spans="1:7" ht="22.5" customHeight="1">
      <c r="A3406" s="236"/>
      <c r="B3406" s="18"/>
      <c r="C3406" s="18"/>
      <c r="D3406" s="213"/>
      <c r="E3406" s="237"/>
      <c r="F3406" s="18"/>
      <c r="G3406" s="18"/>
    </row>
    <row r="3407" spans="1:7" ht="22.5" customHeight="1">
      <c r="A3407" s="236"/>
      <c r="B3407" s="18"/>
      <c r="C3407" s="18"/>
      <c r="D3407" s="213"/>
      <c r="E3407" s="237"/>
      <c r="F3407" s="18"/>
      <c r="G3407" s="18"/>
    </row>
    <row r="3408" spans="1:7" ht="22.5" customHeight="1">
      <c r="A3408" s="236"/>
      <c r="B3408" s="18"/>
      <c r="C3408" s="18"/>
      <c r="D3408" s="213"/>
      <c r="E3408" s="237"/>
      <c r="F3408" s="18"/>
      <c r="G3408" s="18"/>
    </row>
    <row r="3409" spans="1:7" ht="22.5" customHeight="1">
      <c r="A3409" s="236"/>
      <c r="B3409" s="18"/>
      <c r="C3409" s="18"/>
      <c r="D3409" s="213"/>
      <c r="E3409" s="237"/>
      <c r="F3409" s="18"/>
      <c r="G3409" s="18"/>
    </row>
    <row r="3410" spans="1:7" ht="22.5" customHeight="1">
      <c r="A3410" s="236"/>
      <c r="B3410" s="18"/>
      <c r="C3410" s="18"/>
      <c r="D3410" s="213"/>
      <c r="E3410" s="237"/>
      <c r="F3410" s="18"/>
      <c r="G3410" s="18"/>
    </row>
    <row r="3411" spans="1:7" ht="22.5" customHeight="1">
      <c r="A3411" s="236"/>
      <c r="B3411" s="18"/>
      <c r="C3411" s="18"/>
      <c r="D3411" s="213"/>
      <c r="E3411" s="237"/>
      <c r="F3411" s="18"/>
      <c r="G3411" s="18"/>
    </row>
    <row r="3412" spans="1:7" ht="22.5" customHeight="1">
      <c r="A3412" s="236"/>
      <c r="B3412" s="18"/>
      <c r="C3412" s="18"/>
      <c r="D3412" s="213"/>
      <c r="E3412" s="237"/>
      <c r="F3412" s="18"/>
      <c r="G3412" s="18"/>
    </row>
    <row r="3413" spans="1:7" ht="22.5" customHeight="1">
      <c r="A3413" s="236"/>
      <c r="B3413" s="18"/>
      <c r="C3413" s="18"/>
      <c r="D3413" s="213"/>
      <c r="E3413" s="237"/>
      <c r="F3413" s="18"/>
      <c r="G3413" s="18"/>
    </row>
    <row r="3414" spans="1:7" ht="22.5" customHeight="1">
      <c r="A3414" s="236"/>
      <c r="B3414" s="18"/>
      <c r="C3414" s="18"/>
      <c r="D3414" s="213"/>
      <c r="E3414" s="237"/>
      <c r="F3414" s="18"/>
      <c r="G3414" s="18"/>
    </row>
    <row r="3415" spans="1:7" ht="22.5" customHeight="1">
      <c r="A3415" s="236"/>
      <c r="B3415" s="18"/>
      <c r="C3415" s="18"/>
      <c r="D3415" s="213"/>
      <c r="E3415" s="237"/>
      <c r="F3415" s="18"/>
      <c r="G3415" s="18"/>
    </row>
    <row r="3416" spans="1:7" ht="22.5" customHeight="1">
      <c r="A3416" s="236"/>
      <c r="B3416" s="18"/>
      <c r="C3416" s="18"/>
      <c r="D3416" s="213"/>
      <c r="E3416" s="237"/>
      <c r="F3416" s="18"/>
      <c r="G3416" s="18"/>
    </row>
    <row r="3417" spans="1:7" ht="22.5" customHeight="1">
      <c r="A3417" s="236"/>
      <c r="B3417" s="18"/>
      <c r="C3417" s="18"/>
      <c r="D3417" s="213"/>
      <c r="E3417" s="237"/>
      <c r="F3417" s="18"/>
      <c r="G3417" s="18"/>
    </row>
    <row r="3418" spans="1:7" ht="22.5" customHeight="1">
      <c r="A3418" s="236"/>
      <c r="B3418" s="18"/>
      <c r="C3418" s="18"/>
      <c r="D3418" s="213"/>
      <c r="E3418" s="237"/>
      <c r="F3418" s="18"/>
      <c r="G3418" s="18"/>
    </row>
    <row r="3419" spans="1:7" ht="22.5" customHeight="1">
      <c r="A3419" s="236"/>
      <c r="B3419" s="18"/>
      <c r="C3419" s="18"/>
      <c r="D3419" s="213"/>
      <c r="E3419" s="237"/>
      <c r="F3419" s="18"/>
      <c r="G3419" s="18"/>
    </row>
    <row r="3420" spans="1:7" ht="22.5" customHeight="1">
      <c r="A3420" s="236"/>
      <c r="B3420" s="18"/>
      <c r="C3420" s="18"/>
      <c r="D3420" s="213"/>
      <c r="E3420" s="237"/>
      <c r="F3420" s="18"/>
      <c r="G3420" s="18"/>
    </row>
    <row r="3421" spans="1:7" ht="22.5" customHeight="1">
      <c r="A3421" s="236"/>
      <c r="B3421" s="18"/>
      <c r="C3421" s="18"/>
      <c r="D3421" s="213"/>
      <c r="E3421" s="237"/>
      <c r="F3421" s="18"/>
      <c r="G3421" s="18"/>
    </row>
    <row r="3422" spans="1:7" ht="22.5" customHeight="1">
      <c r="A3422" s="236"/>
      <c r="B3422" s="18"/>
      <c r="C3422" s="18"/>
      <c r="D3422" s="213"/>
      <c r="E3422" s="237"/>
      <c r="F3422" s="18"/>
      <c r="G3422" s="18"/>
    </row>
    <row r="3423" spans="1:7" ht="22.5" customHeight="1">
      <c r="A3423" s="236"/>
      <c r="B3423" s="18"/>
      <c r="C3423" s="18"/>
      <c r="D3423" s="213"/>
      <c r="E3423" s="237"/>
      <c r="F3423" s="18"/>
      <c r="G3423" s="18"/>
    </row>
    <row r="3424" spans="1:7" ht="22.5" customHeight="1">
      <c r="A3424" s="236"/>
      <c r="B3424" s="18"/>
      <c r="C3424" s="18"/>
      <c r="D3424" s="213"/>
      <c r="E3424" s="237"/>
      <c r="F3424" s="18"/>
      <c r="G3424" s="18"/>
    </row>
    <row r="3425" spans="1:7" ht="22.5" customHeight="1">
      <c r="A3425" s="236"/>
      <c r="B3425" s="18"/>
      <c r="C3425" s="18"/>
      <c r="D3425" s="213"/>
      <c r="E3425" s="237"/>
      <c r="F3425" s="18"/>
      <c r="G3425" s="18"/>
    </row>
    <row r="3426" spans="1:7" ht="22.5" customHeight="1">
      <c r="A3426" s="236"/>
      <c r="B3426" s="18"/>
      <c r="C3426" s="18"/>
      <c r="D3426" s="213"/>
      <c r="E3426" s="237"/>
      <c r="F3426" s="18"/>
      <c r="G3426" s="18"/>
    </row>
    <row r="3427" spans="1:7" ht="22.5" customHeight="1">
      <c r="A3427" s="236"/>
      <c r="B3427" s="18"/>
      <c r="C3427" s="18"/>
      <c r="D3427" s="213"/>
      <c r="E3427" s="237"/>
      <c r="F3427" s="18"/>
      <c r="G3427" s="18"/>
    </row>
    <row r="3428" spans="1:7" ht="22.5" customHeight="1">
      <c r="A3428" s="236"/>
      <c r="B3428" s="18"/>
      <c r="C3428" s="18"/>
      <c r="D3428" s="213"/>
      <c r="E3428" s="237"/>
      <c r="F3428" s="18"/>
      <c r="G3428" s="18"/>
    </row>
    <row r="3429" spans="1:7" ht="22.5" customHeight="1">
      <c r="A3429" s="236"/>
      <c r="B3429" s="18"/>
      <c r="C3429" s="18"/>
      <c r="D3429" s="213"/>
      <c r="E3429" s="237"/>
      <c r="F3429" s="18"/>
      <c r="G3429" s="18"/>
    </row>
    <row r="3430" spans="1:7" ht="22.5" customHeight="1">
      <c r="A3430" s="236"/>
      <c r="B3430" s="18"/>
      <c r="C3430" s="18"/>
      <c r="D3430" s="213"/>
      <c r="E3430" s="237"/>
      <c r="F3430" s="18"/>
      <c r="G3430" s="18"/>
    </row>
    <row r="3431" spans="1:7" ht="22.5" customHeight="1">
      <c r="A3431" s="236"/>
      <c r="B3431" s="18"/>
      <c r="C3431" s="18"/>
      <c r="D3431" s="213"/>
      <c r="E3431" s="237"/>
      <c r="F3431" s="18"/>
      <c r="G3431" s="18"/>
    </row>
    <row r="3432" spans="1:7" ht="22.5" customHeight="1">
      <c r="A3432" s="236"/>
      <c r="B3432" s="18"/>
      <c r="C3432" s="18"/>
      <c r="D3432" s="213"/>
      <c r="E3432" s="237"/>
      <c r="F3432" s="18"/>
      <c r="G3432" s="18"/>
    </row>
    <row r="3433" spans="1:7" ht="22.5" customHeight="1">
      <c r="A3433" s="236"/>
      <c r="B3433" s="18"/>
      <c r="C3433" s="18"/>
      <c r="D3433" s="213"/>
      <c r="E3433" s="237"/>
      <c r="F3433" s="18"/>
      <c r="G3433" s="18"/>
    </row>
    <row r="3434" spans="1:7" ht="22.5" customHeight="1">
      <c r="A3434" s="236"/>
      <c r="B3434" s="18"/>
      <c r="C3434" s="18"/>
      <c r="D3434" s="213"/>
      <c r="E3434" s="237"/>
      <c r="F3434" s="18"/>
      <c r="G3434" s="18"/>
    </row>
    <row r="3435" spans="1:7" ht="22.5" customHeight="1">
      <c r="A3435" s="236"/>
      <c r="B3435" s="18"/>
      <c r="C3435" s="18"/>
      <c r="D3435" s="213"/>
      <c r="E3435" s="237"/>
      <c r="F3435" s="18"/>
      <c r="G3435" s="18"/>
    </row>
    <row r="3436" spans="1:7" ht="22.5" customHeight="1">
      <c r="A3436" s="236"/>
      <c r="B3436" s="18"/>
      <c r="C3436" s="18"/>
      <c r="D3436" s="213"/>
      <c r="E3436" s="237"/>
      <c r="F3436" s="18"/>
      <c r="G3436" s="18"/>
    </row>
    <row r="3437" spans="1:7" ht="22.5" customHeight="1">
      <c r="A3437" s="236"/>
      <c r="B3437" s="18"/>
      <c r="C3437" s="18"/>
      <c r="D3437" s="213"/>
      <c r="E3437" s="237"/>
      <c r="F3437" s="18"/>
      <c r="G3437" s="18"/>
    </row>
    <row r="3438" spans="1:7" ht="22.5" customHeight="1">
      <c r="A3438" s="236"/>
      <c r="B3438" s="18"/>
      <c r="C3438" s="18"/>
      <c r="D3438" s="213"/>
      <c r="E3438" s="237"/>
      <c r="F3438" s="18"/>
      <c r="G3438" s="18"/>
    </row>
    <row r="3439" spans="1:7" ht="22.5" customHeight="1">
      <c r="A3439" s="236"/>
      <c r="B3439" s="18"/>
      <c r="C3439" s="18"/>
      <c r="D3439" s="213"/>
      <c r="E3439" s="237"/>
      <c r="F3439" s="18"/>
      <c r="G3439" s="18"/>
    </row>
    <row r="3440" spans="1:7" ht="22.5" customHeight="1">
      <c r="A3440" s="236"/>
      <c r="B3440" s="18"/>
      <c r="C3440" s="18"/>
      <c r="D3440" s="213"/>
      <c r="E3440" s="237"/>
      <c r="F3440" s="18"/>
      <c r="G3440" s="18"/>
    </row>
    <row r="3441" spans="1:7" ht="22.5" customHeight="1">
      <c r="A3441" s="236"/>
      <c r="B3441" s="18"/>
      <c r="C3441" s="18"/>
      <c r="D3441" s="213"/>
      <c r="E3441" s="237"/>
      <c r="F3441" s="18"/>
      <c r="G3441" s="18"/>
    </row>
    <row r="3442" spans="1:7" ht="22.5" customHeight="1">
      <c r="A3442" s="236"/>
      <c r="B3442" s="18"/>
      <c r="C3442" s="18"/>
      <c r="D3442" s="213"/>
      <c r="E3442" s="237"/>
      <c r="F3442" s="18"/>
      <c r="G3442" s="18"/>
    </row>
    <row r="3443" spans="1:7" ht="22.5" customHeight="1">
      <c r="A3443" s="236"/>
      <c r="B3443" s="18"/>
      <c r="C3443" s="18"/>
      <c r="D3443" s="213"/>
      <c r="E3443" s="237"/>
      <c r="F3443" s="18"/>
      <c r="G3443" s="18"/>
    </row>
    <row r="3444" spans="1:7" ht="22.5" customHeight="1">
      <c r="A3444" s="236"/>
      <c r="B3444" s="18"/>
      <c r="C3444" s="18"/>
      <c r="D3444" s="213"/>
      <c r="E3444" s="237"/>
      <c r="F3444" s="18"/>
      <c r="G3444" s="18"/>
    </row>
    <row r="3445" spans="1:7" ht="22.5" customHeight="1">
      <c r="A3445" s="236"/>
      <c r="B3445" s="18"/>
      <c r="C3445" s="18"/>
      <c r="D3445" s="213"/>
      <c r="E3445" s="237"/>
      <c r="F3445" s="18"/>
      <c r="G3445" s="18"/>
    </row>
    <row r="3446" spans="1:7" ht="22.5" customHeight="1">
      <c r="A3446" s="236"/>
      <c r="B3446" s="18"/>
      <c r="C3446" s="18"/>
      <c r="D3446" s="213"/>
      <c r="E3446" s="237"/>
      <c r="F3446" s="18"/>
      <c r="G3446" s="18"/>
    </row>
    <row r="3447" spans="1:7" ht="22.5" customHeight="1">
      <c r="A3447" s="236"/>
      <c r="B3447" s="18"/>
      <c r="C3447" s="18"/>
      <c r="D3447" s="213"/>
      <c r="E3447" s="237"/>
      <c r="F3447" s="18"/>
      <c r="G3447" s="18"/>
    </row>
    <row r="3448" spans="1:7" ht="22.5" customHeight="1">
      <c r="A3448" s="236"/>
      <c r="B3448" s="18"/>
      <c r="C3448" s="18"/>
      <c r="D3448" s="213"/>
      <c r="E3448" s="237"/>
      <c r="F3448" s="18"/>
      <c r="G3448" s="18"/>
    </row>
    <row r="3449" spans="1:7" ht="22.5" customHeight="1">
      <c r="A3449" s="236"/>
      <c r="B3449" s="18"/>
      <c r="C3449" s="18"/>
      <c r="D3449" s="213"/>
      <c r="E3449" s="237"/>
      <c r="F3449" s="18"/>
      <c r="G3449" s="18"/>
    </row>
    <row r="3450" spans="1:7" ht="22.5" customHeight="1">
      <c r="A3450" s="236"/>
      <c r="B3450" s="18"/>
      <c r="C3450" s="18"/>
      <c r="D3450" s="213"/>
      <c r="E3450" s="237"/>
      <c r="F3450" s="18"/>
      <c r="G3450" s="18"/>
    </row>
    <row r="3451" spans="1:7" ht="22.5" customHeight="1">
      <c r="A3451" s="236"/>
      <c r="B3451" s="18"/>
      <c r="C3451" s="18"/>
      <c r="D3451" s="213"/>
      <c r="E3451" s="237"/>
      <c r="F3451" s="18"/>
      <c r="G3451" s="18"/>
    </row>
    <row r="3452" spans="1:7" ht="22.5" customHeight="1">
      <c r="A3452" s="236"/>
      <c r="B3452" s="18"/>
      <c r="C3452" s="18"/>
      <c r="D3452" s="213"/>
      <c r="E3452" s="237"/>
      <c r="F3452" s="18"/>
      <c r="G3452" s="18"/>
    </row>
    <row r="3453" spans="1:7" ht="22.5" customHeight="1">
      <c r="A3453" s="236"/>
      <c r="B3453" s="18"/>
      <c r="C3453" s="18"/>
      <c r="D3453" s="213"/>
      <c r="E3453" s="237"/>
      <c r="F3453" s="18"/>
      <c r="G3453" s="18"/>
    </row>
    <row r="3454" spans="1:7" ht="22.5" customHeight="1">
      <c r="A3454" s="236"/>
      <c r="B3454" s="18"/>
      <c r="C3454" s="18"/>
      <c r="D3454" s="213"/>
      <c r="E3454" s="237"/>
      <c r="F3454" s="18"/>
      <c r="G3454" s="18"/>
    </row>
    <row r="3455" spans="1:7" ht="22.5" customHeight="1">
      <c r="A3455" s="236"/>
      <c r="B3455" s="18"/>
      <c r="C3455" s="18"/>
      <c r="D3455" s="213"/>
      <c r="E3455" s="237"/>
      <c r="F3455" s="18"/>
      <c r="G3455" s="18"/>
    </row>
    <row r="3456" spans="1:7" ht="22.5" customHeight="1">
      <c r="A3456" s="236"/>
      <c r="B3456" s="18"/>
      <c r="C3456" s="18"/>
      <c r="D3456" s="213"/>
      <c r="E3456" s="237"/>
      <c r="F3456" s="18"/>
      <c r="G3456" s="18"/>
    </row>
    <row r="3457" spans="1:7" ht="22.5" customHeight="1">
      <c r="A3457" s="236"/>
      <c r="B3457" s="18"/>
      <c r="C3457" s="18"/>
      <c r="D3457" s="213"/>
      <c r="E3457" s="237"/>
      <c r="F3457" s="18"/>
      <c r="G3457" s="18"/>
    </row>
    <row r="3458" spans="1:7" ht="22.5" customHeight="1">
      <c r="A3458" s="236"/>
      <c r="B3458" s="18"/>
      <c r="C3458" s="18"/>
      <c r="D3458" s="213"/>
      <c r="E3458" s="237"/>
      <c r="F3458" s="18"/>
      <c r="G3458" s="18"/>
    </row>
    <row r="3459" spans="1:7" ht="22.5" customHeight="1">
      <c r="A3459" s="236"/>
      <c r="B3459" s="18"/>
      <c r="C3459" s="18"/>
      <c r="D3459" s="213"/>
      <c r="E3459" s="237"/>
      <c r="F3459" s="18"/>
      <c r="G3459" s="18"/>
    </row>
    <row r="3460" spans="1:7" ht="22.5" customHeight="1">
      <c r="A3460" s="236"/>
      <c r="B3460" s="18"/>
      <c r="C3460" s="18"/>
      <c r="D3460" s="213"/>
      <c r="E3460" s="237"/>
      <c r="F3460" s="18"/>
      <c r="G3460" s="18"/>
    </row>
    <row r="3461" spans="1:7" ht="22.5" customHeight="1">
      <c r="A3461" s="236"/>
      <c r="B3461" s="18"/>
      <c r="C3461" s="18"/>
      <c r="D3461" s="213"/>
      <c r="E3461" s="237"/>
      <c r="F3461" s="18"/>
      <c r="G3461" s="18"/>
    </row>
    <row r="3462" spans="1:7" ht="22.5" customHeight="1">
      <c r="A3462" s="236"/>
      <c r="B3462" s="18"/>
      <c r="C3462" s="18"/>
      <c r="D3462" s="213"/>
      <c r="E3462" s="237"/>
      <c r="F3462" s="18"/>
      <c r="G3462" s="18"/>
    </row>
    <row r="3463" spans="1:7" ht="22.5" customHeight="1">
      <c r="A3463" s="236"/>
      <c r="B3463" s="18"/>
      <c r="C3463" s="18"/>
      <c r="D3463" s="213"/>
      <c r="E3463" s="237"/>
      <c r="F3463" s="18"/>
      <c r="G3463" s="18"/>
    </row>
    <row r="3464" spans="1:7" ht="22.5" customHeight="1">
      <c r="A3464" s="236"/>
      <c r="B3464" s="18"/>
      <c r="C3464" s="18"/>
      <c r="D3464" s="213"/>
      <c r="E3464" s="237"/>
      <c r="F3464" s="18"/>
      <c r="G3464" s="18"/>
    </row>
    <row r="3465" spans="1:7" ht="22.5" customHeight="1">
      <c r="A3465" s="236"/>
      <c r="B3465" s="18"/>
      <c r="C3465" s="18"/>
      <c r="D3465" s="213"/>
      <c r="E3465" s="237"/>
      <c r="F3465" s="18"/>
      <c r="G3465" s="18"/>
    </row>
    <row r="3466" spans="1:7" ht="22.5" customHeight="1">
      <c r="A3466" s="236"/>
      <c r="B3466" s="18"/>
      <c r="C3466" s="18"/>
      <c r="D3466" s="213"/>
      <c r="E3466" s="237"/>
      <c r="F3466" s="18"/>
      <c r="G3466" s="18"/>
    </row>
    <row r="3467" spans="1:7" ht="22.5" customHeight="1">
      <c r="A3467" s="236"/>
      <c r="B3467" s="18"/>
      <c r="C3467" s="18"/>
      <c r="D3467" s="213"/>
      <c r="E3467" s="237"/>
      <c r="F3467" s="18"/>
      <c r="G3467" s="18"/>
    </row>
    <row r="3468" spans="1:7" ht="22.5" customHeight="1">
      <c r="A3468" s="236"/>
      <c r="B3468" s="18"/>
      <c r="C3468" s="18"/>
      <c r="D3468" s="213"/>
      <c r="E3468" s="237"/>
      <c r="F3468" s="18"/>
      <c r="G3468" s="18"/>
    </row>
    <row r="3469" spans="1:7" ht="22.5" customHeight="1">
      <c r="A3469" s="236"/>
      <c r="B3469" s="18"/>
      <c r="C3469" s="18"/>
      <c r="D3469" s="213"/>
      <c r="E3469" s="237"/>
      <c r="F3469" s="18"/>
      <c r="G3469" s="18"/>
    </row>
    <row r="3470" spans="1:7" ht="22.5" customHeight="1">
      <c r="A3470" s="236"/>
      <c r="B3470" s="18"/>
      <c r="C3470" s="18"/>
      <c r="D3470" s="213"/>
      <c r="E3470" s="237"/>
      <c r="F3470" s="18"/>
      <c r="G3470" s="18"/>
    </row>
    <row r="3471" spans="1:7" ht="22.5" customHeight="1">
      <c r="A3471" s="236"/>
      <c r="B3471" s="18"/>
      <c r="C3471" s="18"/>
      <c r="D3471" s="213"/>
      <c r="E3471" s="237"/>
      <c r="F3471" s="18"/>
      <c r="G3471" s="18"/>
    </row>
    <row r="3472" spans="1:7" ht="22.5" customHeight="1">
      <c r="A3472" s="236"/>
      <c r="B3472" s="18"/>
      <c r="C3472" s="18"/>
      <c r="D3472" s="213"/>
      <c r="E3472" s="237"/>
      <c r="F3472" s="18"/>
      <c r="G3472" s="18"/>
    </row>
    <row r="3473" spans="1:7" ht="22.5" customHeight="1">
      <c r="A3473" s="236"/>
      <c r="B3473" s="18"/>
      <c r="C3473" s="18"/>
      <c r="D3473" s="213"/>
      <c r="E3473" s="237"/>
      <c r="F3473" s="18"/>
      <c r="G3473" s="18"/>
    </row>
    <row r="3474" spans="1:7" ht="22.5" customHeight="1">
      <c r="A3474" s="236"/>
      <c r="B3474" s="18"/>
      <c r="C3474" s="18"/>
      <c r="D3474" s="213"/>
      <c r="E3474" s="237"/>
      <c r="F3474" s="18"/>
      <c r="G3474" s="18"/>
    </row>
    <row r="3475" spans="1:7" ht="22.5" customHeight="1">
      <c r="A3475" s="236"/>
      <c r="B3475" s="18"/>
      <c r="C3475" s="18"/>
      <c r="D3475" s="213"/>
      <c r="E3475" s="237"/>
      <c r="F3475" s="18"/>
      <c r="G3475" s="18"/>
    </row>
    <row r="3476" spans="1:7" ht="22.5" customHeight="1">
      <c r="A3476" s="236"/>
      <c r="B3476" s="18"/>
      <c r="C3476" s="18"/>
      <c r="D3476" s="213"/>
      <c r="E3476" s="237"/>
      <c r="F3476" s="18"/>
      <c r="G3476" s="18"/>
    </row>
    <row r="3477" spans="1:7" ht="22.5" customHeight="1">
      <c r="A3477" s="236"/>
      <c r="B3477" s="18"/>
      <c r="C3477" s="18"/>
      <c r="D3477" s="213"/>
      <c r="E3477" s="237"/>
      <c r="F3477" s="18"/>
      <c r="G3477" s="18"/>
    </row>
    <row r="3478" spans="1:7" ht="22.5" customHeight="1">
      <c r="A3478" s="236"/>
      <c r="B3478" s="18"/>
      <c r="C3478" s="18"/>
      <c r="D3478" s="213"/>
      <c r="E3478" s="237"/>
      <c r="F3478" s="18"/>
      <c r="G3478" s="18"/>
    </row>
    <row r="3479" spans="1:7" ht="22.5" customHeight="1">
      <c r="A3479" s="236"/>
      <c r="B3479" s="18"/>
      <c r="C3479" s="18"/>
      <c r="D3479" s="213"/>
      <c r="E3479" s="237"/>
      <c r="F3479" s="18"/>
      <c r="G3479" s="18"/>
    </row>
    <row r="3480" spans="1:7" ht="22.5" customHeight="1">
      <c r="A3480" s="236"/>
      <c r="B3480" s="18"/>
      <c r="C3480" s="18"/>
      <c r="D3480" s="213"/>
      <c r="E3480" s="237"/>
      <c r="F3480" s="18"/>
      <c r="G3480" s="18"/>
    </row>
    <row r="3481" spans="1:7" ht="22.5" customHeight="1">
      <c r="A3481" s="236"/>
      <c r="B3481" s="18"/>
      <c r="C3481" s="18"/>
      <c r="D3481" s="213"/>
      <c r="E3481" s="237"/>
      <c r="F3481" s="18"/>
      <c r="G3481" s="18"/>
    </row>
    <row r="3482" spans="1:7" ht="22.5" customHeight="1">
      <c r="A3482" s="236"/>
      <c r="B3482" s="18"/>
      <c r="C3482" s="18"/>
      <c r="D3482" s="213"/>
      <c r="E3482" s="237"/>
      <c r="F3482" s="18"/>
      <c r="G3482" s="18"/>
    </row>
    <row r="3483" spans="1:7" ht="22.5" customHeight="1">
      <c r="A3483" s="236"/>
      <c r="B3483" s="18"/>
      <c r="C3483" s="18"/>
      <c r="D3483" s="213"/>
      <c r="E3483" s="237"/>
      <c r="F3483" s="18"/>
      <c r="G3483" s="18"/>
    </row>
    <row r="3484" spans="1:7" ht="22.5" customHeight="1">
      <c r="A3484" s="236"/>
      <c r="B3484" s="18"/>
      <c r="C3484" s="18"/>
      <c r="D3484" s="213"/>
      <c r="E3484" s="237"/>
      <c r="F3484" s="18"/>
      <c r="G3484" s="18"/>
    </row>
    <row r="3485" spans="1:7" ht="22.5" customHeight="1">
      <c r="A3485" s="236"/>
      <c r="B3485" s="18"/>
      <c r="C3485" s="18"/>
      <c r="D3485" s="213"/>
      <c r="E3485" s="237"/>
      <c r="F3485" s="18"/>
      <c r="G3485" s="18"/>
    </row>
    <row r="3486" spans="1:7" ht="22.5" customHeight="1">
      <c r="A3486" s="236"/>
      <c r="B3486" s="18"/>
      <c r="C3486" s="18"/>
      <c r="D3486" s="213"/>
      <c r="E3486" s="237"/>
      <c r="F3486" s="18"/>
      <c r="G3486" s="18"/>
    </row>
    <row r="3487" spans="1:7" ht="22.5" customHeight="1">
      <c r="A3487" s="236"/>
      <c r="B3487" s="18"/>
      <c r="C3487" s="18"/>
      <c r="D3487" s="213"/>
      <c r="E3487" s="237"/>
      <c r="F3487" s="18"/>
      <c r="G3487" s="18"/>
    </row>
    <row r="3488" spans="1:7" ht="22.5" customHeight="1">
      <c r="A3488" s="236"/>
      <c r="B3488" s="18"/>
      <c r="C3488" s="18"/>
      <c r="D3488" s="213"/>
      <c r="E3488" s="237"/>
      <c r="F3488" s="18"/>
      <c r="G3488" s="18"/>
    </row>
    <row r="3489" spans="1:7" ht="22.5" customHeight="1">
      <c r="A3489" s="236"/>
      <c r="B3489" s="18"/>
      <c r="C3489" s="18"/>
      <c r="D3489" s="213"/>
      <c r="E3489" s="237"/>
      <c r="F3489" s="18"/>
      <c r="G3489" s="18"/>
    </row>
    <row r="3490" spans="1:7" ht="22.5" customHeight="1">
      <c r="A3490" s="236"/>
      <c r="B3490" s="18"/>
      <c r="C3490" s="18"/>
      <c r="D3490" s="213"/>
      <c r="E3490" s="237"/>
      <c r="F3490" s="18"/>
      <c r="G3490" s="18"/>
    </row>
    <row r="3491" spans="1:7" ht="22.5" customHeight="1">
      <c r="A3491" s="236"/>
      <c r="B3491" s="18"/>
      <c r="C3491" s="18"/>
      <c r="D3491" s="213"/>
      <c r="E3491" s="237"/>
      <c r="F3491" s="18"/>
      <c r="G3491" s="18"/>
    </row>
    <row r="3492" spans="1:7" ht="22.5" customHeight="1">
      <c r="A3492" s="236"/>
      <c r="B3492" s="18"/>
      <c r="C3492" s="18"/>
      <c r="D3492" s="213"/>
      <c r="E3492" s="237"/>
      <c r="F3492" s="18"/>
      <c r="G3492" s="18"/>
    </row>
    <row r="3493" spans="1:7" ht="22.5" customHeight="1">
      <c r="A3493" s="236"/>
      <c r="B3493" s="18"/>
      <c r="C3493" s="18"/>
      <c r="D3493" s="213"/>
      <c r="E3493" s="237"/>
      <c r="F3493" s="18"/>
      <c r="G3493" s="18"/>
    </row>
    <row r="3494" spans="1:7" ht="22.5" customHeight="1">
      <c r="A3494" s="236"/>
      <c r="B3494" s="18"/>
      <c r="C3494" s="18"/>
      <c r="D3494" s="213"/>
      <c r="E3494" s="237"/>
      <c r="F3494" s="18"/>
      <c r="G3494" s="18"/>
    </row>
    <row r="3495" spans="1:7" ht="22.5" customHeight="1">
      <c r="A3495" s="236"/>
      <c r="B3495" s="18"/>
      <c r="C3495" s="18"/>
      <c r="D3495" s="213"/>
      <c r="E3495" s="237"/>
      <c r="F3495" s="18"/>
      <c r="G3495" s="18"/>
    </row>
    <row r="3496" spans="1:7" ht="22.5" customHeight="1">
      <c r="A3496" s="236"/>
      <c r="B3496" s="18"/>
      <c r="C3496" s="18"/>
      <c r="D3496" s="213"/>
      <c r="E3496" s="237"/>
      <c r="F3496" s="18"/>
      <c r="G3496" s="18"/>
    </row>
    <row r="3497" spans="1:7" ht="22.5" customHeight="1">
      <c r="A3497" s="236"/>
      <c r="B3497" s="18"/>
      <c r="C3497" s="18"/>
      <c r="D3497" s="213"/>
      <c r="E3497" s="237"/>
      <c r="F3497" s="18"/>
      <c r="G3497" s="18"/>
    </row>
    <row r="3498" spans="1:7" ht="22.5" customHeight="1">
      <c r="A3498" s="236"/>
      <c r="B3498" s="18"/>
      <c r="C3498" s="18"/>
      <c r="D3498" s="213"/>
      <c r="E3498" s="237"/>
      <c r="F3498" s="18"/>
      <c r="G3498" s="18"/>
    </row>
    <row r="3499" spans="1:7" ht="22.5" customHeight="1">
      <c r="A3499" s="236"/>
      <c r="B3499" s="18"/>
      <c r="C3499" s="18"/>
      <c r="D3499" s="213"/>
      <c r="E3499" s="237"/>
      <c r="F3499" s="18"/>
      <c r="G3499" s="18"/>
    </row>
    <row r="3500" spans="1:7" ht="22.5" customHeight="1">
      <c r="A3500" s="236"/>
      <c r="B3500" s="18"/>
      <c r="C3500" s="18"/>
      <c r="D3500" s="213"/>
      <c r="E3500" s="237"/>
      <c r="F3500" s="18"/>
      <c r="G3500" s="18"/>
    </row>
    <row r="3501" spans="1:7" ht="22.5" customHeight="1">
      <c r="A3501" s="236"/>
      <c r="B3501" s="18"/>
      <c r="C3501" s="18"/>
      <c r="D3501" s="213"/>
      <c r="E3501" s="237"/>
      <c r="F3501" s="18"/>
      <c r="G3501" s="18"/>
    </row>
    <row r="3502" spans="1:7" ht="22.5" customHeight="1">
      <c r="A3502" s="236"/>
      <c r="B3502" s="18"/>
      <c r="C3502" s="18"/>
      <c r="D3502" s="213"/>
      <c r="E3502" s="237"/>
      <c r="F3502" s="18"/>
      <c r="G3502" s="18"/>
    </row>
    <row r="3503" spans="1:7" ht="22.5" customHeight="1">
      <c r="A3503" s="236"/>
      <c r="B3503" s="18"/>
      <c r="C3503" s="18"/>
      <c r="D3503" s="213"/>
      <c r="E3503" s="237"/>
      <c r="F3503" s="18"/>
      <c r="G3503" s="18"/>
    </row>
    <row r="3504" spans="1:7" ht="22.5" customHeight="1">
      <c r="A3504" s="236"/>
      <c r="B3504" s="18"/>
      <c r="C3504" s="18"/>
      <c r="D3504" s="213"/>
      <c r="E3504" s="237"/>
      <c r="F3504" s="18"/>
      <c r="G3504" s="18"/>
    </row>
    <row r="3505" spans="1:7" ht="22.5" customHeight="1">
      <c r="A3505" s="236"/>
      <c r="B3505" s="18"/>
      <c r="C3505" s="18"/>
      <c r="D3505" s="213"/>
      <c r="E3505" s="237"/>
      <c r="F3505" s="18"/>
      <c r="G3505" s="18"/>
    </row>
    <row r="3506" spans="1:7" ht="22.5" customHeight="1">
      <c r="A3506" s="236"/>
      <c r="B3506" s="18"/>
      <c r="C3506" s="18"/>
      <c r="D3506" s="213"/>
      <c r="E3506" s="237"/>
      <c r="F3506" s="18"/>
      <c r="G3506" s="18"/>
    </row>
    <row r="3507" spans="1:7" ht="22.5" customHeight="1">
      <c r="A3507" s="236"/>
      <c r="B3507" s="18"/>
      <c r="C3507" s="18"/>
      <c r="D3507" s="213"/>
      <c r="E3507" s="237"/>
      <c r="F3507" s="18"/>
      <c r="G3507" s="18"/>
    </row>
    <row r="3508" spans="1:7" ht="22.5" customHeight="1">
      <c r="A3508" s="236"/>
      <c r="B3508" s="18"/>
      <c r="C3508" s="18"/>
      <c r="D3508" s="213"/>
      <c r="E3508" s="237"/>
      <c r="F3508" s="18"/>
      <c r="G3508" s="18"/>
    </row>
    <row r="3509" spans="1:7" ht="22.5" customHeight="1">
      <c r="A3509" s="236"/>
      <c r="B3509" s="18"/>
      <c r="C3509" s="18"/>
      <c r="D3509" s="213"/>
      <c r="E3509" s="237"/>
      <c r="F3509" s="18"/>
      <c r="G3509" s="18"/>
    </row>
    <row r="3510" spans="1:7" ht="22.5" customHeight="1">
      <c r="A3510" s="236"/>
      <c r="B3510" s="18"/>
      <c r="C3510" s="18"/>
      <c r="D3510" s="213"/>
      <c r="E3510" s="237"/>
      <c r="F3510" s="18"/>
      <c r="G3510" s="18"/>
    </row>
    <row r="3511" spans="1:7" ht="22.5" customHeight="1">
      <c r="A3511" s="236"/>
      <c r="B3511" s="18"/>
      <c r="C3511" s="18"/>
      <c r="D3511" s="213"/>
      <c r="E3511" s="237"/>
      <c r="F3511" s="18"/>
      <c r="G3511" s="18"/>
    </row>
    <row r="3512" spans="1:7" ht="22.5" customHeight="1">
      <c r="A3512" s="236"/>
      <c r="B3512" s="18"/>
      <c r="C3512" s="18"/>
      <c r="D3512" s="213"/>
      <c r="E3512" s="237"/>
      <c r="F3512" s="18"/>
      <c r="G3512" s="18"/>
    </row>
    <row r="3513" spans="1:7" ht="22.5" customHeight="1">
      <c r="A3513" s="236"/>
      <c r="B3513" s="18"/>
      <c r="C3513" s="18"/>
      <c r="D3513" s="213"/>
      <c r="E3513" s="237"/>
      <c r="F3513" s="18"/>
      <c r="G3513" s="18"/>
    </row>
    <row r="3514" spans="1:7" ht="22.5" customHeight="1">
      <c r="A3514" s="236"/>
      <c r="B3514" s="18"/>
      <c r="C3514" s="18"/>
      <c r="D3514" s="213"/>
      <c r="E3514" s="237"/>
      <c r="F3514" s="18"/>
      <c r="G3514" s="18"/>
    </row>
    <row r="3515" spans="1:7" ht="22.5" customHeight="1">
      <c r="A3515" s="236"/>
      <c r="B3515" s="18"/>
      <c r="C3515" s="18"/>
      <c r="D3515" s="213"/>
      <c r="E3515" s="237"/>
      <c r="F3515" s="18"/>
      <c r="G3515" s="18"/>
    </row>
    <row r="3516" spans="1:7" ht="22.5" customHeight="1">
      <c r="A3516" s="236"/>
      <c r="B3516" s="18"/>
      <c r="C3516" s="18"/>
      <c r="D3516" s="213"/>
      <c r="E3516" s="237"/>
      <c r="F3516" s="18"/>
      <c r="G3516" s="18"/>
    </row>
    <row r="3517" spans="1:7" ht="22.5" customHeight="1">
      <c r="A3517" s="236"/>
      <c r="B3517" s="18"/>
      <c r="C3517" s="18"/>
      <c r="D3517" s="213"/>
      <c r="E3517" s="237"/>
      <c r="F3517" s="18"/>
      <c r="G3517" s="18"/>
    </row>
    <row r="3518" spans="1:7" ht="22.5" customHeight="1">
      <c r="A3518" s="236"/>
      <c r="B3518" s="18"/>
      <c r="C3518" s="18"/>
      <c r="D3518" s="213"/>
      <c r="E3518" s="237"/>
      <c r="F3518" s="18"/>
      <c r="G3518" s="18"/>
    </row>
    <row r="3519" spans="1:7" ht="22.5" customHeight="1">
      <c r="A3519" s="236"/>
      <c r="B3519" s="18"/>
      <c r="C3519" s="18"/>
      <c r="D3519" s="213"/>
      <c r="E3519" s="237"/>
      <c r="F3519" s="18"/>
      <c r="G3519" s="18"/>
    </row>
    <row r="3520" spans="1:7" ht="22.5" customHeight="1">
      <c r="A3520" s="236"/>
      <c r="B3520" s="18"/>
      <c r="C3520" s="18"/>
      <c r="D3520" s="213"/>
      <c r="E3520" s="237"/>
      <c r="F3520" s="18"/>
      <c r="G3520" s="18"/>
    </row>
    <row r="3521" spans="1:7" ht="22.5" customHeight="1">
      <c r="A3521" s="236"/>
      <c r="B3521" s="18"/>
      <c r="C3521" s="18"/>
      <c r="D3521" s="213"/>
      <c r="E3521" s="237"/>
      <c r="F3521" s="18"/>
      <c r="G3521" s="18"/>
    </row>
    <row r="3522" spans="1:7" ht="22.5" customHeight="1">
      <c r="A3522" s="236"/>
      <c r="B3522" s="18"/>
      <c r="C3522" s="18"/>
      <c r="D3522" s="213"/>
      <c r="E3522" s="237"/>
      <c r="F3522" s="18"/>
      <c r="G3522" s="18"/>
    </row>
    <row r="3523" spans="1:7" ht="22.5" customHeight="1">
      <c r="A3523" s="236"/>
      <c r="B3523" s="18"/>
      <c r="C3523" s="18"/>
      <c r="D3523" s="213"/>
      <c r="E3523" s="237"/>
      <c r="F3523" s="18"/>
      <c r="G3523" s="18"/>
    </row>
    <row r="3524" spans="1:7" ht="22.5" customHeight="1">
      <c r="A3524" s="236"/>
      <c r="B3524" s="18"/>
      <c r="C3524" s="18"/>
      <c r="D3524" s="213"/>
      <c r="E3524" s="237"/>
      <c r="F3524" s="18"/>
      <c r="G3524" s="18"/>
    </row>
    <row r="3525" spans="1:7" ht="22.5" customHeight="1">
      <c r="A3525" s="236"/>
      <c r="B3525" s="18"/>
      <c r="C3525" s="18"/>
      <c r="D3525" s="213"/>
      <c r="E3525" s="237"/>
      <c r="F3525" s="18"/>
      <c r="G3525" s="18"/>
    </row>
    <row r="3526" spans="1:7" ht="22.5" customHeight="1">
      <c r="A3526" s="236"/>
      <c r="B3526" s="18"/>
      <c r="C3526" s="18"/>
      <c r="D3526" s="213"/>
      <c r="E3526" s="237"/>
      <c r="F3526" s="18"/>
      <c r="G3526" s="18"/>
    </row>
    <row r="3527" spans="1:7" ht="22.5" customHeight="1">
      <c r="A3527" s="236"/>
      <c r="B3527" s="18"/>
      <c r="C3527" s="18"/>
      <c r="D3527" s="213"/>
      <c r="E3527" s="237"/>
      <c r="F3527" s="18"/>
      <c r="G3527" s="18"/>
    </row>
    <row r="3528" spans="1:7" ht="22.5" customHeight="1">
      <c r="A3528" s="236"/>
      <c r="B3528" s="18"/>
      <c r="C3528" s="18"/>
      <c r="D3528" s="213"/>
      <c r="E3528" s="237"/>
      <c r="F3528" s="18"/>
      <c r="G3528" s="18"/>
    </row>
    <row r="3529" spans="1:7" ht="22.5" customHeight="1">
      <c r="A3529" s="236"/>
      <c r="B3529" s="18"/>
      <c r="C3529" s="18"/>
      <c r="D3529" s="213"/>
      <c r="E3529" s="237"/>
      <c r="F3529" s="18"/>
      <c r="G3529" s="18"/>
    </row>
    <row r="3530" spans="1:7" ht="22.5" customHeight="1">
      <c r="A3530" s="236"/>
      <c r="B3530" s="18"/>
      <c r="C3530" s="18"/>
      <c r="D3530" s="213"/>
      <c r="E3530" s="237"/>
      <c r="F3530" s="18"/>
      <c r="G3530" s="18"/>
    </row>
    <row r="3531" spans="1:7" ht="22.5" customHeight="1">
      <c r="A3531" s="236"/>
      <c r="B3531" s="18"/>
      <c r="C3531" s="18"/>
      <c r="D3531" s="213"/>
      <c r="E3531" s="237"/>
      <c r="F3531" s="18"/>
      <c r="G3531" s="18"/>
    </row>
    <row r="3532" spans="1:7" ht="22.5" customHeight="1">
      <c r="A3532" s="236"/>
      <c r="B3532" s="18"/>
      <c r="C3532" s="18"/>
      <c r="D3532" s="213"/>
      <c r="E3532" s="237"/>
      <c r="F3532" s="18"/>
      <c r="G3532" s="18"/>
    </row>
    <row r="3533" spans="1:7" ht="22.5" customHeight="1">
      <c r="A3533" s="236"/>
      <c r="B3533" s="18"/>
      <c r="C3533" s="18"/>
      <c r="D3533" s="213"/>
      <c r="E3533" s="237"/>
      <c r="F3533" s="18"/>
      <c r="G3533" s="18"/>
    </row>
    <row r="3534" spans="1:7" ht="22.5" customHeight="1">
      <c r="A3534" s="236"/>
      <c r="B3534" s="18"/>
      <c r="C3534" s="18"/>
      <c r="D3534" s="213"/>
      <c r="E3534" s="237"/>
      <c r="F3534" s="18"/>
      <c r="G3534" s="18"/>
    </row>
    <row r="3535" spans="1:7" ht="22.5" customHeight="1">
      <c r="A3535" s="236"/>
      <c r="B3535" s="18"/>
      <c r="C3535" s="18"/>
      <c r="D3535" s="213"/>
      <c r="E3535" s="237"/>
      <c r="F3535" s="18"/>
      <c r="G3535" s="18"/>
    </row>
    <row r="3536" spans="1:7" ht="22.5" customHeight="1">
      <c r="A3536" s="236"/>
      <c r="B3536" s="18"/>
      <c r="C3536" s="18"/>
      <c r="D3536" s="213"/>
      <c r="E3536" s="237"/>
      <c r="F3536" s="18"/>
      <c r="G3536" s="18"/>
    </row>
    <row r="3537" spans="1:7" ht="22.5" customHeight="1">
      <c r="A3537" s="236"/>
      <c r="B3537" s="18"/>
      <c r="C3537" s="18"/>
      <c r="D3537" s="213"/>
      <c r="E3537" s="237"/>
      <c r="F3537" s="18"/>
      <c r="G3537" s="18"/>
    </row>
    <row r="3538" spans="1:7" ht="22.5" customHeight="1">
      <c r="A3538" s="236"/>
      <c r="B3538" s="18"/>
      <c r="C3538" s="18"/>
      <c r="D3538" s="213"/>
      <c r="E3538" s="237"/>
      <c r="F3538" s="18"/>
      <c r="G3538" s="18"/>
    </row>
    <row r="3539" spans="1:7" ht="22.5" customHeight="1">
      <c r="A3539" s="236"/>
      <c r="B3539" s="18"/>
      <c r="C3539" s="18"/>
      <c r="D3539" s="213"/>
      <c r="E3539" s="237"/>
      <c r="F3539" s="18"/>
      <c r="G3539" s="18"/>
    </row>
    <row r="3540" spans="1:7" ht="22.5" customHeight="1">
      <c r="A3540" s="236"/>
      <c r="B3540" s="18"/>
      <c r="C3540" s="18"/>
      <c r="D3540" s="213"/>
      <c r="E3540" s="237"/>
      <c r="F3540" s="18"/>
      <c r="G3540" s="18"/>
    </row>
    <row r="3541" spans="1:7" ht="22.5" customHeight="1">
      <c r="A3541" s="236"/>
      <c r="B3541" s="18"/>
      <c r="C3541" s="18"/>
      <c r="D3541" s="213"/>
      <c r="E3541" s="237"/>
      <c r="F3541" s="18"/>
      <c r="G3541" s="18"/>
    </row>
    <row r="3542" spans="1:7" ht="22.5" customHeight="1">
      <c r="A3542" s="236"/>
      <c r="B3542" s="18"/>
      <c r="C3542" s="18"/>
      <c r="D3542" s="213"/>
      <c r="E3542" s="237"/>
      <c r="F3542" s="18"/>
      <c r="G3542" s="18"/>
    </row>
    <row r="3543" spans="1:7" ht="22.5" customHeight="1">
      <c r="A3543" s="236"/>
      <c r="B3543" s="18"/>
      <c r="C3543" s="18"/>
      <c r="D3543" s="213"/>
      <c r="E3543" s="237"/>
      <c r="F3543" s="18"/>
      <c r="G3543" s="18"/>
    </row>
    <row r="3544" spans="1:7" ht="22.5" customHeight="1">
      <c r="A3544" s="236"/>
      <c r="B3544" s="18"/>
      <c r="C3544" s="18"/>
      <c r="D3544" s="213"/>
      <c r="E3544" s="237"/>
      <c r="F3544" s="18"/>
      <c r="G3544" s="18"/>
    </row>
    <row r="3545" spans="1:7" ht="22.5" customHeight="1">
      <c r="A3545" s="236"/>
      <c r="B3545" s="18"/>
      <c r="C3545" s="18"/>
      <c r="D3545" s="213"/>
      <c r="E3545" s="237"/>
      <c r="F3545" s="18"/>
      <c r="G3545" s="18"/>
    </row>
    <row r="3546" spans="1:7" ht="22.5" customHeight="1">
      <c r="A3546" s="236"/>
      <c r="B3546" s="18"/>
      <c r="C3546" s="18"/>
      <c r="D3546" s="213"/>
      <c r="E3546" s="237"/>
      <c r="F3546" s="18"/>
      <c r="G3546" s="18"/>
    </row>
    <row r="3547" spans="1:7" ht="22.5" customHeight="1">
      <c r="A3547" s="236"/>
      <c r="B3547" s="18"/>
      <c r="C3547" s="18"/>
      <c r="D3547" s="213"/>
      <c r="E3547" s="237"/>
      <c r="F3547" s="18"/>
      <c r="G3547" s="18"/>
    </row>
    <row r="3548" spans="1:7" ht="22.5" customHeight="1">
      <c r="A3548" s="236"/>
      <c r="B3548" s="18"/>
      <c r="C3548" s="18"/>
      <c r="D3548" s="213"/>
      <c r="E3548" s="237"/>
      <c r="F3548" s="18"/>
      <c r="G3548" s="18"/>
    </row>
    <row r="3549" spans="1:7" ht="22.5" customHeight="1">
      <c r="A3549" s="236"/>
      <c r="B3549" s="18"/>
      <c r="C3549" s="18"/>
      <c r="D3549" s="213"/>
      <c r="E3549" s="237"/>
      <c r="F3549" s="18"/>
      <c r="G3549" s="18"/>
    </row>
    <row r="3550" spans="1:7" ht="22.5" customHeight="1">
      <c r="A3550" s="236"/>
      <c r="B3550" s="18"/>
      <c r="C3550" s="18"/>
      <c r="D3550" s="213"/>
      <c r="E3550" s="237"/>
      <c r="F3550" s="18"/>
      <c r="G3550" s="18"/>
    </row>
    <row r="3551" spans="1:7" ht="22.5" customHeight="1">
      <c r="A3551" s="236"/>
      <c r="B3551" s="18"/>
      <c r="C3551" s="18"/>
      <c r="D3551" s="213"/>
      <c r="E3551" s="237"/>
      <c r="F3551" s="18"/>
      <c r="G3551" s="18"/>
    </row>
    <row r="3552" spans="1:7" ht="22.5" customHeight="1">
      <c r="A3552" s="236"/>
      <c r="B3552" s="18"/>
      <c r="C3552" s="18"/>
      <c r="D3552" s="213"/>
      <c r="E3552" s="237"/>
      <c r="F3552" s="18"/>
      <c r="G3552" s="18"/>
    </row>
    <row r="3553" spans="1:7" ht="22.5" customHeight="1">
      <c r="A3553" s="236"/>
      <c r="B3553" s="18"/>
      <c r="C3553" s="18"/>
      <c r="D3553" s="213"/>
      <c r="E3553" s="237"/>
      <c r="F3553" s="18"/>
      <c r="G3553" s="18"/>
    </row>
    <row r="3554" spans="1:7" ht="22.5" customHeight="1">
      <c r="A3554" s="236"/>
      <c r="B3554" s="18"/>
      <c r="C3554" s="18"/>
      <c r="D3554" s="213"/>
      <c r="E3554" s="237"/>
      <c r="F3554" s="18"/>
      <c r="G3554" s="18"/>
    </row>
    <row r="3555" spans="1:7" ht="22.5" customHeight="1">
      <c r="A3555" s="236"/>
      <c r="B3555" s="18"/>
      <c r="C3555" s="18"/>
      <c r="D3555" s="213"/>
      <c r="E3555" s="237"/>
      <c r="F3555" s="18"/>
      <c r="G3555" s="18"/>
    </row>
    <row r="3556" spans="1:7" ht="22.5" customHeight="1">
      <c r="A3556" s="236"/>
      <c r="B3556" s="18"/>
      <c r="C3556" s="18"/>
      <c r="D3556" s="213"/>
      <c r="E3556" s="237"/>
      <c r="F3556" s="18"/>
      <c r="G3556" s="18"/>
    </row>
    <row r="3557" spans="1:7" ht="22.5" customHeight="1">
      <c r="A3557" s="236"/>
      <c r="B3557" s="18"/>
      <c r="C3557" s="18"/>
      <c r="D3557" s="213"/>
      <c r="E3557" s="237"/>
      <c r="F3557" s="18"/>
      <c r="G3557" s="18"/>
    </row>
    <row r="3558" spans="1:7" ht="22.5" customHeight="1">
      <c r="A3558" s="236"/>
      <c r="B3558" s="18"/>
      <c r="C3558" s="18"/>
      <c r="D3558" s="213"/>
      <c r="E3558" s="237"/>
      <c r="F3558" s="18"/>
      <c r="G3558" s="18"/>
    </row>
    <row r="3559" spans="1:7" ht="22.5" customHeight="1">
      <c r="A3559" s="236"/>
      <c r="B3559" s="18"/>
      <c r="C3559" s="18"/>
      <c r="D3559" s="213"/>
      <c r="E3559" s="237"/>
      <c r="F3559" s="18"/>
      <c r="G3559" s="18"/>
    </row>
    <row r="3560" spans="1:7" ht="22.5" customHeight="1">
      <c r="A3560" s="236"/>
      <c r="B3560" s="18"/>
      <c r="C3560" s="18"/>
      <c r="D3560" s="213"/>
      <c r="E3560" s="237"/>
      <c r="F3560" s="18"/>
      <c r="G3560" s="18"/>
    </row>
    <row r="3561" spans="1:7" ht="22.5" customHeight="1">
      <c r="A3561" s="236"/>
      <c r="B3561" s="18"/>
      <c r="C3561" s="18"/>
      <c r="D3561" s="213"/>
      <c r="E3561" s="237"/>
      <c r="F3561" s="18"/>
      <c r="G3561" s="18"/>
    </row>
    <row r="3562" spans="1:7" ht="22.5" customHeight="1">
      <c r="A3562" s="236"/>
      <c r="B3562" s="18"/>
      <c r="C3562" s="18"/>
      <c r="D3562" s="213"/>
      <c r="E3562" s="237"/>
      <c r="F3562" s="18"/>
      <c r="G3562" s="18"/>
    </row>
    <row r="3563" spans="1:7" ht="22.5" customHeight="1">
      <c r="A3563" s="236"/>
      <c r="B3563" s="18"/>
      <c r="C3563" s="18"/>
      <c r="D3563" s="213"/>
      <c r="E3563" s="237"/>
      <c r="F3563" s="18"/>
      <c r="G3563" s="18"/>
    </row>
    <row r="3564" spans="1:7" ht="22.5" customHeight="1">
      <c r="A3564" s="236"/>
      <c r="B3564" s="18"/>
      <c r="C3564" s="18"/>
      <c r="D3564" s="213"/>
      <c r="E3564" s="237"/>
      <c r="F3564" s="18"/>
      <c r="G3564" s="18"/>
    </row>
    <row r="3565" spans="1:7" ht="22.5" customHeight="1">
      <c r="A3565" s="236"/>
      <c r="B3565" s="18"/>
      <c r="C3565" s="18"/>
      <c r="D3565" s="213"/>
      <c r="E3565" s="237"/>
      <c r="F3565" s="18"/>
      <c r="G3565" s="18"/>
    </row>
    <row r="3566" spans="1:7" ht="22.5" customHeight="1">
      <c r="A3566" s="236"/>
      <c r="B3566" s="18"/>
      <c r="C3566" s="18"/>
      <c r="D3566" s="213"/>
      <c r="E3566" s="237"/>
      <c r="F3566" s="18"/>
      <c r="G3566" s="18"/>
    </row>
    <row r="3567" spans="1:7" ht="22.5" customHeight="1">
      <c r="A3567" s="236"/>
      <c r="B3567" s="18"/>
      <c r="C3567" s="18"/>
      <c r="D3567" s="213"/>
      <c r="E3567" s="237"/>
      <c r="F3567" s="18"/>
      <c r="G3567" s="18"/>
    </row>
    <row r="3568" spans="1:7" ht="22.5" customHeight="1">
      <c r="A3568" s="236"/>
      <c r="B3568" s="18"/>
      <c r="C3568" s="18"/>
      <c r="D3568" s="213"/>
      <c r="E3568" s="237"/>
      <c r="F3568" s="18"/>
      <c r="G3568" s="18"/>
    </row>
    <row r="3569" spans="1:7" ht="22.5" customHeight="1">
      <c r="A3569" s="236"/>
      <c r="B3569" s="18"/>
      <c r="C3569" s="18"/>
      <c r="D3569" s="213"/>
      <c r="E3569" s="237"/>
      <c r="F3569" s="18"/>
      <c r="G3569" s="18"/>
    </row>
    <row r="3570" spans="1:7" ht="22.5" customHeight="1">
      <c r="A3570" s="236"/>
      <c r="B3570" s="18"/>
      <c r="C3570" s="18"/>
      <c r="D3570" s="213"/>
      <c r="E3570" s="237"/>
      <c r="F3570" s="18"/>
      <c r="G3570" s="18"/>
    </row>
    <row r="3571" spans="1:7" ht="22.5" customHeight="1">
      <c r="A3571" s="236"/>
      <c r="B3571" s="18"/>
      <c r="C3571" s="18"/>
      <c r="D3571" s="213"/>
      <c r="E3571" s="237"/>
      <c r="F3571" s="18"/>
      <c r="G3571" s="18"/>
    </row>
    <row r="3572" spans="1:7" ht="22.5" customHeight="1">
      <c r="A3572" s="236"/>
      <c r="B3572" s="18"/>
      <c r="C3572" s="18"/>
      <c r="D3572" s="213"/>
      <c r="E3572" s="237"/>
      <c r="F3572" s="18"/>
      <c r="G3572" s="18"/>
    </row>
    <row r="3573" spans="1:7" ht="22.5" customHeight="1">
      <c r="A3573" s="236"/>
      <c r="B3573" s="18"/>
      <c r="C3573" s="18"/>
      <c r="D3573" s="213"/>
      <c r="E3573" s="237"/>
      <c r="F3573" s="18"/>
      <c r="G3573" s="18"/>
    </row>
    <row r="3574" spans="1:7" ht="22.5" customHeight="1">
      <c r="A3574" s="236"/>
      <c r="B3574" s="18"/>
      <c r="C3574" s="18"/>
      <c r="D3574" s="213"/>
      <c r="E3574" s="237"/>
      <c r="F3574" s="18"/>
      <c r="G3574" s="18"/>
    </row>
    <row r="3575" spans="1:7" ht="22.5" customHeight="1">
      <c r="A3575" s="236"/>
      <c r="B3575" s="18"/>
      <c r="C3575" s="18"/>
      <c r="D3575" s="213"/>
      <c r="E3575" s="237"/>
      <c r="F3575" s="18"/>
      <c r="G3575" s="18"/>
    </row>
    <row r="3576" spans="1:7" ht="22.5" customHeight="1">
      <c r="A3576" s="236"/>
      <c r="B3576" s="18"/>
      <c r="C3576" s="18"/>
      <c r="D3576" s="213"/>
      <c r="E3576" s="237"/>
      <c r="F3576" s="18"/>
      <c r="G3576" s="18"/>
    </row>
    <row r="3577" spans="1:7" ht="22.5" customHeight="1">
      <c r="A3577" s="236"/>
      <c r="B3577" s="18"/>
      <c r="C3577" s="18"/>
      <c r="D3577" s="213"/>
      <c r="E3577" s="237"/>
      <c r="F3577" s="18"/>
      <c r="G3577" s="18"/>
    </row>
    <row r="3578" spans="1:7" ht="22.5" customHeight="1">
      <c r="A3578" s="236"/>
      <c r="B3578" s="18"/>
      <c r="C3578" s="18"/>
      <c r="D3578" s="213"/>
      <c r="E3578" s="237"/>
      <c r="F3578" s="18"/>
      <c r="G3578" s="18"/>
    </row>
    <row r="3579" spans="1:7" ht="22.5" customHeight="1">
      <c r="A3579" s="236"/>
      <c r="B3579" s="18"/>
      <c r="C3579" s="18"/>
      <c r="D3579" s="213"/>
      <c r="E3579" s="237"/>
      <c r="F3579" s="18"/>
      <c r="G3579" s="18"/>
    </row>
    <row r="3580" spans="1:7" ht="22.5" customHeight="1">
      <c r="A3580" s="236"/>
      <c r="B3580" s="18"/>
      <c r="C3580" s="18"/>
      <c r="D3580" s="213"/>
      <c r="E3580" s="237"/>
      <c r="F3580" s="18"/>
      <c r="G3580" s="18"/>
    </row>
    <row r="3581" spans="1:7" ht="22.5" customHeight="1">
      <c r="A3581" s="236"/>
      <c r="B3581" s="18"/>
      <c r="C3581" s="18"/>
      <c r="D3581" s="213"/>
      <c r="E3581" s="237"/>
      <c r="F3581" s="18"/>
      <c r="G3581" s="18"/>
    </row>
    <row r="3582" spans="1:7" ht="22.5" customHeight="1">
      <c r="A3582" s="236"/>
      <c r="B3582" s="18"/>
      <c r="C3582" s="18"/>
      <c r="D3582" s="213"/>
      <c r="E3582" s="237"/>
      <c r="F3582" s="18"/>
      <c r="G3582" s="18"/>
    </row>
    <row r="3583" spans="1:7" ht="22.5" customHeight="1">
      <c r="A3583" s="236"/>
      <c r="B3583" s="18"/>
      <c r="C3583" s="18"/>
      <c r="D3583" s="213"/>
      <c r="E3583" s="237"/>
      <c r="F3583" s="18"/>
      <c r="G3583" s="18"/>
    </row>
    <row r="3584" spans="1:7" ht="22.5" customHeight="1">
      <c r="A3584" s="236"/>
      <c r="B3584" s="18"/>
      <c r="C3584" s="18"/>
      <c r="D3584" s="213"/>
      <c r="E3584" s="237"/>
      <c r="F3584" s="18"/>
      <c r="G3584" s="18"/>
    </row>
    <row r="3585" spans="1:7" ht="22.5" customHeight="1">
      <c r="A3585" s="236"/>
      <c r="B3585" s="18"/>
      <c r="C3585" s="18"/>
      <c r="D3585" s="213"/>
      <c r="E3585" s="237"/>
      <c r="F3585" s="18"/>
      <c r="G3585" s="18"/>
    </row>
    <row r="3586" spans="1:7" ht="22.5" customHeight="1">
      <c r="A3586" s="236"/>
      <c r="B3586" s="18"/>
      <c r="C3586" s="18"/>
      <c r="D3586" s="213"/>
      <c r="E3586" s="237"/>
      <c r="F3586" s="18"/>
      <c r="G3586" s="18"/>
    </row>
    <row r="3587" spans="1:7" ht="22.5" customHeight="1">
      <c r="A3587" s="236"/>
      <c r="B3587" s="18"/>
      <c r="C3587" s="18"/>
      <c r="D3587" s="213"/>
      <c r="E3587" s="237"/>
      <c r="F3587" s="18"/>
      <c r="G3587" s="18"/>
    </row>
    <row r="3588" spans="1:7" ht="22.5" customHeight="1">
      <c r="A3588" s="236"/>
      <c r="B3588" s="18"/>
      <c r="C3588" s="18"/>
      <c r="D3588" s="213"/>
      <c r="E3588" s="237"/>
      <c r="F3588" s="18"/>
      <c r="G3588" s="18"/>
    </row>
    <row r="3589" spans="1:7" ht="22.5" customHeight="1">
      <c r="A3589" s="236"/>
      <c r="B3589" s="18"/>
      <c r="C3589" s="18"/>
      <c r="D3589" s="213"/>
      <c r="E3589" s="237"/>
      <c r="F3589" s="18"/>
      <c r="G3589" s="18"/>
    </row>
    <row r="3590" spans="1:7" ht="22.5" customHeight="1">
      <c r="A3590" s="236"/>
      <c r="B3590" s="18"/>
      <c r="C3590" s="18"/>
      <c r="D3590" s="213"/>
      <c r="E3590" s="237"/>
      <c r="F3590" s="18"/>
      <c r="G3590" s="18"/>
    </row>
    <row r="3591" spans="1:7" ht="22.5" customHeight="1">
      <c r="A3591" s="236"/>
      <c r="B3591" s="18"/>
      <c r="C3591" s="18"/>
      <c r="D3591" s="213"/>
      <c r="E3591" s="237"/>
      <c r="F3591" s="18"/>
      <c r="G3591" s="18"/>
    </row>
    <row r="3592" spans="1:7" ht="22.5" customHeight="1">
      <c r="A3592" s="236"/>
      <c r="B3592" s="18"/>
      <c r="C3592" s="18"/>
      <c r="D3592" s="213"/>
      <c r="E3592" s="237"/>
      <c r="F3592" s="18"/>
      <c r="G3592" s="18"/>
    </row>
    <row r="3593" spans="1:7" ht="22.5" customHeight="1">
      <c r="A3593" s="236"/>
      <c r="B3593" s="18"/>
      <c r="C3593" s="18"/>
      <c r="D3593" s="213"/>
      <c r="E3593" s="237"/>
      <c r="F3593" s="18"/>
      <c r="G3593" s="18"/>
    </row>
    <row r="3594" spans="1:7" ht="22.5" customHeight="1">
      <c r="A3594" s="236"/>
      <c r="B3594" s="18"/>
      <c r="C3594" s="18"/>
      <c r="D3594" s="213"/>
      <c r="E3594" s="237"/>
      <c r="F3594" s="18"/>
      <c r="G3594" s="18"/>
    </row>
    <row r="3595" spans="1:7" ht="22.5" customHeight="1">
      <c r="A3595" s="236"/>
      <c r="B3595" s="18"/>
      <c r="C3595" s="18"/>
      <c r="D3595" s="213"/>
      <c r="E3595" s="237"/>
      <c r="F3595" s="18"/>
      <c r="G3595" s="18"/>
    </row>
    <row r="3596" spans="1:7" ht="22.5" customHeight="1">
      <c r="A3596" s="236"/>
      <c r="B3596" s="18"/>
      <c r="C3596" s="18"/>
      <c r="D3596" s="213"/>
      <c r="E3596" s="237"/>
      <c r="F3596" s="18"/>
      <c r="G3596" s="18"/>
    </row>
    <row r="3597" spans="1:7" ht="22.5" customHeight="1">
      <c r="A3597" s="236"/>
      <c r="B3597" s="18"/>
      <c r="C3597" s="18"/>
      <c r="D3597" s="213"/>
      <c r="E3597" s="237"/>
      <c r="F3597" s="18"/>
      <c r="G3597" s="18"/>
    </row>
    <row r="3598" spans="1:7" ht="22.5" customHeight="1">
      <c r="A3598" s="236"/>
      <c r="B3598" s="18"/>
      <c r="C3598" s="18"/>
      <c r="D3598" s="213"/>
      <c r="E3598" s="237"/>
      <c r="F3598" s="18"/>
      <c r="G3598" s="18"/>
    </row>
    <row r="3599" spans="1:7" ht="22.5" customHeight="1">
      <c r="A3599" s="236"/>
      <c r="B3599" s="18"/>
      <c r="C3599" s="18"/>
      <c r="D3599" s="213"/>
      <c r="E3599" s="237"/>
      <c r="F3599" s="18"/>
      <c r="G3599" s="18"/>
    </row>
    <row r="3600" spans="1:7" ht="22.5" customHeight="1">
      <c r="A3600" s="236"/>
      <c r="B3600" s="18"/>
      <c r="C3600" s="18"/>
      <c r="D3600" s="213"/>
      <c r="E3600" s="237"/>
      <c r="F3600" s="18"/>
      <c r="G3600" s="18"/>
    </row>
    <row r="3601" spans="1:7" ht="22.5" customHeight="1">
      <c r="A3601" s="236"/>
      <c r="B3601" s="18"/>
      <c r="C3601" s="18"/>
      <c r="D3601" s="213"/>
      <c r="E3601" s="237"/>
      <c r="F3601" s="18"/>
      <c r="G3601" s="18"/>
    </row>
    <row r="3602" spans="1:7" ht="22.5" customHeight="1">
      <c r="A3602" s="236"/>
      <c r="B3602" s="18"/>
      <c r="C3602" s="18"/>
      <c r="D3602" s="213"/>
      <c r="E3602" s="237"/>
      <c r="F3602" s="18"/>
      <c r="G3602" s="18"/>
    </row>
    <row r="3603" spans="1:7" ht="22.5" customHeight="1">
      <c r="A3603" s="236"/>
      <c r="B3603" s="18"/>
      <c r="C3603" s="18"/>
      <c r="D3603" s="213"/>
      <c r="E3603" s="237"/>
      <c r="F3603" s="18"/>
      <c r="G3603" s="18"/>
    </row>
    <row r="3604" spans="1:7" ht="22.5" customHeight="1">
      <c r="A3604" s="236"/>
      <c r="B3604" s="18"/>
      <c r="C3604" s="18"/>
      <c r="D3604" s="213"/>
      <c r="E3604" s="237"/>
      <c r="F3604" s="18"/>
      <c r="G3604" s="18"/>
    </row>
    <row r="3605" spans="1:7" ht="22.5" customHeight="1">
      <c r="A3605" s="236"/>
      <c r="B3605" s="18"/>
      <c r="C3605" s="18"/>
      <c r="D3605" s="213"/>
      <c r="E3605" s="237"/>
      <c r="F3605" s="18"/>
      <c r="G3605" s="18"/>
    </row>
    <row r="3606" spans="1:7" ht="22.5" customHeight="1">
      <c r="A3606" s="236"/>
      <c r="B3606" s="18"/>
      <c r="C3606" s="18"/>
      <c r="D3606" s="213"/>
      <c r="E3606" s="237"/>
      <c r="F3606" s="18"/>
      <c r="G3606" s="18"/>
    </row>
    <row r="3607" spans="1:7" ht="22.5" customHeight="1">
      <c r="A3607" s="236"/>
      <c r="B3607" s="18"/>
      <c r="C3607" s="18"/>
      <c r="D3607" s="213"/>
      <c r="E3607" s="237"/>
      <c r="F3607" s="18"/>
      <c r="G3607" s="18"/>
    </row>
    <row r="3608" spans="1:7" ht="22.5" customHeight="1">
      <c r="A3608" s="236"/>
      <c r="B3608" s="18"/>
      <c r="C3608" s="18"/>
      <c r="D3608" s="213"/>
      <c r="E3608" s="237"/>
      <c r="F3608" s="18"/>
      <c r="G3608" s="18"/>
    </row>
    <row r="3609" spans="1:7" ht="22.5" customHeight="1">
      <c r="A3609" s="236"/>
      <c r="B3609" s="18"/>
      <c r="C3609" s="18"/>
      <c r="D3609" s="213"/>
      <c r="E3609" s="237"/>
      <c r="F3609" s="18"/>
      <c r="G3609" s="18"/>
    </row>
    <row r="3610" spans="1:7" ht="22.5" customHeight="1">
      <c r="A3610" s="236"/>
      <c r="B3610" s="18"/>
      <c r="C3610" s="18"/>
      <c r="D3610" s="213"/>
      <c r="E3610" s="237"/>
      <c r="F3610" s="18"/>
      <c r="G3610" s="18"/>
    </row>
    <row r="3611" spans="1:7" ht="22.5" customHeight="1">
      <c r="A3611" s="236"/>
      <c r="B3611" s="18"/>
      <c r="C3611" s="18"/>
      <c r="D3611" s="213"/>
      <c r="E3611" s="237"/>
      <c r="F3611" s="18"/>
      <c r="G3611" s="18"/>
    </row>
    <row r="3612" spans="1:7" ht="22.5" customHeight="1">
      <c r="A3612" s="236"/>
      <c r="B3612" s="18"/>
      <c r="C3612" s="18"/>
      <c r="D3612" s="213"/>
      <c r="E3612" s="237"/>
      <c r="F3612" s="18"/>
      <c r="G3612" s="18"/>
    </row>
    <row r="3613" spans="1:7" ht="22.5" customHeight="1">
      <c r="A3613" s="236"/>
      <c r="B3613" s="18"/>
      <c r="C3613" s="18"/>
      <c r="D3613" s="213"/>
      <c r="E3613" s="237"/>
      <c r="F3613" s="18"/>
      <c r="G3613" s="18"/>
    </row>
    <row r="3614" spans="1:7" ht="22.5" customHeight="1">
      <c r="A3614" s="236"/>
      <c r="B3614" s="18"/>
      <c r="C3614" s="18"/>
      <c r="D3614" s="213"/>
      <c r="E3614" s="237"/>
      <c r="F3614" s="18"/>
      <c r="G3614" s="18"/>
    </row>
    <row r="3615" spans="1:7" ht="22.5" customHeight="1">
      <c r="A3615" s="236"/>
      <c r="B3615" s="18"/>
      <c r="C3615" s="18"/>
      <c r="D3615" s="213"/>
      <c r="E3615" s="237"/>
      <c r="F3615" s="18"/>
      <c r="G3615" s="18"/>
    </row>
    <row r="3616" spans="1:7" ht="22.5" customHeight="1">
      <c r="A3616" s="236"/>
      <c r="B3616" s="18"/>
      <c r="C3616" s="18"/>
      <c r="D3616" s="213"/>
      <c r="E3616" s="237"/>
      <c r="F3616" s="18"/>
      <c r="G3616" s="18"/>
    </row>
    <row r="3617" spans="1:7" ht="22.5" customHeight="1">
      <c r="A3617" s="236"/>
      <c r="B3617" s="18"/>
      <c r="C3617" s="18"/>
      <c r="D3617" s="213"/>
      <c r="E3617" s="237"/>
      <c r="F3617" s="18"/>
      <c r="G3617" s="18"/>
    </row>
    <row r="3618" spans="1:7" ht="22.5" customHeight="1">
      <c r="A3618" s="236"/>
      <c r="B3618" s="18"/>
      <c r="C3618" s="18"/>
      <c r="D3618" s="213"/>
      <c r="E3618" s="237"/>
      <c r="F3618" s="18"/>
      <c r="G3618" s="18"/>
    </row>
    <row r="3619" spans="1:7" ht="22.5" customHeight="1">
      <c r="A3619" s="236"/>
      <c r="B3619" s="18"/>
      <c r="C3619" s="18"/>
      <c r="D3619" s="213"/>
      <c r="E3619" s="237"/>
      <c r="F3619" s="18"/>
      <c r="G3619" s="18"/>
    </row>
    <row r="3620" spans="1:7" ht="22.5" customHeight="1">
      <c r="A3620" s="236"/>
      <c r="B3620" s="18"/>
      <c r="C3620" s="18"/>
      <c r="D3620" s="213"/>
      <c r="E3620" s="237"/>
      <c r="F3620" s="18"/>
      <c r="G3620" s="18"/>
    </row>
    <row r="3621" spans="1:7" ht="22.5" customHeight="1">
      <c r="A3621" s="236"/>
      <c r="B3621" s="18"/>
      <c r="C3621" s="18"/>
      <c r="D3621" s="213"/>
      <c r="E3621" s="237"/>
      <c r="F3621" s="18"/>
      <c r="G3621" s="18"/>
    </row>
    <row r="3622" spans="1:7" ht="22.5" customHeight="1">
      <c r="A3622" s="236"/>
      <c r="B3622" s="18"/>
      <c r="C3622" s="18"/>
      <c r="D3622" s="213"/>
      <c r="E3622" s="237"/>
      <c r="F3622" s="18"/>
      <c r="G3622" s="18"/>
    </row>
    <row r="3623" spans="1:7" ht="22.5" customHeight="1">
      <c r="A3623" s="236"/>
      <c r="B3623" s="18"/>
      <c r="C3623" s="18"/>
      <c r="D3623" s="213"/>
      <c r="E3623" s="237"/>
      <c r="F3623" s="18"/>
      <c r="G3623" s="18"/>
    </row>
    <row r="3624" spans="1:7" ht="22.5" customHeight="1">
      <c r="A3624" s="236"/>
      <c r="B3624" s="18"/>
      <c r="C3624" s="18"/>
      <c r="D3624" s="213"/>
      <c r="E3624" s="237"/>
      <c r="F3624" s="18"/>
      <c r="G3624" s="18"/>
    </row>
    <row r="3625" spans="1:7" ht="22.5" customHeight="1">
      <c r="A3625" s="236"/>
      <c r="B3625" s="18"/>
      <c r="C3625" s="18"/>
      <c r="D3625" s="213"/>
      <c r="E3625" s="237"/>
      <c r="F3625" s="18"/>
      <c r="G3625" s="18"/>
    </row>
    <row r="3626" spans="1:7" ht="22.5" customHeight="1">
      <c r="A3626" s="236"/>
      <c r="B3626" s="18"/>
      <c r="C3626" s="18"/>
      <c r="D3626" s="213"/>
      <c r="E3626" s="237"/>
      <c r="F3626" s="18"/>
      <c r="G3626" s="18"/>
    </row>
    <row r="3627" spans="1:7" ht="22.5" customHeight="1">
      <c r="A3627" s="236"/>
      <c r="B3627" s="18"/>
      <c r="C3627" s="18"/>
      <c r="D3627" s="213"/>
      <c r="E3627" s="237"/>
      <c r="F3627" s="18"/>
      <c r="G3627" s="18"/>
    </row>
    <row r="3628" spans="1:7" ht="22.5" customHeight="1">
      <c r="A3628" s="236"/>
      <c r="B3628" s="18"/>
      <c r="C3628" s="18"/>
      <c r="D3628" s="213"/>
      <c r="E3628" s="237"/>
      <c r="F3628" s="18"/>
      <c r="G3628" s="18"/>
    </row>
    <row r="3629" spans="1:7" ht="22.5" customHeight="1">
      <c r="A3629" s="236"/>
      <c r="B3629" s="18"/>
      <c r="C3629" s="18"/>
      <c r="D3629" s="213"/>
      <c r="E3629" s="237"/>
      <c r="F3629" s="18"/>
      <c r="G3629" s="18"/>
    </row>
    <row r="3630" spans="1:7" ht="22.5" customHeight="1">
      <c r="A3630" s="236"/>
      <c r="B3630" s="18"/>
      <c r="C3630" s="18"/>
      <c r="D3630" s="213"/>
      <c r="E3630" s="237"/>
      <c r="F3630" s="18"/>
      <c r="G3630" s="18"/>
    </row>
    <row r="3631" spans="1:7" ht="22.5" customHeight="1">
      <c r="A3631" s="236"/>
      <c r="B3631" s="18"/>
      <c r="C3631" s="18"/>
      <c r="D3631" s="213"/>
      <c r="E3631" s="237"/>
      <c r="F3631" s="18"/>
      <c r="G3631" s="18"/>
    </row>
    <row r="3632" spans="1:7" ht="22.5" customHeight="1">
      <c r="A3632" s="236"/>
      <c r="B3632" s="18"/>
      <c r="C3632" s="18"/>
      <c r="D3632" s="213"/>
      <c r="E3632" s="237"/>
      <c r="F3632" s="18"/>
      <c r="G3632" s="18"/>
    </row>
    <row r="3633" spans="1:7" ht="22.5" customHeight="1">
      <c r="A3633" s="236"/>
      <c r="B3633" s="18"/>
      <c r="C3633" s="18"/>
      <c r="D3633" s="213"/>
      <c r="E3633" s="237"/>
      <c r="F3633" s="18"/>
      <c r="G3633" s="18"/>
    </row>
    <row r="3634" spans="1:7" ht="22.5" customHeight="1">
      <c r="A3634" s="236"/>
      <c r="B3634" s="18"/>
      <c r="C3634" s="18"/>
      <c r="D3634" s="213"/>
      <c r="E3634" s="237"/>
      <c r="F3634" s="18"/>
      <c r="G3634" s="18"/>
    </row>
    <row r="3635" spans="1:7" ht="22.5" customHeight="1">
      <c r="A3635" s="236"/>
      <c r="B3635" s="18"/>
      <c r="C3635" s="18"/>
      <c r="D3635" s="213"/>
      <c r="E3635" s="237"/>
      <c r="F3635" s="18"/>
      <c r="G3635" s="18"/>
    </row>
    <row r="3636" spans="1:7" ht="22.5" customHeight="1">
      <c r="A3636" s="236"/>
      <c r="B3636" s="18"/>
      <c r="C3636" s="18"/>
      <c r="D3636" s="213"/>
      <c r="E3636" s="237"/>
      <c r="F3636" s="18"/>
      <c r="G3636" s="18"/>
    </row>
    <row r="3637" spans="1:7" ht="22.5" customHeight="1">
      <c r="A3637" s="236"/>
      <c r="B3637" s="18"/>
      <c r="C3637" s="18"/>
      <c r="D3637" s="213"/>
      <c r="E3637" s="237"/>
      <c r="F3637" s="18"/>
      <c r="G3637" s="18"/>
    </row>
    <row r="3638" spans="1:7" ht="22.5" customHeight="1">
      <c r="A3638" s="236"/>
      <c r="B3638" s="18"/>
      <c r="C3638" s="18"/>
      <c r="D3638" s="213"/>
      <c r="E3638" s="237"/>
      <c r="F3638" s="18"/>
      <c r="G3638" s="18"/>
    </row>
    <row r="3639" spans="1:7" ht="22.5" customHeight="1">
      <c r="A3639" s="236"/>
      <c r="B3639" s="18"/>
      <c r="C3639" s="18"/>
      <c r="D3639" s="213"/>
      <c r="E3639" s="237"/>
      <c r="F3639" s="18"/>
      <c r="G3639" s="18"/>
    </row>
    <row r="3640" spans="1:7" ht="22.5" customHeight="1">
      <c r="A3640" s="236"/>
      <c r="B3640" s="18"/>
      <c r="C3640" s="18"/>
      <c r="D3640" s="213"/>
      <c r="E3640" s="237"/>
      <c r="F3640" s="18"/>
      <c r="G3640" s="18"/>
    </row>
    <row r="3641" spans="1:7" ht="22.5" customHeight="1">
      <c r="A3641" s="236"/>
      <c r="B3641" s="18"/>
      <c r="C3641" s="18"/>
      <c r="D3641" s="213"/>
      <c r="E3641" s="237"/>
      <c r="F3641" s="18"/>
      <c r="G3641" s="18"/>
    </row>
    <row r="3642" spans="1:7" ht="22.5" customHeight="1">
      <c r="A3642" s="236"/>
      <c r="B3642" s="18"/>
      <c r="C3642" s="18"/>
      <c r="D3642" s="213"/>
      <c r="E3642" s="237"/>
      <c r="F3642" s="18"/>
      <c r="G3642" s="18"/>
    </row>
    <row r="3643" spans="1:7" ht="22.5" customHeight="1">
      <c r="A3643" s="236"/>
      <c r="B3643" s="18"/>
      <c r="C3643" s="18"/>
      <c r="D3643" s="213"/>
      <c r="E3643" s="237"/>
      <c r="F3643" s="18"/>
      <c r="G3643" s="18"/>
    </row>
    <row r="3644" spans="1:7" ht="22.5" customHeight="1">
      <c r="A3644" s="236"/>
      <c r="B3644" s="18"/>
      <c r="C3644" s="18"/>
      <c r="D3644" s="213"/>
      <c r="E3644" s="237"/>
      <c r="F3644" s="18"/>
      <c r="G3644" s="18"/>
    </row>
    <row r="3645" spans="1:7" ht="22.5" customHeight="1">
      <c r="A3645" s="236"/>
      <c r="B3645" s="18"/>
      <c r="C3645" s="18"/>
      <c r="D3645" s="213"/>
      <c r="E3645" s="237"/>
      <c r="F3645" s="18"/>
      <c r="G3645" s="18"/>
    </row>
    <row r="3646" spans="1:7" ht="22.5" customHeight="1">
      <c r="A3646" s="236"/>
      <c r="B3646" s="18"/>
      <c r="C3646" s="18"/>
      <c r="D3646" s="213"/>
      <c r="E3646" s="237"/>
      <c r="F3646" s="18"/>
      <c r="G3646" s="18"/>
    </row>
    <row r="3647" spans="1:7" ht="22.5" customHeight="1">
      <c r="A3647" s="236"/>
      <c r="B3647" s="18"/>
      <c r="C3647" s="18"/>
      <c r="D3647" s="213"/>
      <c r="E3647" s="237"/>
      <c r="F3647" s="18"/>
      <c r="G3647" s="18"/>
    </row>
    <row r="3648" spans="1:7" ht="22.5" customHeight="1">
      <c r="A3648" s="236"/>
      <c r="B3648" s="18"/>
      <c r="C3648" s="18"/>
      <c r="D3648" s="213"/>
      <c r="E3648" s="237"/>
      <c r="F3648" s="18"/>
      <c r="G3648" s="18"/>
    </row>
    <row r="3649" spans="1:7" ht="22.5" customHeight="1">
      <c r="A3649" s="236"/>
      <c r="B3649" s="18"/>
      <c r="C3649" s="18"/>
      <c r="D3649" s="213"/>
      <c r="E3649" s="237"/>
      <c r="F3649" s="18"/>
      <c r="G3649" s="18"/>
    </row>
    <row r="3650" spans="1:7" ht="22.5" customHeight="1">
      <c r="A3650" s="236"/>
      <c r="B3650" s="18"/>
      <c r="C3650" s="18"/>
      <c r="D3650" s="213"/>
      <c r="E3650" s="237"/>
      <c r="F3650" s="18"/>
      <c r="G3650" s="18"/>
    </row>
    <row r="3651" spans="1:7" ht="22.5" customHeight="1">
      <c r="A3651" s="236"/>
      <c r="B3651" s="18"/>
      <c r="C3651" s="18"/>
      <c r="D3651" s="213"/>
      <c r="E3651" s="237"/>
      <c r="F3651" s="18"/>
      <c r="G3651" s="18"/>
    </row>
    <row r="3652" spans="1:7" ht="22.5" customHeight="1">
      <c r="A3652" s="236"/>
      <c r="B3652" s="18"/>
      <c r="C3652" s="18"/>
      <c r="D3652" s="213"/>
      <c r="E3652" s="237"/>
      <c r="F3652" s="18"/>
      <c r="G3652" s="18"/>
    </row>
    <row r="3653" spans="1:7" ht="22.5" customHeight="1">
      <c r="A3653" s="236"/>
      <c r="B3653" s="18"/>
      <c r="C3653" s="18"/>
      <c r="D3653" s="213"/>
      <c r="E3653" s="237"/>
      <c r="F3653" s="18"/>
      <c r="G3653" s="18"/>
    </row>
    <row r="3654" spans="1:7" ht="22.5" customHeight="1">
      <c r="A3654" s="236"/>
      <c r="B3654" s="18"/>
      <c r="C3654" s="18"/>
      <c r="D3654" s="213"/>
      <c r="E3654" s="237"/>
      <c r="F3654" s="18"/>
      <c r="G3654" s="18"/>
    </row>
    <row r="3655" spans="1:7" ht="22.5" customHeight="1">
      <c r="A3655" s="236"/>
      <c r="B3655" s="18"/>
      <c r="C3655" s="18"/>
      <c r="D3655" s="213"/>
      <c r="E3655" s="237"/>
      <c r="F3655" s="18"/>
      <c r="G3655" s="18"/>
    </row>
    <row r="3656" spans="1:7" ht="22.5" customHeight="1">
      <c r="A3656" s="236"/>
      <c r="B3656" s="18"/>
      <c r="C3656" s="18"/>
      <c r="D3656" s="213"/>
      <c r="E3656" s="237"/>
      <c r="F3656" s="18"/>
      <c r="G3656" s="18"/>
    </row>
    <row r="3657" spans="1:7" ht="22.5" customHeight="1">
      <c r="A3657" s="236"/>
      <c r="B3657" s="18"/>
      <c r="C3657" s="18"/>
      <c r="D3657" s="213"/>
      <c r="E3657" s="237"/>
      <c r="F3657" s="18"/>
      <c r="G3657" s="18"/>
    </row>
    <row r="3658" spans="1:7" ht="22.5" customHeight="1">
      <c r="A3658" s="236"/>
      <c r="B3658" s="18"/>
      <c r="C3658" s="18"/>
      <c r="D3658" s="213"/>
      <c r="E3658" s="237"/>
      <c r="F3658" s="18"/>
      <c r="G3658" s="18"/>
    </row>
    <row r="3659" spans="1:7" ht="22.5" customHeight="1">
      <c r="A3659" s="236"/>
      <c r="B3659" s="18"/>
      <c r="C3659" s="18"/>
      <c r="D3659" s="213"/>
      <c r="E3659" s="237"/>
      <c r="F3659" s="18"/>
      <c r="G3659" s="18"/>
    </row>
    <row r="3660" spans="1:7" ht="22.5" customHeight="1">
      <c r="A3660" s="236"/>
      <c r="B3660" s="18"/>
      <c r="C3660" s="18"/>
      <c r="D3660" s="213"/>
      <c r="E3660" s="237"/>
      <c r="F3660" s="18"/>
      <c r="G3660" s="18"/>
    </row>
    <row r="3661" spans="1:7" ht="22.5" customHeight="1">
      <c r="A3661" s="236"/>
      <c r="B3661" s="18"/>
      <c r="C3661" s="18"/>
      <c r="D3661" s="213"/>
      <c r="E3661" s="237"/>
      <c r="F3661" s="18"/>
      <c r="G3661" s="18"/>
    </row>
    <row r="3662" spans="1:7" ht="22.5" customHeight="1">
      <c r="A3662" s="236"/>
      <c r="B3662" s="18"/>
      <c r="C3662" s="18"/>
      <c r="D3662" s="213"/>
      <c r="E3662" s="237"/>
      <c r="F3662" s="18"/>
      <c r="G3662" s="18"/>
    </row>
    <row r="3663" spans="1:7" ht="22.5" customHeight="1">
      <c r="A3663" s="236"/>
      <c r="B3663" s="18"/>
      <c r="C3663" s="18"/>
      <c r="D3663" s="213"/>
      <c r="E3663" s="237"/>
      <c r="F3663" s="18"/>
      <c r="G3663" s="18"/>
    </row>
    <row r="3664" spans="1:7" ht="22.5" customHeight="1">
      <c r="A3664" s="236"/>
      <c r="B3664" s="18"/>
      <c r="C3664" s="18"/>
      <c r="D3664" s="213"/>
      <c r="E3664" s="237"/>
      <c r="F3664" s="18"/>
      <c r="G3664" s="18"/>
    </row>
    <row r="3665" spans="1:7" ht="22.5" customHeight="1">
      <c r="A3665" s="236"/>
      <c r="B3665" s="18"/>
      <c r="C3665" s="18"/>
      <c r="D3665" s="213"/>
      <c r="E3665" s="237"/>
      <c r="F3665" s="18"/>
      <c r="G3665" s="18"/>
    </row>
    <row r="3666" spans="1:7" ht="22.5" customHeight="1">
      <c r="A3666" s="236"/>
      <c r="B3666" s="18"/>
      <c r="C3666" s="18"/>
      <c r="D3666" s="213"/>
      <c r="E3666" s="237"/>
      <c r="F3666" s="18"/>
      <c r="G3666" s="18"/>
    </row>
    <row r="3667" spans="1:7" ht="22.5" customHeight="1">
      <c r="A3667" s="236"/>
      <c r="B3667" s="18"/>
      <c r="C3667" s="18"/>
      <c r="D3667" s="213"/>
      <c r="E3667" s="237"/>
      <c r="F3667" s="18"/>
      <c r="G3667" s="18"/>
    </row>
    <row r="3668" spans="1:7" ht="22.5" customHeight="1">
      <c r="A3668" s="236"/>
      <c r="B3668" s="18"/>
      <c r="C3668" s="18"/>
      <c r="D3668" s="213"/>
      <c r="E3668" s="237"/>
      <c r="F3668" s="18"/>
      <c r="G3668" s="18"/>
    </row>
    <row r="3669" spans="1:7" ht="22.5" customHeight="1">
      <c r="A3669" s="236"/>
      <c r="B3669" s="18"/>
      <c r="C3669" s="18"/>
      <c r="D3669" s="213"/>
      <c r="E3669" s="237"/>
      <c r="F3669" s="18"/>
      <c r="G3669" s="18"/>
    </row>
    <row r="3670" spans="1:7" ht="22.5" customHeight="1">
      <c r="A3670" s="236"/>
      <c r="B3670" s="18"/>
      <c r="C3670" s="18"/>
      <c r="D3670" s="213"/>
      <c r="E3670" s="237"/>
      <c r="F3670" s="18"/>
      <c r="G3670" s="18"/>
    </row>
    <row r="3671" spans="1:7" ht="22.5" customHeight="1">
      <c r="A3671" s="236"/>
      <c r="B3671" s="18"/>
      <c r="C3671" s="18"/>
      <c r="D3671" s="213"/>
      <c r="E3671" s="237"/>
      <c r="F3671" s="18"/>
      <c r="G3671" s="18"/>
    </row>
    <row r="3672" spans="1:7" ht="22.5" customHeight="1">
      <c r="A3672" s="236"/>
      <c r="B3672" s="18"/>
      <c r="C3672" s="18"/>
      <c r="D3672" s="213"/>
      <c r="E3672" s="237"/>
      <c r="F3672" s="18"/>
      <c r="G3672" s="18"/>
    </row>
    <row r="3673" spans="1:7" ht="22.5" customHeight="1">
      <c r="A3673" s="236"/>
      <c r="B3673" s="18"/>
      <c r="C3673" s="18"/>
      <c r="D3673" s="213"/>
      <c r="E3673" s="237"/>
      <c r="F3673" s="18"/>
      <c r="G3673" s="18"/>
    </row>
    <row r="3674" spans="1:7" ht="22.5" customHeight="1">
      <c r="A3674" s="236"/>
      <c r="B3674" s="18"/>
      <c r="C3674" s="18"/>
      <c r="D3674" s="213"/>
      <c r="E3674" s="237"/>
      <c r="F3674" s="18"/>
      <c r="G3674" s="18"/>
    </row>
    <row r="3675" spans="1:7" ht="22.5" customHeight="1">
      <c r="A3675" s="236"/>
      <c r="B3675" s="18"/>
      <c r="C3675" s="18"/>
      <c r="D3675" s="213"/>
      <c r="E3675" s="237"/>
      <c r="F3675" s="18"/>
      <c r="G3675" s="18"/>
    </row>
    <row r="3676" spans="1:7" ht="22.5" customHeight="1">
      <c r="A3676" s="236"/>
      <c r="B3676" s="18"/>
      <c r="C3676" s="18"/>
      <c r="D3676" s="213"/>
      <c r="E3676" s="237"/>
      <c r="F3676" s="18"/>
      <c r="G3676" s="18"/>
    </row>
    <row r="3677" spans="1:7" ht="22.5" customHeight="1">
      <c r="A3677" s="236"/>
      <c r="B3677" s="18"/>
      <c r="C3677" s="18"/>
      <c r="D3677" s="213"/>
      <c r="E3677" s="237"/>
      <c r="F3677" s="18"/>
      <c r="G3677" s="18"/>
    </row>
    <row r="3678" spans="1:7" ht="22.5" customHeight="1">
      <c r="A3678" s="236"/>
      <c r="B3678" s="18"/>
      <c r="C3678" s="18"/>
      <c r="D3678" s="213"/>
      <c r="E3678" s="237"/>
      <c r="F3678" s="18"/>
      <c r="G3678" s="18"/>
    </row>
    <row r="3679" spans="1:7" ht="22.5" customHeight="1">
      <c r="A3679" s="236"/>
      <c r="B3679" s="18"/>
      <c r="C3679" s="18"/>
      <c r="D3679" s="213"/>
      <c r="E3679" s="237"/>
      <c r="F3679" s="18"/>
      <c r="G3679" s="18"/>
    </row>
    <row r="3680" spans="1:7" ht="22.5" customHeight="1">
      <c r="A3680" s="236"/>
      <c r="B3680" s="18"/>
      <c r="C3680" s="18"/>
      <c r="D3680" s="213"/>
      <c r="E3680" s="237"/>
      <c r="F3680" s="18"/>
      <c r="G3680" s="18"/>
    </row>
    <row r="3681" spans="1:7" ht="22.5" customHeight="1">
      <c r="A3681" s="236"/>
      <c r="B3681" s="18"/>
      <c r="C3681" s="18"/>
      <c r="D3681" s="213"/>
      <c r="E3681" s="237"/>
      <c r="F3681" s="18"/>
      <c r="G3681" s="18"/>
    </row>
    <row r="3682" spans="1:7" ht="22.5" customHeight="1">
      <c r="A3682" s="236"/>
      <c r="B3682" s="18"/>
      <c r="C3682" s="18"/>
      <c r="D3682" s="213"/>
      <c r="E3682" s="237"/>
      <c r="F3682" s="18"/>
      <c r="G3682" s="18"/>
    </row>
    <row r="3683" spans="1:7" ht="22.5" customHeight="1">
      <c r="A3683" s="236"/>
      <c r="B3683" s="18"/>
      <c r="C3683" s="18"/>
      <c r="D3683" s="213"/>
      <c r="E3683" s="237"/>
      <c r="F3683" s="18"/>
      <c r="G3683" s="18"/>
    </row>
    <row r="3684" spans="1:7" ht="22.5" customHeight="1">
      <c r="A3684" s="236"/>
      <c r="B3684" s="18"/>
      <c r="C3684" s="18"/>
      <c r="D3684" s="213"/>
      <c r="E3684" s="237"/>
      <c r="F3684" s="18"/>
      <c r="G3684" s="18"/>
    </row>
    <row r="3685" spans="1:7" ht="22.5" customHeight="1">
      <c r="A3685" s="236"/>
      <c r="B3685" s="18"/>
      <c r="C3685" s="18"/>
      <c r="D3685" s="213"/>
      <c r="E3685" s="237"/>
      <c r="F3685" s="18"/>
      <c r="G3685" s="18"/>
    </row>
    <row r="3686" spans="1:7" ht="22.5" customHeight="1">
      <c r="A3686" s="236"/>
      <c r="B3686" s="18"/>
      <c r="C3686" s="18"/>
      <c r="D3686" s="213"/>
      <c r="E3686" s="237"/>
      <c r="F3686" s="18"/>
      <c r="G3686" s="18"/>
    </row>
    <row r="3687" spans="1:7" ht="22.5" customHeight="1">
      <c r="A3687" s="236"/>
      <c r="B3687" s="18"/>
      <c r="C3687" s="18"/>
      <c r="D3687" s="213"/>
      <c r="E3687" s="237"/>
      <c r="F3687" s="18"/>
      <c r="G3687" s="18"/>
    </row>
    <row r="3688" spans="1:7" ht="22.5" customHeight="1">
      <c r="A3688" s="236"/>
      <c r="B3688" s="18"/>
      <c r="C3688" s="18"/>
      <c r="D3688" s="213"/>
      <c r="E3688" s="237"/>
      <c r="F3688" s="18"/>
      <c r="G3688" s="18"/>
    </row>
    <row r="3689" spans="1:7" ht="22.5" customHeight="1">
      <c r="A3689" s="236"/>
      <c r="B3689" s="18"/>
      <c r="C3689" s="18"/>
      <c r="D3689" s="213"/>
      <c r="E3689" s="237"/>
      <c r="F3689" s="18"/>
      <c r="G3689" s="18"/>
    </row>
    <row r="3690" spans="1:7" ht="22.5" customHeight="1">
      <c r="A3690" s="236"/>
      <c r="B3690" s="18"/>
      <c r="C3690" s="18"/>
      <c r="D3690" s="213"/>
      <c r="E3690" s="237"/>
      <c r="F3690" s="18"/>
      <c r="G3690" s="18"/>
    </row>
    <row r="3691" spans="1:7" ht="22.5" customHeight="1">
      <c r="A3691" s="236"/>
      <c r="B3691" s="18"/>
      <c r="C3691" s="18"/>
      <c r="D3691" s="213"/>
      <c r="E3691" s="237"/>
      <c r="F3691" s="18"/>
      <c r="G3691" s="18"/>
    </row>
    <row r="3692" spans="1:7" ht="22.5" customHeight="1">
      <c r="A3692" s="236"/>
      <c r="B3692" s="18"/>
      <c r="C3692" s="18"/>
      <c r="D3692" s="213"/>
      <c r="E3692" s="237"/>
      <c r="F3692" s="18"/>
      <c r="G3692" s="18"/>
    </row>
    <row r="3693" spans="1:7" ht="22.5" customHeight="1">
      <c r="A3693" s="236"/>
      <c r="B3693" s="18"/>
      <c r="C3693" s="18"/>
      <c r="D3693" s="213"/>
      <c r="E3693" s="237"/>
      <c r="F3693" s="18"/>
      <c r="G3693" s="18"/>
    </row>
    <row r="3694" spans="1:7" ht="22.5" customHeight="1">
      <c r="A3694" s="236"/>
      <c r="B3694" s="18"/>
      <c r="C3694" s="18"/>
      <c r="D3694" s="213"/>
      <c r="E3694" s="237"/>
      <c r="F3694" s="18"/>
      <c r="G3694" s="18"/>
    </row>
    <row r="3695" spans="1:7" ht="22.5" customHeight="1">
      <c r="A3695" s="236"/>
      <c r="B3695" s="18"/>
      <c r="C3695" s="18"/>
      <c r="D3695" s="213"/>
      <c r="E3695" s="237"/>
      <c r="F3695" s="18"/>
      <c r="G3695" s="18"/>
    </row>
    <row r="3696" spans="1:7" ht="22.5" customHeight="1">
      <c r="A3696" s="236"/>
      <c r="B3696" s="18"/>
      <c r="C3696" s="18"/>
      <c r="D3696" s="213"/>
      <c r="E3696" s="237"/>
      <c r="F3696" s="18"/>
      <c r="G3696" s="18"/>
    </row>
    <row r="3697" spans="1:7" ht="22.5" customHeight="1">
      <c r="A3697" s="236"/>
      <c r="B3697" s="18"/>
      <c r="C3697" s="18"/>
      <c r="D3697" s="213"/>
      <c r="E3697" s="237"/>
      <c r="F3697" s="18"/>
      <c r="G3697" s="18"/>
    </row>
    <row r="3698" spans="1:7" ht="22.5" customHeight="1">
      <c r="A3698" s="236"/>
      <c r="B3698" s="18"/>
      <c r="C3698" s="18"/>
      <c r="D3698" s="213"/>
      <c r="E3698" s="237"/>
      <c r="F3698" s="18"/>
      <c r="G3698" s="18"/>
    </row>
    <row r="3699" spans="1:7" ht="22.5" customHeight="1">
      <c r="A3699" s="236"/>
      <c r="B3699" s="18"/>
      <c r="C3699" s="18"/>
      <c r="D3699" s="213"/>
      <c r="E3699" s="237"/>
      <c r="F3699" s="18"/>
      <c r="G3699" s="18"/>
    </row>
    <row r="3700" spans="1:7" ht="22.5" customHeight="1">
      <c r="A3700" s="236"/>
      <c r="B3700" s="18"/>
      <c r="C3700" s="18"/>
      <c r="D3700" s="213"/>
      <c r="E3700" s="237"/>
      <c r="F3700" s="18"/>
      <c r="G3700" s="18"/>
    </row>
    <row r="3701" spans="1:7" ht="22.5" customHeight="1">
      <c r="A3701" s="236"/>
      <c r="B3701" s="18"/>
      <c r="C3701" s="18"/>
      <c r="D3701" s="213"/>
      <c r="E3701" s="237"/>
      <c r="F3701" s="18"/>
      <c r="G3701" s="18"/>
    </row>
    <row r="3702" spans="1:7" ht="22.5" customHeight="1">
      <c r="A3702" s="236"/>
      <c r="B3702" s="18"/>
      <c r="C3702" s="18"/>
      <c r="D3702" s="213"/>
      <c r="E3702" s="237"/>
      <c r="F3702" s="18"/>
      <c r="G3702" s="18"/>
    </row>
    <row r="3703" spans="1:7" ht="22.5" customHeight="1">
      <c r="A3703" s="236"/>
      <c r="B3703" s="18"/>
      <c r="C3703" s="18"/>
      <c r="D3703" s="213"/>
      <c r="E3703" s="237"/>
      <c r="F3703" s="18"/>
      <c r="G3703" s="18"/>
    </row>
    <row r="3704" spans="1:7" ht="22.5" customHeight="1">
      <c r="A3704" s="236"/>
      <c r="B3704" s="18"/>
      <c r="C3704" s="18"/>
      <c r="D3704" s="213"/>
      <c r="E3704" s="237"/>
      <c r="F3704" s="18"/>
      <c r="G3704" s="18"/>
    </row>
    <row r="3705" spans="1:7" ht="22.5" customHeight="1">
      <c r="A3705" s="236"/>
      <c r="B3705" s="18"/>
      <c r="C3705" s="18"/>
      <c r="D3705" s="213"/>
      <c r="E3705" s="237"/>
      <c r="F3705" s="18"/>
      <c r="G3705" s="18"/>
    </row>
    <row r="3706" spans="1:7" ht="22.5" customHeight="1">
      <c r="A3706" s="236"/>
      <c r="B3706" s="18"/>
      <c r="C3706" s="18"/>
      <c r="D3706" s="213"/>
      <c r="E3706" s="237"/>
      <c r="F3706" s="18"/>
      <c r="G3706" s="18"/>
    </row>
    <row r="3707" spans="1:7" ht="22.5" customHeight="1">
      <c r="A3707" s="236"/>
      <c r="B3707" s="18"/>
      <c r="C3707" s="18"/>
      <c r="D3707" s="213"/>
      <c r="E3707" s="237"/>
      <c r="F3707" s="18"/>
      <c r="G3707" s="18"/>
    </row>
    <row r="3708" spans="1:7" ht="22.5" customHeight="1">
      <c r="A3708" s="236"/>
      <c r="B3708" s="18"/>
      <c r="C3708" s="18"/>
      <c r="D3708" s="213"/>
      <c r="E3708" s="237"/>
      <c r="F3708" s="18"/>
      <c r="G3708" s="18"/>
    </row>
    <row r="3709" spans="1:7" ht="22.5" customHeight="1">
      <c r="A3709" s="236"/>
      <c r="B3709" s="18"/>
      <c r="C3709" s="18"/>
      <c r="D3709" s="213"/>
      <c r="E3709" s="237"/>
      <c r="F3709" s="18"/>
      <c r="G3709" s="18"/>
    </row>
    <row r="3710" spans="1:7" ht="22.5" customHeight="1">
      <c r="A3710" s="236"/>
      <c r="B3710" s="18"/>
      <c r="C3710" s="18"/>
      <c r="D3710" s="213"/>
      <c r="E3710" s="237"/>
      <c r="F3710" s="18"/>
      <c r="G3710" s="18"/>
    </row>
    <row r="3711" spans="1:7" ht="22.5" customHeight="1">
      <c r="A3711" s="236"/>
      <c r="B3711" s="18"/>
      <c r="C3711" s="18"/>
      <c r="D3711" s="213"/>
      <c r="E3711" s="237"/>
      <c r="F3711" s="18"/>
      <c r="G3711" s="18"/>
    </row>
    <row r="3712" spans="1:7" ht="22.5" customHeight="1">
      <c r="A3712" s="236"/>
      <c r="B3712" s="18"/>
      <c r="C3712" s="18"/>
      <c r="D3712" s="213"/>
      <c r="E3712" s="237"/>
      <c r="F3712" s="18"/>
      <c r="G3712" s="18"/>
    </row>
    <row r="3713" spans="1:7" ht="22.5" customHeight="1">
      <c r="A3713" s="236"/>
      <c r="B3713" s="18"/>
      <c r="C3713" s="18"/>
      <c r="D3713" s="213"/>
      <c r="E3713" s="237"/>
      <c r="F3713" s="18"/>
      <c r="G3713" s="18"/>
    </row>
    <row r="3714" spans="1:7" ht="22.5" customHeight="1">
      <c r="A3714" s="236"/>
      <c r="B3714" s="18"/>
      <c r="C3714" s="18"/>
      <c r="D3714" s="213"/>
      <c r="E3714" s="237"/>
      <c r="F3714" s="18"/>
      <c r="G3714" s="18"/>
    </row>
    <row r="3715" spans="1:7" ht="22.5" customHeight="1">
      <c r="A3715" s="236"/>
      <c r="B3715" s="18"/>
      <c r="C3715" s="18"/>
      <c r="D3715" s="213"/>
      <c r="E3715" s="237"/>
      <c r="F3715" s="18"/>
      <c r="G3715" s="18"/>
    </row>
    <row r="3716" spans="1:7" ht="22.5" customHeight="1">
      <c r="A3716" s="236"/>
      <c r="B3716" s="18"/>
      <c r="C3716" s="18"/>
      <c r="D3716" s="213"/>
      <c r="E3716" s="237"/>
      <c r="F3716" s="18"/>
      <c r="G3716" s="18"/>
    </row>
    <row r="3717" spans="1:7" ht="22.5" customHeight="1">
      <c r="A3717" s="236"/>
      <c r="B3717" s="18"/>
      <c r="C3717" s="18"/>
      <c r="D3717" s="213"/>
      <c r="E3717" s="237"/>
      <c r="F3717" s="18"/>
      <c r="G3717" s="18"/>
    </row>
    <row r="3718" spans="1:7" ht="22.5" customHeight="1">
      <c r="A3718" s="236"/>
      <c r="B3718" s="18"/>
      <c r="C3718" s="18"/>
      <c r="D3718" s="213"/>
      <c r="E3718" s="237"/>
      <c r="F3718" s="18"/>
      <c r="G3718" s="18"/>
    </row>
    <row r="3719" spans="1:7" ht="22.5" customHeight="1">
      <c r="A3719" s="236"/>
      <c r="B3719" s="18"/>
      <c r="C3719" s="18"/>
      <c r="D3719" s="213"/>
      <c r="E3719" s="237"/>
      <c r="F3719" s="18"/>
      <c r="G3719" s="18"/>
    </row>
    <row r="3720" spans="1:7" ht="22.5" customHeight="1">
      <c r="A3720" s="236"/>
      <c r="B3720" s="18"/>
      <c r="C3720" s="18"/>
      <c r="D3720" s="213"/>
      <c r="E3720" s="237"/>
      <c r="F3720" s="18"/>
      <c r="G3720" s="18"/>
    </row>
    <row r="3721" spans="1:7" ht="22.5" customHeight="1">
      <c r="A3721" s="236"/>
      <c r="B3721" s="18"/>
      <c r="C3721" s="18"/>
      <c r="D3721" s="213"/>
      <c r="E3721" s="237"/>
      <c r="F3721" s="18"/>
      <c r="G3721" s="18"/>
    </row>
    <row r="3722" spans="1:7" ht="22.5" customHeight="1">
      <c r="A3722" s="236"/>
      <c r="B3722" s="18"/>
      <c r="C3722" s="18"/>
      <c r="D3722" s="213"/>
      <c r="E3722" s="237"/>
      <c r="F3722" s="18"/>
      <c r="G3722" s="18"/>
    </row>
    <row r="3723" spans="1:7" ht="22.5" customHeight="1">
      <c r="A3723" s="236"/>
      <c r="B3723" s="18"/>
      <c r="C3723" s="18"/>
      <c r="D3723" s="213"/>
      <c r="E3723" s="237"/>
      <c r="F3723" s="18"/>
      <c r="G3723" s="18"/>
    </row>
    <row r="3724" spans="1:7" ht="22.5" customHeight="1">
      <c r="A3724" s="236"/>
      <c r="B3724" s="18"/>
      <c r="C3724" s="18"/>
      <c r="D3724" s="213"/>
      <c r="E3724" s="237"/>
      <c r="F3724" s="18"/>
      <c r="G3724" s="18"/>
    </row>
    <row r="3725" spans="1:7" ht="22.5" customHeight="1">
      <c r="A3725" s="236"/>
      <c r="B3725" s="18"/>
      <c r="C3725" s="18"/>
      <c r="D3725" s="213"/>
      <c r="E3725" s="237"/>
      <c r="F3725" s="18"/>
      <c r="G3725" s="18"/>
    </row>
    <row r="3726" spans="1:7" ht="22.5" customHeight="1">
      <c r="A3726" s="236"/>
      <c r="B3726" s="18"/>
      <c r="C3726" s="18"/>
      <c r="D3726" s="213"/>
      <c r="E3726" s="237"/>
      <c r="F3726" s="18"/>
      <c r="G3726" s="18"/>
    </row>
    <row r="3727" spans="1:7" ht="22.5" customHeight="1">
      <c r="A3727" s="236"/>
      <c r="B3727" s="18"/>
      <c r="C3727" s="18"/>
      <c r="D3727" s="213"/>
      <c r="E3727" s="237"/>
      <c r="F3727" s="18"/>
      <c r="G3727" s="18"/>
    </row>
    <row r="3728" spans="1:7" ht="22.5" customHeight="1">
      <c r="A3728" s="236"/>
      <c r="B3728" s="18"/>
      <c r="C3728" s="18"/>
      <c r="D3728" s="213"/>
      <c r="E3728" s="237"/>
      <c r="F3728" s="18"/>
      <c r="G3728" s="18"/>
    </row>
    <row r="3729" spans="1:7" ht="22.5" customHeight="1">
      <c r="A3729" s="236"/>
      <c r="B3729" s="18"/>
      <c r="C3729" s="18"/>
      <c r="D3729" s="213"/>
      <c r="E3729" s="237"/>
      <c r="F3729" s="18"/>
      <c r="G3729" s="18"/>
    </row>
    <row r="3730" spans="1:7" ht="22.5" customHeight="1">
      <c r="A3730" s="236"/>
      <c r="B3730" s="18"/>
      <c r="C3730" s="18"/>
      <c r="D3730" s="213"/>
      <c r="E3730" s="237"/>
      <c r="F3730" s="18"/>
      <c r="G3730" s="18"/>
    </row>
    <row r="3731" spans="1:7" ht="22.5" customHeight="1">
      <c r="A3731" s="236"/>
      <c r="B3731" s="18"/>
      <c r="C3731" s="18"/>
      <c r="D3731" s="213"/>
      <c r="E3731" s="237"/>
      <c r="F3731" s="18"/>
      <c r="G3731" s="18"/>
    </row>
    <row r="3732" spans="1:7" ht="22.5" customHeight="1">
      <c r="A3732" s="236"/>
      <c r="B3732" s="18"/>
      <c r="C3732" s="18"/>
      <c r="D3732" s="213"/>
      <c r="E3732" s="237"/>
      <c r="F3732" s="18"/>
      <c r="G3732" s="18"/>
    </row>
    <row r="3733" spans="1:7" ht="22.5" customHeight="1">
      <c r="A3733" s="236"/>
      <c r="B3733" s="18"/>
      <c r="C3733" s="18"/>
      <c r="D3733" s="213"/>
      <c r="E3733" s="237"/>
      <c r="F3733" s="18"/>
      <c r="G3733" s="18"/>
    </row>
    <row r="3734" spans="1:7" ht="22.5" customHeight="1">
      <c r="A3734" s="236"/>
      <c r="B3734" s="18"/>
      <c r="C3734" s="18"/>
      <c r="D3734" s="213"/>
      <c r="E3734" s="237"/>
      <c r="F3734" s="18"/>
      <c r="G3734" s="18"/>
    </row>
    <row r="3735" spans="1:7" ht="22.5" customHeight="1">
      <c r="A3735" s="236"/>
      <c r="B3735" s="18"/>
      <c r="C3735" s="18"/>
      <c r="D3735" s="213"/>
      <c r="E3735" s="237"/>
      <c r="F3735" s="18"/>
      <c r="G3735" s="18"/>
    </row>
    <row r="3736" spans="1:7" ht="22.5" customHeight="1">
      <c r="A3736" s="236"/>
      <c r="B3736" s="18"/>
      <c r="C3736" s="18"/>
      <c r="D3736" s="213"/>
      <c r="E3736" s="237"/>
      <c r="F3736" s="18"/>
      <c r="G3736" s="18"/>
    </row>
    <row r="3737" spans="1:7" ht="22.5" customHeight="1">
      <c r="A3737" s="236"/>
      <c r="B3737" s="18"/>
      <c r="C3737" s="18"/>
      <c r="D3737" s="213"/>
      <c r="E3737" s="237"/>
      <c r="F3737" s="18"/>
      <c r="G3737" s="18"/>
    </row>
    <row r="3738" spans="1:7" ht="22.5" customHeight="1">
      <c r="A3738" s="236"/>
      <c r="B3738" s="18"/>
      <c r="C3738" s="18"/>
      <c r="D3738" s="213"/>
      <c r="E3738" s="237"/>
      <c r="F3738" s="18"/>
      <c r="G3738" s="18"/>
    </row>
    <row r="3739" spans="1:7" ht="22.5" customHeight="1">
      <c r="A3739" s="236"/>
      <c r="B3739" s="18"/>
      <c r="C3739" s="18"/>
      <c r="D3739" s="213"/>
      <c r="E3739" s="237"/>
      <c r="F3739" s="18"/>
      <c r="G3739" s="18"/>
    </row>
    <row r="3740" spans="1:7" ht="22.5" customHeight="1">
      <c r="A3740" s="236"/>
      <c r="B3740" s="18"/>
      <c r="C3740" s="18"/>
      <c r="D3740" s="213"/>
      <c r="E3740" s="237"/>
      <c r="F3740" s="18"/>
      <c r="G3740" s="18"/>
    </row>
    <row r="3741" spans="1:7" ht="22.5" customHeight="1">
      <c r="A3741" s="236"/>
      <c r="B3741" s="18"/>
      <c r="C3741" s="18"/>
      <c r="D3741" s="213"/>
      <c r="E3741" s="237"/>
      <c r="F3741" s="18"/>
      <c r="G3741" s="18"/>
    </row>
    <row r="3742" spans="1:7" ht="22.5" customHeight="1">
      <c r="A3742" s="236"/>
      <c r="B3742" s="18"/>
      <c r="C3742" s="18"/>
      <c r="D3742" s="213"/>
      <c r="E3742" s="237"/>
      <c r="F3742" s="18"/>
      <c r="G3742" s="18"/>
    </row>
    <row r="3743" spans="1:7" ht="22.5" customHeight="1">
      <c r="A3743" s="236"/>
      <c r="B3743" s="18"/>
      <c r="C3743" s="18"/>
      <c r="D3743" s="213"/>
      <c r="E3743" s="237"/>
      <c r="F3743" s="18"/>
      <c r="G3743" s="18"/>
    </row>
    <row r="3744" spans="1:7" ht="22.5" customHeight="1">
      <c r="A3744" s="236"/>
      <c r="B3744" s="18"/>
      <c r="C3744" s="18"/>
      <c r="D3744" s="213"/>
      <c r="E3744" s="237"/>
      <c r="F3744" s="18"/>
      <c r="G3744" s="18"/>
    </row>
    <row r="3745" spans="1:7" ht="22.5" customHeight="1">
      <c r="A3745" s="236"/>
      <c r="B3745" s="18"/>
      <c r="C3745" s="18"/>
      <c r="D3745" s="213"/>
      <c r="E3745" s="237"/>
      <c r="F3745" s="18"/>
      <c r="G3745" s="18"/>
    </row>
    <row r="3746" spans="1:7" ht="22.5" customHeight="1">
      <c r="A3746" s="236"/>
      <c r="B3746" s="18"/>
      <c r="C3746" s="18"/>
      <c r="D3746" s="213"/>
      <c r="E3746" s="237"/>
      <c r="F3746" s="18"/>
      <c r="G3746" s="18"/>
    </row>
    <row r="3747" spans="1:7" ht="22.5" customHeight="1">
      <c r="A3747" s="236"/>
      <c r="B3747" s="18"/>
      <c r="C3747" s="18"/>
      <c r="D3747" s="213"/>
      <c r="E3747" s="237"/>
      <c r="F3747" s="18"/>
      <c r="G3747" s="18"/>
    </row>
    <row r="3748" spans="1:7" ht="22.5" customHeight="1">
      <c r="A3748" s="236"/>
      <c r="B3748" s="18"/>
      <c r="C3748" s="18"/>
      <c r="D3748" s="213"/>
      <c r="E3748" s="237"/>
      <c r="F3748" s="18"/>
      <c r="G3748" s="18"/>
    </row>
    <row r="3749" spans="1:7" ht="22.5" customHeight="1">
      <c r="A3749" s="236"/>
      <c r="B3749" s="18"/>
      <c r="C3749" s="18"/>
      <c r="D3749" s="213"/>
      <c r="E3749" s="237"/>
      <c r="F3749" s="18"/>
      <c r="G3749" s="18"/>
    </row>
    <row r="3750" spans="1:7" ht="22.5" customHeight="1">
      <c r="A3750" s="236"/>
      <c r="B3750" s="18"/>
      <c r="C3750" s="18"/>
      <c r="D3750" s="213"/>
      <c r="E3750" s="237"/>
      <c r="F3750" s="18"/>
      <c r="G3750" s="18"/>
    </row>
    <row r="3751" spans="1:7" ht="22.5" customHeight="1">
      <c r="A3751" s="236"/>
      <c r="B3751" s="18"/>
      <c r="C3751" s="18"/>
      <c r="D3751" s="213"/>
      <c r="E3751" s="237"/>
      <c r="F3751" s="18"/>
      <c r="G3751" s="18"/>
    </row>
    <row r="3752" spans="1:7" ht="22.5" customHeight="1">
      <c r="A3752" s="236"/>
      <c r="B3752" s="18"/>
      <c r="C3752" s="18"/>
      <c r="D3752" s="213"/>
      <c r="E3752" s="237"/>
      <c r="F3752" s="18"/>
      <c r="G3752" s="18"/>
    </row>
    <row r="3753" spans="1:7" ht="22.5" customHeight="1">
      <c r="A3753" s="236"/>
      <c r="B3753" s="18"/>
      <c r="C3753" s="18"/>
      <c r="D3753" s="213"/>
      <c r="E3753" s="237"/>
      <c r="F3753" s="18"/>
      <c r="G3753" s="18"/>
    </row>
    <row r="3754" spans="1:7" ht="22.5" customHeight="1">
      <c r="A3754" s="236"/>
      <c r="B3754" s="18"/>
      <c r="C3754" s="18"/>
      <c r="D3754" s="213"/>
      <c r="E3754" s="237"/>
      <c r="F3754" s="18"/>
      <c r="G3754" s="18"/>
    </row>
    <row r="3755" spans="1:7" ht="22.5" customHeight="1">
      <c r="A3755" s="236"/>
      <c r="B3755" s="18"/>
      <c r="C3755" s="18"/>
      <c r="D3755" s="213"/>
      <c r="E3755" s="237"/>
      <c r="F3755" s="18"/>
      <c r="G3755" s="18"/>
    </row>
    <row r="3756" spans="1:7" ht="22.5" customHeight="1">
      <c r="A3756" s="236"/>
      <c r="B3756" s="18"/>
      <c r="C3756" s="18"/>
      <c r="D3756" s="213"/>
      <c r="E3756" s="237"/>
      <c r="F3756" s="18"/>
      <c r="G3756" s="18"/>
    </row>
    <row r="3757" spans="1:7" ht="22.5" customHeight="1">
      <c r="A3757" s="236"/>
      <c r="B3757" s="18"/>
      <c r="C3757" s="18"/>
      <c r="D3757" s="213"/>
      <c r="E3757" s="237"/>
      <c r="F3757" s="18"/>
      <c r="G3757" s="18"/>
    </row>
    <row r="3758" spans="1:7" ht="22.5" customHeight="1">
      <c r="A3758" s="236"/>
      <c r="B3758" s="18"/>
      <c r="C3758" s="18"/>
      <c r="D3758" s="213"/>
      <c r="E3758" s="237"/>
      <c r="F3758" s="18"/>
      <c r="G3758" s="18"/>
    </row>
    <row r="3759" spans="1:7" ht="22.5" customHeight="1">
      <c r="A3759" s="236"/>
      <c r="B3759" s="18"/>
      <c r="C3759" s="18"/>
      <c r="D3759" s="213"/>
      <c r="E3759" s="237"/>
      <c r="F3759" s="18"/>
      <c r="G3759" s="18"/>
    </row>
    <row r="3760" spans="1:7" ht="22.5" customHeight="1">
      <c r="A3760" s="236"/>
      <c r="B3760" s="18"/>
      <c r="C3760" s="18"/>
      <c r="D3760" s="213"/>
      <c r="E3760" s="237"/>
      <c r="F3760" s="18"/>
      <c r="G3760" s="18"/>
    </row>
    <row r="3761" spans="1:7" ht="22.5" customHeight="1">
      <c r="A3761" s="236"/>
      <c r="B3761" s="18"/>
      <c r="C3761" s="18"/>
      <c r="D3761" s="213"/>
      <c r="E3761" s="237"/>
      <c r="F3761" s="18"/>
      <c r="G3761" s="18"/>
    </row>
    <row r="3762" spans="1:7" ht="22.5" customHeight="1">
      <c r="A3762" s="236"/>
      <c r="B3762" s="18"/>
      <c r="C3762" s="18"/>
      <c r="D3762" s="213"/>
      <c r="E3762" s="237"/>
      <c r="F3762" s="18"/>
      <c r="G3762" s="18"/>
    </row>
    <row r="3763" spans="1:7" ht="22.5" customHeight="1">
      <c r="A3763" s="236"/>
      <c r="B3763" s="18"/>
      <c r="C3763" s="18"/>
      <c r="D3763" s="213"/>
      <c r="E3763" s="237"/>
      <c r="F3763" s="18"/>
      <c r="G3763" s="18"/>
    </row>
    <row r="3764" spans="1:7" ht="22.5" customHeight="1">
      <c r="A3764" s="236"/>
      <c r="B3764" s="18"/>
      <c r="C3764" s="18"/>
      <c r="D3764" s="213"/>
      <c r="E3764" s="237"/>
      <c r="F3764" s="18"/>
      <c r="G3764" s="18"/>
    </row>
    <row r="3765" spans="1:7" ht="22.5" customHeight="1">
      <c r="A3765" s="236"/>
      <c r="B3765" s="18"/>
      <c r="C3765" s="18"/>
      <c r="D3765" s="213"/>
      <c r="E3765" s="237"/>
      <c r="F3765" s="18"/>
      <c r="G3765" s="18"/>
    </row>
    <row r="3766" spans="1:7" ht="22.5" customHeight="1">
      <c r="A3766" s="236"/>
      <c r="B3766" s="18"/>
      <c r="C3766" s="18"/>
      <c r="D3766" s="213"/>
      <c r="E3766" s="237"/>
      <c r="F3766" s="18"/>
      <c r="G3766" s="18"/>
    </row>
    <row r="3767" spans="1:7" ht="22.5" customHeight="1">
      <c r="A3767" s="236"/>
      <c r="B3767" s="18"/>
      <c r="C3767" s="18"/>
      <c r="D3767" s="213"/>
      <c r="E3767" s="237"/>
      <c r="F3767" s="18"/>
      <c r="G3767" s="18"/>
    </row>
    <row r="3768" spans="1:7" ht="22.5" customHeight="1">
      <c r="A3768" s="236"/>
      <c r="B3768" s="18"/>
      <c r="C3768" s="18"/>
      <c r="D3768" s="213"/>
      <c r="E3768" s="237"/>
      <c r="F3768" s="18"/>
      <c r="G3768" s="18"/>
    </row>
    <row r="3769" spans="1:7" ht="22.5" customHeight="1">
      <c r="A3769" s="236"/>
      <c r="B3769" s="18"/>
      <c r="C3769" s="18"/>
      <c r="D3769" s="213"/>
      <c r="E3769" s="237"/>
      <c r="F3769" s="18"/>
      <c r="G3769" s="18"/>
    </row>
    <row r="3770" spans="1:7" ht="22.5" customHeight="1">
      <c r="A3770" s="236"/>
      <c r="B3770" s="18"/>
      <c r="C3770" s="18"/>
      <c r="D3770" s="213"/>
      <c r="E3770" s="237"/>
      <c r="F3770" s="18"/>
      <c r="G3770" s="18"/>
    </row>
    <row r="3771" spans="1:7" ht="22.5" customHeight="1">
      <c r="A3771" s="236"/>
      <c r="B3771" s="18"/>
      <c r="C3771" s="18"/>
      <c r="D3771" s="213"/>
      <c r="E3771" s="237"/>
      <c r="F3771" s="18"/>
      <c r="G3771" s="18"/>
    </row>
    <row r="3772" spans="1:7" ht="22.5" customHeight="1">
      <c r="A3772" s="236"/>
      <c r="B3772" s="18"/>
      <c r="C3772" s="18"/>
      <c r="D3772" s="213"/>
      <c r="E3772" s="237"/>
      <c r="F3772" s="18"/>
      <c r="G3772" s="18"/>
    </row>
    <row r="3773" spans="1:7" ht="22.5" customHeight="1">
      <c r="A3773" s="236"/>
      <c r="B3773" s="18"/>
      <c r="C3773" s="18"/>
      <c r="D3773" s="213"/>
      <c r="E3773" s="237"/>
      <c r="F3773" s="18"/>
      <c r="G3773" s="18"/>
    </row>
    <row r="3774" spans="1:7" ht="22.5" customHeight="1">
      <c r="A3774" s="236"/>
      <c r="B3774" s="18"/>
      <c r="C3774" s="18"/>
      <c r="D3774" s="213"/>
      <c r="E3774" s="237"/>
      <c r="F3774" s="18"/>
      <c r="G3774" s="18"/>
    </row>
    <row r="3775" spans="1:7" ht="22.5" customHeight="1">
      <c r="A3775" s="236"/>
      <c r="B3775" s="18"/>
      <c r="C3775" s="18"/>
      <c r="D3775" s="213"/>
      <c r="E3775" s="237"/>
      <c r="F3775" s="18"/>
      <c r="G3775" s="18"/>
    </row>
    <row r="3776" spans="1:7" ht="22.5" customHeight="1">
      <c r="A3776" s="236"/>
      <c r="B3776" s="18"/>
      <c r="C3776" s="18"/>
      <c r="D3776" s="213"/>
      <c r="E3776" s="237"/>
      <c r="F3776" s="18"/>
      <c r="G3776" s="18"/>
    </row>
    <row r="3777" spans="1:7" ht="22.5" customHeight="1">
      <c r="A3777" s="236"/>
      <c r="B3777" s="18"/>
      <c r="C3777" s="18"/>
      <c r="D3777" s="213"/>
      <c r="E3777" s="237"/>
      <c r="F3777" s="18"/>
      <c r="G3777" s="18"/>
    </row>
    <row r="3778" spans="1:7" ht="22.5" customHeight="1">
      <c r="A3778" s="236"/>
      <c r="B3778" s="18"/>
      <c r="C3778" s="18"/>
      <c r="D3778" s="213"/>
      <c r="E3778" s="237"/>
      <c r="F3778" s="18"/>
      <c r="G3778" s="18"/>
    </row>
    <row r="3779" spans="1:7" ht="22.5" customHeight="1">
      <c r="A3779" s="236"/>
      <c r="B3779" s="18"/>
      <c r="C3779" s="18"/>
      <c r="D3779" s="213"/>
      <c r="E3779" s="237"/>
      <c r="F3779" s="18"/>
      <c r="G3779" s="18"/>
    </row>
    <row r="3780" spans="1:7" ht="22.5" customHeight="1">
      <c r="A3780" s="236"/>
      <c r="B3780" s="18"/>
      <c r="C3780" s="18"/>
      <c r="D3780" s="213"/>
      <c r="E3780" s="237"/>
      <c r="F3780" s="18"/>
      <c r="G3780" s="18"/>
    </row>
    <row r="3781" spans="1:7" ht="22.5" customHeight="1">
      <c r="A3781" s="236"/>
      <c r="B3781" s="18"/>
      <c r="C3781" s="18"/>
      <c r="D3781" s="213"/>
      <c r="E3781" s="237"/>
      <c r="F3781" s="18"/>
      <c r="G3781" s="18"/>
    </row>
    <row r="3782" spans="1:7" ht="22.5" customHeight="1">
      <c r="A3782" s="236"/>
      <c r="B3782" s="18"/>
      <c r="C3782" s="18"/>
      <c r="D3782" s="213"/>
      <c r="E3782" s="237"/>
      <c r="F3782" s="18"/>
      <c r="G3782" s="18"/>
    </row>
    <row r="3783" spans="1:7" ht="22.5" customHeight="1">
      <c r="A3783" s="236"/>
      <c r="B3783" s="18"/>
      <c r="C3783" s="18"/>
      <c r="D3783" s="213"/>
      <c r="E3783" s="237"/>
      <c r="F3783" s="18"/>
      <c r="G3783" s="18"/>
    </row>
    <row r="3784" spans="1:7" ht="22.5" customHeight="1">
      <c r="A3784" s="236"/>
      <c r="B3784" s="18"/>
      <c r="C3784" s="18"/>
      <c r="D3784" s="213"/>
      <c r="E3784" s="237"/>
      <c r="F3784" s="18"/>
      <c r="G3784" s="18"/>
    </row>
    <row r="3785" spans="1:7" ht="22.5" customHeight="1">
      <c r="A3785" s="236"/>
      <c r="B3785" s="18"/>
      <c r="C3785" s="18"/>
      <c r="D3785" s="213"/>
      <c r="E3785" s="237"/>
      <c r="F3785" s="18"/>
      <c r="G3785" s="18"/>
    </row>
    <row r="3786" spans="1:7" ht="22.5" customHeight="1">
      <c r="A3786" s="236"/>
      <c r="B3786" s="18"/>
      <c r="C3786" s="18"/>
      <c r="D3786" s="213"/>
      <c r="E3786" s="237"/>
      <c r="F3786" s="18"/>
      <c r="G3786" s="18"/>
    </row>
    <row r="3787" spans="1:7" ht="22.5" customHeight="1">
      <c r="A3787" s="236"/>
      <c r="B3787" s="18"/>
      <c r="C3787" s="18"/>
      <c r="D3787" s="213"/>
      <c r="E3787" s="237"/>
      <c r="F3787" s="18"/>
      <c r="G3787" s="18"/>
    </row>
    <row r="3788" spans="1:7" ht="22.5" customHeight="1">
      <c r="A3788" s="236"/>
      <c r="B3788" s="18"/>
      <c r="C3788" s="18"/>
      <c r="D3788" s="213"/>
      <c r="E3788" s="237"/>
      <c r="F3788" s="18"/>
      <c r="G3788" s="18"/>
    </row>
    <row r="3789" spans="1:7" ht="22.5" customHeight="1">
      <c r="A3789" s="236"/>
      <c r="B3789" s="18"/>
      <c r="C3789" s="18"/>
      <c r="D3789" s="213"/>
      <c r="E3789" s="237"/>
      <c r="F3789" s="18"/>
      <c r="G3789" s="18"/>
    </row>
    <row r="3790" spans="1:7" ht="22.5" customHeight="1">
      <c r="A3790" s="236"/>
      <c r="B3790" s="18"/>
      <c r="C3790" s="18"/>
      <c r="D3790" s="213"/>
      <c r="E3790" s="237"/>
      <c r="F3790" s="18"/>
      <c r="G3790" s="18"/>
    </row>
    <row r="3791" spans="1:7" ht="22.5" customHeight="1">
      <c r="A3791" s="236"/>
      <c r="B3791" s="18"/>
      <c r="C3791" s="18"/>
      <c r="D3791" s="213"/>
      <c r="E3791" s="237"/>
      <c r="F3791" s="18"/>
      <c r="G3791" s="18"/>
    </row>
    <row r="3792" spans="1:7" ht="22.5" customHeight="1">
      <c r="A3792" s="236"/>
      <c r="B3792" s="18"/>
      <c r="C3792" s="18"/>
      <c r="D3792" s="213"/>
      <c r="E3792" s="237"/>
      <c r="F3792" s="18"/>
      <c r="G3792" s="18"/>
    </row>
    <row r="3793" spans="1:7" ht="22.5" customHeight="1">
      <c r="A3793" s="236"/>
      <c r="B3793" s="18"/>
      <c r="C3793" s="18"/>
      <c r="D3793" s="213"/>
      <c r="E3793" s="237"/>
      <c r="F3793" s="18"/>
      <c r="G3793" s="18"/>
    </row>
    <row r="3794" spans="1:7" ht="22.5" customHeight="1">
      <c r="A3794" s="236"/>
      <c r="B3794" s="18"/>
      <c r="C3794" s="18"/>
      <c r="D3794" s="213"/>
      <c r="E3794" s="237"/>
      <c r="F3794" s="18"/>
      <c r="G3794" s="18"/>
    </row>
    <row r="3795" spans="1:7" ht="22.5" customHeight="1">
      <c r="A3795" s="236"/>
      <c r="B3795" s="18"/>
      <c r="C3795" s="18"/>
      <c r="D3795" s="213"/>
      <c r="E3795" s="237"/>
      <c r="F3795" s="18"/>
      <c r="G3795" s="18"/>
    </row>
    <row r="3796" spans="1:7" ht="22.5" customHeight="1">
      <c r="A3796" s="236"/>
      <c r="B3796" s="18"/>
      <c r="C3796" s="18"/>
      <c r="D3796" s="213"/>
      <c r="E3796" s="237"/>
      <c r="F3796" s="18"/>
      <c r="G3796" s="18"/>
    </row>
    <row r="3797" spans="1:7" ht="22.5" customHeight="1">
      <c r="A3797" s="236"/>
      <c r="B3797" s="18"/>
      <c r="C3797" s="18"/>
      <c r="D3797" s="213"/>
      <c r="E3797" s="237"/>
      <c r="F3797" s="18"/>
      <c r="G3797" s="18"/>
    </row>
    <row r="3798" spans="1:7" ht="22.5" customHeight="1">
      <c r="A3798" s="236"/>
      <c r="B3798" s="18"/>
      <c r="C3798" s="18"/>
      <c r="D3798" s="213"/>
      <c r="E3798" s="237"/>
      <c r="F3798" s="18"/>
      <c r="G3798" s="18"/>
    </row>
    <row r="3799" spans="1:7" ht="22.5" customHeight="1">
      <c r="A3799" s="236"/>
      <c r="B3799" s="18"/>
      <c r="C3799" s="18"/>
      <c r="D3799" s="213"/>
      <c r="E3799" s="237"/>
      <c r="F3799" s="18"/>
      <c r="G3799" s="18"/>
    </row>
    <row r="3800" spans="1:7" ht="22.5" customHeight="1">
      <c r="A3800" s="236"/>
      <c r="B3800" s="18"/>
      <c r="C3800" s="18"/>
      <c r="D3800" s="213"/>
      <c r="E3800" s="237"/>
      <c r="F3800" s="18"/>
      <c r="G3800" s="18"/>
    </row>
    <row r="3801" spans="1:7" ht="22.5" customHeight="1">
      <c r="A3801" s="236"/>
      <c r="B3801" s="18"/>
      <c r="C3801" s="18"/>
      <c r="D3801" s="213"/>
      <c r="E3801" s="237"/>
      <c r="F3801" s="18"/>
      <c r="G3801" s="18"/>
    </row>
    <row r="3802" spans="1:7" ht="22.5" customHeight="1">
      <c r="A3802" s="236"/>
      <c r="B3802" s="18"/>
      <c r="C3802" s="18"/>
      <c r="D3802" s="213"/>
      <c r="E3802" s="237"/>
      <c r="F3802" s="18"/>
      <c r="G3802" s="18"/>
    </row>
    <row r="3803" spans="1:7" ht="22.5" customHeight="1">
      <c r="A3803" s="236"/>
      <c r="B3803" s="18"/>
      <c r="C3803" s="18"/>
      <c r="D3803" s="213"/>
      <c r="E3803" s="237"/>
      <c r="F3803" s="18"/>
      <c r="G3803" s="18"/>
    </row>
    <row r="3804" spans="1:7" ht="22.5" customHeight="1">
      <c r="A3804" s="236"/>
      <c r="B3804" s="18"/>
      <c r="C3804" s="18"/>
      <c r="D3804" s="213"/>
      <c r="E3804" s="237"/>
      <c r="F3804" s="18"/>
      <c r="G3804" s="18"/>
    </row>
    <row r="3805" spans="1:7" ht="22.5" customHeight="1">
      <c r="A3805" s="236"/>
      <c r="B3805" s="18"/>
      <c r="C3805" s="18"/>
      <c r="D3805" s="213"/>
      <c r="E3805" s="237"/>
      <c r="F3805" s="18"/>
      <c r="G3805" s="18"/>
    </row>
    <row r="3806" spans="1:7" ht="22.5" customHeight="1">
      <c r="A3806" s="236"/>
      <c r="B3806" s="18"/>
      <c r="C3806" s="18"/>
      <c r="D3806" s="213"/>
      <c r="E3806" s="237"/>
      <c r="F3806" s="18"/>
      <c r="G3806" s="18"/>
    </row>
    <row r="3807" spans="1:7" ht="22.5" customHeight="1">
      <c r="A3807" s="236"/>
      <c r="B3807" s="18"/>
      <c r="C3807" s="18"/>
      <c r="D3807" s="213"/>
      <c r="E3807" s="237"/>
      <c r="F3807" s="18"/>
      <c r="G3807" s="18"/>
    </row>
    <row r="3808" spans="1:7" ht="22.5" customHeight="1">
      <c r="A3808" s="236"/>
      <c r="B3808" s="18"/>
      <c r="C3808" s="18"/>
      <c r="D3808" s="213"/>
      <c r="E3808" s="237"/>
      <c r="F3808" s="18"/>
      <c r="G3808" s="18"/>
    </row>
    <row r="3809" spans="1:7" ht="22.5" customHeight="1">
      <c r="A3809" s="236"/>
      <c r="B3809" s="18"/>
      <c r="C3809" s="18"/>
      <c r="D3809" s="213"/>
      <c r="E3809" s="237"/>
      <c r="F3809" s="18"/>
      <c r="G3809" s="18"/>
    </row>
    <row r="3810" spans="1:7" ht="22.5" customHeight="1">
      <c r="A3810" s="236"/>
      <c r="B3810" s="18"/>
      <c r="C3810" s="18"/>
      <c r="D3810" s="213"/>
      <c r="E3810" s="237"/>
      <c r="F3810" s="18"/>
      <c r="G3810" s="18"/>
    </row>
    <row r="3811" spans="1:7" ht="22.5" customHeight="1">
      <c r="A3811" s="236"/>
      <c r="B3811" s="18"/>
      <c r="C3811" s="18"/>
      <c r="D3811" s="213"/>
      <c r="E3811" s="237"/>
      <c r="F3811" s="18"/>
      <c r="G3811" s="18"/>
    </row>
    <row r="3812" spans="1:7" ht="22.5" customHeight="1">
      <c r="A3812" s="236"/>
      <c r="B3812" s="18"/>
      <c r="C3812" s="18"/>
      <c r="D3812" s="213"/>
      <c r="E3812" s="237"/>
      <c r="F3812" s="18"/>
      <c r="G3812" s="18"/>
    </row>
    <row r="3813" spans="1:7" ht="22.5" customHeight="1">
      <c r="A3813" s="236"/>
      <c r="B3813" s="18"/>
      <c r="C3813" s="18"/>
      <c r="D3813" s="213"/>
      <c r="E3813" s="237"/>
      <c r="F3813" s="18"/>
      <c r="G3813" s="18"/>
    </row>
    <row r="3814" spans="1:7" ht="22.5" customHeight="1">
      <c r="A3814" s="236"/>
      <c r="B3814" s="18"/>
      <c r="C3814" s="18"/>
      <c r="D3814" s="213"/>
      <c r="E3814" s="237"/>
      <c r="F3814" s="18"/>
      <c r="G3814" s="18"/>
    </row>
    <row r="3815" spans="1:7" ht="22.5" customHeight="1">
      <c r="A3815" s="236"/>
      <c r="B3815" s="18"/>
      <c r="C3815" s="18"/>
      <c r="D3815" s="213"/>
      <c r="E3815" s="237"/>
      <c r="F3815" s="18"/>
      <c r="G3815" s="18"/>
    </row>
    <row r="3816" spans="1:7" ht="22.5" customHeight="1">
      <c r="A3816" s="236"/>
      <c r="B3816" s="18"/>
      <c r="C3816" s="18"/>
      <c r="D3816" s="213"/>
      <c r="E3816" s="237"/>
      <c r="F3816" s="18"/>
      <c r="G3816" s="18"/>
    </row>
    <row r="3817" spans="1:7" ht="22.5" customHeight="1">
      <c r="A3817" s="236"/>
      <c r="B3817" s="18"/>
      <c r="C3817" s="18"/>
      <c r="D3817" s="213"/>
      <c r="E3817" s="237"/>
      <c r="F3817" s="18"/>
      <c r="G3817" s="18"/>
    </row>
    <row r="3818" spans="1:7" ht="22.5" customHeight="1">
      <c r="A3818" s="236"/>
      <c r="B3818" s="18"/>
      <c r="C3818" s="18"/>
      <c r="D3818" s="213"/>
      <c r="E3818" s="237"/>
      <c r="F3818" s="18"/>
      <c r="G3818" s="18"/>
    </row>
    <row r="3819" spans="1:7" ht="22.5" customHeight="1">
      <c r="A3819" s="236"/>
      <c r="B3819" s="18"/>
      <c r="C3819" s="18"/>
      <c r="D3819" s="213"/>
      <c r="E3819" s="237"/>
      <c r="F3819" s="18"/>
      <c r="G3819" s="18"/>
    </row>
    <row r="3820" spans="1:7" ht="22.5" customHeight="1">
      <c r="A3820" s="236"/>
      <c r="B3820" s="18"/>
      <c r="C3820" s="18"/>
      <c r="D3820" s="213"/>
      <c r="E3820" s="237"/>
      <c r="F3820" s="18"/>
      <c r="G3820" s="18"/>
    </row>
    <row r="3821" spans="1:7" ht="22.5" customHeight="1">
      <c r="A3821" s="236"/>
      <c r="B3821" s="18"/>
      <c r="C3821" s="18"/>
      <c r="D3821" s="213"/>
      <c r="E3821" s="237"/>
      <c r="F3821" s="18"/>
      <c r="G3821" s="18"/>
    </row>
    <row r="3822" spans="1:7" ht="22.5" customHeight="1">
      <c r="A3822" s="236"/>
      <c r="B3822" s="18"/>
      <c r="C3822" s="18"/>
      <c r="D3822" s="213"/>
      <c r="E3822" s="237"/>
      <c r="F3822" s="18"/>
      <c r="G3822" s="18"/>
    </row>
    <row r="3823" spans="1:7" ht="22.5" customHeight="1">
      <c r="A3823" s="236"/>
      <c r="B3823" s="18"/>
      <c r="C3823" s="18"/>
      <c r="D3823" s="213"/>
      <c r="E3823" s="237"/>
      <c r="F3823" s="18"/>
      <c r="G3823" s="18"/>
    </row>
    <row r="3824" spans="1:7" ht="22.5" customHeight="1">
      <c r="A3824" s="236"/>
      <c r="B3824" s="18"/>
      <c r="C3824" s="18"/>
      <c r="D3824" s="213"/>
      <c r="E3824" s="237"/>
      <c r="F3824" s="18"/>
      <c r="G3824" s="18"/>
    </row>
    <row r="3825" spans="1:7" ht="22.5" customHeight="1">
      <c r="A3825" s="236"/>
      <c r="B3825" s="18"/>
      <c r="C3825" s="18"/>
      <c r="D3825" s="213"/>
      <c r="E3825" s="237"/>
      <c r="F3825" s="18"/>
      <c r="G3825" s="18"/>
    </row>
    <row r="3826" spans="1:7" ht="22.5" customHeight="1">
      <c r="A3826" s="236"/>
      <c r="B3826" s="18"/>
      <c r="C3826" s="18"/>
      <c r="D3826" s="213"/>
      <c r="E3826" s="237"/>
      <c r="F3826" s="18"/>
      <c r="G3826" s="18"/>
    </row>
    <row r="3827" spans="1:7" ht="22.5" customHeight="1">
      <c r="A3827" s="236"/>
      <c r="B3827" s="18"/>
      <c r="C3827" s="18"/>
      <c r="D3827" s="213"/>
      <c r="E3827" s="237"/>
      <c r="F3827" s="18"/>
      <c r="G3827" s="18"/>
    </row>
    <row r="3828" spans="1:7" ht="22.5" customHeight="1">
      <c r="A3828" s="236"/>
      <c r="B3828" s="18"/>
      <c r="C3828" s="18"/>
      <c r="D3828" s="213"/>
      <c r="E3828" s="237"/>
      <c r="F3828" s="18"/>
      <c r="G3828" s="18"/>
    </row>
    <row r="3829" spans="1:7" ht="22.5" customHeight="1">
      <c r="A3829" s="236"/>
      <c r="B3829" s="18"/>
      <c r="C3829" s="18"/>
      <c r="D3829" s="213"/>
      <c r="E3829" s="237"/>
      <c r="F3829" s="18"/>
      <c r="G3829" s="18"/>
    </row>
    <row r="3830" spans="1:7" ht="22.5" customHeight="1">
      <c r="A3830" s="236"/>
      <c r="B3830" s="18"/>
      <c r="C3830" s="18"/>
      <c r="D3830" s="213"/>
      <c r="E3830" s="237"/>
      <c r="F3830" s="18"/>
      <c r="G3830" s="18"/>
    </row>
    <row r="3831" spans="1:7" ht="22.5" customHeight="1">
      <c r="A3831" s="236"/>
      <c r="B3831" s="18"/>
      <c r="C3831" s="18"/>
      <c r="D3831" s="213"/>
      <c r="E3831" s="237"/>
      <c r="F3831" s="18"/>
      <c r="G3831" s="18"/>
    </row>
    <row r="3832" spans="1:7" ht="22.5" customHeight="1">
      <c r="A3832" s="236"/>
      <c r="B3832" s="18"/>
      <c r="C3832" s="18"/>
      <c r="D3832" s="213"/>
      <c r="E3832" s="237"/>
      <c r="F3832" s="18"/>
      <c r="G3832" s="18"/>
    </row>
    <row r="3833" spans="1:7" ht="22.5" customHeight="1">
      <c r="A3833" s="236"/>
      <c r="B3833" s="18"/>
      <c r="C3833" s="18"/>
      <c r="D3833" s="213"/>
      <c r="E3833" s="237"/>
      <c r="F3833" s="18"/>
      <c r="G3833" s="18"/>
    </row>
    <row r="3834" spans="1:7" ht="22.5" customHeight="1">
      <c r="A3834" s="236"/>
      <c r="B3834" s="18"/>
      <c r="C3834" s="18"/>
      <c r="D3834" s="213"/>
      <c r="E3834" s="237"/>
      <c r="F3834" s="18"/>
      <c r="G3834" s="18"/>
    </row>
    <row r="3835" spans="1:7" ht="22.5" customHeight="1">
      <c r="A3835" s="236"/>
      <c r="B3835" s="18"/>
      <c r="C3835" s="18"/>
      <c r="D3835" s="213"/>
      <c r="E3835" s="237"/>
      <c r="F3835" s="18"/>
      <c r="G3835" s="18"/>
    </row>
    <row r="3836" spans="1:7" ht="22.5" customHeight="1">
      <c r="A3836" s="236"/>
      <c r="B3836" s="18"/>
      <c r="C3836" s="18"/>
      <c r="D3836" s="213"/>
      <c r="E3836" s="237"/>
      <c r="F3836" s="18"/>
      <c r="G3836" s="18"/>
    </row>
    <row r="3837" spans="1:7" ht="22.5" customHeight="1">
      <c r="A3837" s="236"/>
      <c r="B3837" s="18"/>
      <c r="C3837" s="18"/>
      <c r="D3837" s="213"/>
      <c r="E3837" s="237"/>
      <c r="F3837" s="18"/>
      <c r="G3837" s="18"/>
    </row>
    <row r="3838" spans="1:7" ht="22.5" customHeight="1">
      <c r="A3838" s="236"/>
      <c r="B3838" s="18"/>
      <c r="C3838" s="18"/>
      <c r="D3838" s="213"/>
      <c r="E3838" s="237"/>
      <c r="F3838" s="18"/>
      <c r="G3838" s="18"/>
    </row>
    <row r="3839" spans="1:7" ht="22.5" customHeight="1">
      <c r="A3839" s="236"/>
      <c r="B3839" s="18"/>
      <c r="C3839" s="18"/>
      <c r="D3839" s="213"/>
      <c r="E3839" s="237"/>
      <c r="F3839" s="18"/>
      <c r="G3839" s="18"/>
    </row>
    <row r="3840" spans="1:7" ht="22.5" customHeight="1">
      <c r="A3840" s="236"/>
      <c r="B3840" s="18"/>
      <c r="C3840" s="18"/>
      <c r="D3840" s="213"/>
      <c r="E3840" s="237"/>
      <c r="F3840" s="18"/>
      <c r="G3840" s="18"/>
    </row>
    <row r="3841" spans="1:7" ht="22.5" customHeight="1">
      <c r="A3841" s="236"/>
      <c r="B3841" s="18"/>
      <c r="C3841" s="18"/>
      <c r="D3841" s="213"/>
      <c r="E3841" s="237"/>
      <c r="F3841" s="18"/>
      <c r="G3841" s="18"/>
    </row>
    <row r="3842" spans="1:7" ht="22.5" customHeight="1">
      <c r="A3842" s="236"/>
      <c r="B3842" s="18"/>
      <c r="C3842" s="18"/>
      <c r="D3842" s="213"/>
      <c r="E3842" s="237"/>
      <c r="F3842" s="18"/>
      <c r="G3842" s="18"/>
    </row>
    <row r="3843" spans="1:7" ht="22.5" customHeight="1">
      <c r="A3843" s="236"/>
      <c r="B3843" s="18"/>
      <c r="C3843" s="18"/>
      <c r="D3843" s="213"/>
      <c r="E3843" s="237"/>
      <c r="F3843" s="18"/>
      <c r="G3843" s="18"/>
    </row>
    <row r="3844" spans="1:7" ht="22.5" customHeight="1">
      <c r="A3844" s="236"/>
      <c r="B3844" s="18"/>
      <c r="C3844" s="18"/>
      <c r="D3844" s="213"/>
      <c r="E3844" s="237"/>
      <c r="F3844" s="18"/>
      <c r="G3844" s="18"/>
    </row>
    <row r="3845" spans="1:7" ht="22.5" customHeight="1">
      <c r="A3845" s="236"/>
      <c r="B3845" s="18"/>
      <c r="C3845" s="18"/>
      <c r="D3845" s="213"/>
      <c r="E3845" s="237"/>
      <c r="F3845" s="18"/>
      <c r="G3845" s="18"/>
    </row>
    <row r="3846" spans="1:7" ht="22.5" customHeight="1">
      <c r="A3846" s="236"/>
      <c r="B3846" s="18"/>
      <c r="C3846" s="18"/>
      <c r="D3846" s="213"/>
      <c r="E3846" s="237"/>
      <c r="F3846" s="18"/>
      <c r="G3846" s="18"/>
    </row>
    <row r="3847" spans="1:7" ht="22.5" customHeight="1">
      <c r="A3847" s="236"/>
      <c r="B3847" s="18"/>
      <c r="C3847" s="18"/>
      <c r="D3847" s="213"/>
      <c r="E3847" s="237"/>
      <c r="F3847" s="18"/>
      <c r="G3847" s="18"/>
    </row>
    <row r="3848" spans="1:7" ht="22.5" customHeight="1">
      <c r="A3848" s="236"/>
      <c r="B3848" s="18"/>
      <c r="C3848" s="18"/>
      <c r="D3848" s="213"/>
      <c r="E3848" s="237"/>
      <c r="F3848" s="18"/>
      <c r="G3848" s="18"/>
    </row>
    <row r="3849" spans="1:7" ht="22.5" customHeight="1">
      <c r="A3849" s="236"/>
      <c r="B3849" s="18"/>
      <c r="C3849" s="18"/>
      <c r="D3849" s="213"/>
      <c r="E3849" s="237"/>
      <c r="F3849" s="18"/>
      <c r="G3849" s="18"/>
    </row>
    <row r="3850" spans="1:7" ht="22.5" customHeight="1">
      <c r="A3850" s="236"/>
      <c r="B3850" s="18"/>
      <c r="C3850" s="18"/>
      <c r="D3850" s="213"/>
      <c r="E3850" s="237"/>
      <c r="F3850" s="18"/>
      <c r="G3850" s="18"/>
    </row>
    <row r="3851" spans="1:7" ht="22.5" customHeight="1">
      <c r="A3851" s="236"/>
      <c r="B3851" s="18"/>
      <c r="C3851" s="18"/>
      <c r="D3851" s="213"/>
      <c r="E3851" s="237"/>
      <c r="F3851" s="18"/>
      <c r="G3851" s="18"/>
    </row>
    <row r="3852" spans="1:7" ht="22.5" customHeight="1">
      <c r="A3852" s="236"/>
      <c r="B3852" s="18"/>
      <c r="C3852" s="18"/>
      <c r="D3852" s="213"/>
      <c r="E3852" s="237"/>
      <c r="F3852" s="18"/>
      <c r="G3852" s="18"/>
    </row>
    <row r="3853" spans="1:7" ht="22.5" customHeight="1">
      <c r="A3853" s="236"/>
      <c r="B3853" s="18"/>
      <c r="C3853" s="18"/>
      <c r="D3853" s="213"/>
      <c r="E3853" s="237"/>
      <c r="F3853" s="18"/>
      <c r="G3853" s="18"/>
    </row>
    <row r="3854" spans="1:7" ht="22.5" customHeight="1">
      <c r="A3854" s="236"/>
      <c r="B3854" s="18"/>
      <c r="C3854" s="18"/>
      <c r="D3854" s="213"/>
      <c r="E3854" s="237"/>
      <c r="F3854" s="18"/>
      <c r="G3854" s="18"/>
    </row>
    <row r="3855" spans="1:7" ht="22.5" customHeight="1">
      <c r="A3855" s="236"/>
      <c r="B3855" s="18"/>
      <c r="C3855" s="18"/>
      <c r="D3855" s="213"/>
      <c r="E3855" s="237"/>
      <c r="F3855" s="18"/>
      <c r="G3855" s="18"/>
    </row>
    <row r="3856" spans="1:7" ht="22.5" customHeight="1">
      <c r="A3856" s="236"/>
      <c r="B3856" s="18"/>
      <c r="C3856" s="18"/>
      <c r="D3856" s="213"/>
      <c r="E3856" s="237"/>
      <c r="F3856" s="18"/>
      <c r="G3856" s="18"/>
    </row>
    <row r="3857" spans="1:7" ht="22.5" customHeight="1">
      <c r="A3857" s="236"/>
      <c r="B3857" s="18"/>
      <c r="C3857" s="18"/>
      <c r="D3857" s="213"/>
      <c r="E3857" s="237"/>
      <c r="F3857" s="18"/>
      <c r="G3857" s="18"/>
    </row>
    <row r="3858" spans="1:7" ht="22.5" customHeight="1">
      <c r="A3858" s="236"/>
      <c r="B3858" s="18"/>
      <c r="C3858" s="18"/>
      <c r="D3858" s="213"/>
      <c r="E3858" s="237"/>
      <c r="F3858" s="18"/>
      <c r="G3858" s="18"/>
    </row>
    <row r="3859" spans="1:7" ht="22.5" customHeight="1">
      <c r="A3859" s="236"/>
      <c r="B3859" s="18"/>
      <c r="C3859" s="18"/>
      <c r="D3859" s="213"/>
      <c r="E3859" s="237"/>
      <c r="F3859" s="18"/>
      <c r="G3859" s="18"/>
    </row>
    <row r="3860" spans="1:7" ht="22.5" customHeight="1">
      <c r="A3860" s="236"/>
      <c r="B3860" s="18"/>
      <c r="C3860" s="18"/>
      <c r="D3860" s="213"/>
      <c r="E3860" s="237"/>
      <c r="F3860" s="18"/>
      <c r="G3860" s="18"/>
    </row>
    <row r="3861" spans="1:7" ht="22.5" customHeight="1">
      <c r="A3861" s="236"/>
      <c r="B3861" s="18"/>
      <c r="C3861" s="18"/>
      <c r="D3861" s="213"/>
      <c r="E3861" s="237"/>
      <c r="F3861" s="18"/>
      <c r="G3861" s="18"/>
    </row>
    <row r="3862" spans="1:7" ht="22.5" customHeight="1">
      <c r="A3862" s="236"/>
      <c r="B3862" s="18"/>
      <c r="C3862" s="18"/>
      <c r="D3862" s="213"/>
      <c r="E3862" s="237"/>
      <c r="F3862" s="18"/>
      <c r="G3862" s="18"/>
    </row>
    <row r="3863" spans="1:7" ht="22.5" customHeight="1">
      <c r="A3863" s="236"/>
      <c r="B3863" s="18"/>
      <c r="C3863" s="18"/>
      <c r="D3863" s="213"/>
      <c r="E3863" s="237"/>
      <c r="F3863" s="18"/>
      <c r="G3863" s="18"/>
    </row>
    <row r="3864" spans="1:7" ht="22.5" customHeight="1">
      <c r="A3864" s="236"/>
      <c r="B3864" s="18"/>
      <c r="C3864" s="18"/>
      <c r="D3864" s="213"/>
      <c r="E3864" s="237"/>
      <c r="F3864" s="18"/>
      <c r="G3864" s="18"/>
    </row>
    <row r="3865" spans="1:7" ht="22.5" customHeight="1">
      <c r="A3865" s="236"/>
      <c r="B3865" s="18"/>
      <c r="C3865" s="18"/>
      <c r="D3865" s="213"/>
      <c r="E3865" s="237"/>
      <c r="F3865" s="18"/>
      <c r="G3865" s="18"/>
    </row>
    <row r="3866" spans="1:7" ht="22.5" customHeight="1">
      <c r="A3866" s="236"/>
      <c r="B3866" s="18"/>
      <c r="C3866" s="18"/>
      <c r="D3866" s="213"/>
      <c r="E3866" s="237"/>
      <c r="F3866" s="18"/>
      <c r="G3866" s="18"/>
    </row>
    <row r="3867" spans="1:7" ht="22.5" customHeight="1">
      <c r="A3867" s="236"/>
      <c r="B3867" s="18"/>
      <c r="C3867" s="18"/>
      <c r="D3867" s="213"/>
      <c r="E3867" s="237"/>
      <c r="F3867" s="18"/>
      <c r="G3867" s="18"/>
    </row>
    <row r="3868" spans="1:7" ht="22.5" customHeight="1">
      <c r="A3868" s="236"/>
      <c r="B3868" s="18"/>
      <c r="C3868" s="18"/>
      <c r="D3868" s="213"/>
      <c r="E3868" s="237"/>
      <c r="F3868" s="18"/>
      <c r="G3868" s="18"/>
    </row>
    <row r="3869" spans="1:7" ht="22.5" customHeight="1">
      <c r="A3869" s="236"/>
      <c r="B3869" s="18"/>
      <c r="C3869" s="18"/>
      <c r="D3869" s="213"/>
      <c r="E3869" s="237"/>
      <c r="F3869" s="18"/>
      <c r="G3869" s="18"/>
    </row>
    <row r="3870" spans="1:7" ht="22.5" customHeight="1">
      <c r="A3870" s="236"/>
      <c r="B3870" s="18"/>
      <c r="C3870" s="18"/>
      <c r="D3870" s="213"/>
      <c r="E3870" s="237"/>
      <c r="F3870" s="18"/>
      <c r="G3870" s="18"/>
    </row>
    <row r="3871" spans="1:7" ht="22.5" customHeight="1">
      <c r="A3871" s="236"/>
      <c r="B3871" s="18"/>
      <c r="C3871" s="18"/>
      <c r="D3871" s="213"/>
      <c r="E3871" s="237"/>
      <c r="F3871" s="18"/>
      <c r="G3871" s="18"/>
    </row>
    <row r="3872" spans="1:7" ht="22.5" customHeight="1">
      <c r="A3872" s="236"/>
      <c r="B3872" s="18"/>
      <c r="C3872" s="18"/>
      <c r="D3872" s="213"/>
      <c r="E3872" s="237"/>
      <c r="F3872" s="18"/>
      <c r="G3872" s="18"/>
    </row>
    <row r="3873" spans="1:7" ht="22.5" customHeight="1">
      <c r="A3873" s="236"/>
      <c r="B3873" s="18"/>
      <c r="C3873" s="18"/>
      <c r="D3873" s="213"/>
      <c r="E3873" s="237"/>
      <c r="F3873" s="18"/>
      <c r="G3873" s="18"/>
    </row>
    <row r="3874" spans="1:7" ht="22.5" customHeight="1">
      <c r="A3874" s="236"/>
      <c r="B3874" s="18"/>
      <c r="C3874" s="18"/>
      <c r="D3874" s="213"/>
      <c r="E3874" s="237"/>
      <c r="F3874" s="18"/>
      <c r="G3874" s="18"/>
    </row>
    <row r="3875" spans="1:7" ht="22.5" customHeight="1">
      <c r="A3875" s="236"/>
      <c r="B3875" s="18"/>
      <c r="C3875" s="18"/>
      <c r="D3875" s="213"/>
      <c r="E3875" s="237"/>
      <c r="F3875" s="18"/>
      <c r="G3875" s="18"/>
    </row>
    <row r="3876" spans="1:7" ht="22.5" customHeight="1">
      <c r="A3876" s="236"/>
      <c r="B3876" s="18"/>
      <c r="C3876" s="18"/>
      <c r="D3876" s="213"/>
      <c r="E3876" s="237"/>
      <c r="F3876" s="18"/>
      <c r="G3876" s="18"/>
    </row>
    <row r="3877" spans="1:7" ht="22.5" customHeight="1">
      <c r="A3877" s="236"/>
      <c r="B3877" s="18"/>
      <c r="C3877" s="18"/>
      <c r="D3877" s="213"/>
      <c r="E3877" s="237"/>
      <c r="F3877" s="18"/>
      <c r="G3877" s="18"/>
    </row>
    <row r="3878" spans="1:7" ht="22.5" customHeight="1">
      <c r="A3878" s="236"/>
      <c r="B3878" s="18"/>
      <c r="C3878" s="18"/>
      <c r="D3878" s="213"/>
      <c r="E3878" s="237"/>
      <c r="F3878" s="18"/>
      <c r="G3878" s="18"/>
    </row>
    <row r="3879" spans="1:7" ht="22.5" customHeight="1">
      <c r="A3879" s="236"/>
      <c r="B3879" s="18"/>
      <c r="C3879" s="18"/>
      <c r="D3879" s="213"/>
      <c r="E3879" s="237"/>
      <c r="F3879" s="18"/>
      <c r="G3879" s="18"/>
    </row>
    <row r="3880" spans="1:7" ht="22.5" customHeight="1">
      <c r="A3880" s="236"/>
      <c r="B3880" s="18"/>
      <c r="C3880" s="18"/>
      <c r="D3880" s="213"/>
      <c r="E3880" s="237"/>
      <c r="F3880" s="18"/>
      <c r="G3880" s="18"/>
    </row>
    <row r="3881" spans="1:7" ht="22.5" customHeight="1">
      <c r="A3881" s="236"/>
      <c r="B3881" s="18"/>
      <c r="C3881" s="18"/>
      <c r="D3881" s="213"/>
      <c r="E3881" s="237"/>
      <c r="F3881" s="18"/>
      <c r="G3881" s="18"/>
    </row>
    <row r="3882" spans="1:7" ht="22.5" customHeight="1">
      <c r="A3882" s="236"/>
      <c r="B3882" s="18"/>
      <c r="C3882" s="18"/>
      <c r="D3882" s="213"/>
      <c r="E3882" s="237"/>
      <c r="F3882" s="18"/>
      <c r="G3882" s="18"/>
    </row>
    <row r="3883" spans="1:7" ht="22.5" customHeight="1">
      <c r="A3883" s="236"/>
      <c r="B3883" s="18"/>
      <c r="C3883" s="18"/>
      <c r="D3883" s="213"/>
      <c r="E3883" s="237"/>
      <c r="F3883" s="18"/>
      <c r="G3883" s="18"/>
    </row>
    <row r="3884" spans="1:7" ht="22.5" customHeight="1">
      <c r="A3884" s="236"/>
      <c r="B3884" s="18"/>
      <c r="C3884" s="18"/>
      <c r="D3884" s="213"/>
      <c r="E3884" s="237"/>
      <c r="F3884" s="18"/>
      <c r="G3884" s="18"/>
    </row>
    <row r="3885" spans="1:7" ht="22.5" customHeight="1">
      <c r="A3885" s="236"/>
      <c r="B3885" s="18"/>
      <c r="C3885" s="18"/>
      <c r="D3885" s="213"/>
      <c r="E3885" s="237"/>
      <c r="F3885" s="18"/>
      <c r="G3885" s="18"/>
    </row>
    <row r="3886" spans="1:7" ht="22.5" customHeight="1">
      <c r="A3886" s="236"/>
      <c r="B3886" s="18"/>
      <c r="C3886" s="18"/>
      <c r="D3886" s="213"/>
      <c r="E3886" s="237"/>
      <c r="F3886" s="18"/>
      <c r="G3886" s="18"/>
    </row>
    <row r="3887" spans="1:7" ht="22.5" customHeight="1">
      <c r="A3887" s="236"/>
      <c r="B3887" s="18"/>
      <c r="C3887" s="18"/>
      <c r="D3887" s="213"/>
      <c r="E3887" s="237"/>
      <c r="F3887" s="18"/>
      <c r="G3887" s="18"/>
    </row>
    <row r="3888" spans="1:7" ht="22.5" customHeight="1">
      <c r="A3888" s="236"/>
      <c r="B3888" s="18"/>
      <c r="C3888" s="18"/>
      <c r="D3888" s="213"/>
      <c r="E3888" s="237"/>
      <c r="F3888" s="18"/>
      <c r="G3888" s="18"/>
    </row>
    <row r="3889" spans="1:7" ht="22.5" customHeight="1">
      <c r="A3889" s="236"/>
      <c r="B3889" s="18"/>
      <c r="C3889" s="18"/>
      <c r="D3889" s="213"/>
      <c r="E3889" s="237"/>
      <c r="F3889" s="18"/>
      <c r="G3889" s="18"/>
    </row>
    <row r="3890" spans="1:7" ht="22.5" customHeight="1">
      <c r="A3890" s="236"/>
      <c r="B3890" s="18"/>
      <c r="C3890" s="18"/>
      <c r="D3890" s="213"/>
      <c r="E3890" s="237"/>
      <c r="F3890" s="18"/>
      <c r="G3890" s="18"/>
    </row>
    <row r="3891" spans="1:7" ht="22.5" customHeight="1">
      <c r="A3891" s="236"/>
      <c r="B3891" s="18"/>
      <c r="C3891" s="18"/>
      <c r="D3891" s="213"/>
      <c r="E3891" s="237"/>
      <c r="F3891" s="18"/>
      <c r="G3891" s="18"/>
    </row>
    <row r="3892" spans="1:7" ht="22.5" customHeight="1">
      <c r="A3892" s="236"/>
      <c r="B3892" s="18"/>
      <c r="C3892" s="18"/>
      <c r="D3892" s="213"/>
      <c r="E3892" s="237"/>
      <c r="F3892" s="18"/>
      <c r="G3892" s="18"/>
    </row>
    <row r="3893" spans="1:7" ht="22.5" customHeight="1">
      <c r="A3893" s="236"/>
      <c r="B3893" s="18"/>
      <c r="C3893" s="18"/>
      <c r="D3893" s="213"/>
      <c r="E3893" s="237"/>
      <c r="F3893" s="18"/>
      <c r="G3893" s="18"/>
    </row>
    <row r="3894" spans="1:7" ht="22.5" customHeight="1">
      <c r="A3894" s="236"/>
      <c r="B3894" s="18"/>
      <c r="C3894" s="18"/>
      <c r="D3894" s="213"/>
      <c r="E3894" s="237"/>
      <c r="F3894" s="18"/>
      <c r="G3894" s="18"/>
    </row>
    <row r="3895" spans="1:7" ht="22.5" customHeight="1">
      <c r="A3895" s="236"/>
      <c r="B3895" s="18"/>
      <c r="C3895" s="18"/>
      <c r="D3895" s="213"/>
      <c r="E3895" s="237"/>
      <c r="F3895" s="18"/>
      <c r="G3895" s="18"/>
    </row>
    <row r="3896" spans="1:7" ht="22.5" customHeight="1">
      <c r="A3896" s="236"/>
      <c r="B3896" s="18"/>
      <c r="C3896" s="18"/>
      <c r="D3896" s="213"/>
      <c r="E3896" s="237"/>
      <c r="F3896" s="18"/>
      <c r="G3896" s="18"/>
    </row>
    <row r="3897" spans="1:7" ht="22.5" customHeight="1">
      <c r="A3897" s="236"/>
      <c r="B3897" s="18"/>
      <c r="C3897" s="18"/>
      <c r="D3897" s="213"/>
      <c r="E3897" s="237"/>
      <c r="F3897" s="18"/>
      <c r="G3897" s="18"/>
    </row>
    <row r="3898" spans="1:7" ht="22.5" customHeight="1">
      <c r="A3898" s="236"/>
      <c r="B3898" s="18"/>
      <c r="C3898" s="18"/>
      <c r="D3898" s="213"/>
      <c r="E3898" s="237"/>
      <c r="F3898" s="18"/>
      <c r="G3898" s="18"/>
    </row>
    <row r="3899" spans="1:7" ht="22.5" customHeight="1">
      <c r="A3899" s="236"/>
      <c r="B3899" s="18"/>
      <c r="C3899" s="18"/>
      <c r="D3899" s="213"/>
      <c r="E3899" s="237"/>
      <c r="F3899" s="18"/>
      <c r="G3899" s="18"/>
    </row>
    <row r="3900" spans="1:7" ht="22.5" customHeight="1">
      <c r="A3900" s="236"/>
      <c r="B3900" s="18"/>
      <c r="C3900" s="18"/>
      <c r="D3900" s="213"/>
      <c r="E3900" s="237"/>
      <c r="F3900" s="18"/>
      <c r="G3900" s="18"/>
    </row>
    <row r="3901" spans="1:7" ht="22.5" customHeight="1">
      <c r="A3901" s="236"/>
      <c r="B3901" s="18"/>
      <c r="C3901" s="18"/>
      <c r="D3901" s="213"/>
      <c r="E3901" s="237"/>
      <c r="F3901" s="18"/>
      <c r="G3901" s="18"/>
    </row>
    <row r="3902" spans="1:7" ht="22.5" customHeight="1">
      <c r="A3902" s="236"/>
      <c r="B3902" s="18"/>
      <c r="C3902" s="18"/>
      <c r="D3902" s="213"/>
      <c r="E3902" s="237"/>
      <c r="F3902" s="18"/>
      <c r="G3902" s="18"/>
    </row>
    <row r="3903" spans="1:7" ht="22.5" customHeight="1">
      <c r="A3903" s="236"/>
      <c r="B3903" s="18"/>
      <c r="C3903" s="18"/>
      <c r="D3903" s="213"/>
      <c r="E3903" s="237"/>
      <c r="F3903" s="18"/>
      <c r="G3903" s="18"/>
    </row>
    <row r="3904" spans="1:7" ht="22.5" customHeight="1">
      <c r="A3904" s="236"/>
      <c r="B3904" s="18"/>
      <c r="C3904" s="18"/>
      <c r="D3904" s="213"/>
      <c r="E3904" s="237"/>
      <c r="F3904" s="18"/>
      <c r="G3904" s="18"/>
    </row>
    <row r="3905" spans="1:7" ht="22.5" customHeight="1">
      <c r="A3905" s="236"/>
      <c r="B3905" s="18"/>
      <c r="C3905" s="18"/>
      <c r="D3905" s="213"/>
      <c r="E3905" s="237"/>
      <c r="F3905" s="18"/>
      <c r="G3905" s="18"/>
    </row>
    <row r="3906" spans="1:7" ht="22.5" customHeight="1">
      <c r="A3906" s="236"/>
      <c r="B3906" s="18"/>
      <c r="C3906" s="18"/>
      <c r="D3906" s="213"/>
      <c r="E3906" s="237"/>
      <c r="F3906" s="18"/>
      <c r="G3906" s="18"/>
    </row>
    <row r="3907" spans="1:7" ht="22.5" customHeight="1">
      <c r="A3907" s="236"/>
      <c r="B3907" s="18"/>
      <c r="C3907" s="18"/>
      <c r="D3907" s="213"/>
      <c r="E3907" s="237"/>
      <c r="F3907" s="18"/>
      <c r="G3907" s="18"/>
    </row>
    <row r="3908" spans="1:7" ht="22.5" customHeight="1">
      <c r="A3908" s="236"/>
      <c r="B3908" s="18"/>
      <c r="C3908" s="18"/>
      <c r="D3908" s="213"/>
      <c r="E3908" s="237"/>
      <c r="F3908" s="18"/>
      <c r="G3908" s="18"/>
    </row>
    <row r="3909" spans="1:7" ht="22.5" customHeight="1">
      <c r="A3909" s="236"/>
      <c r="B3909" s="18"/>
      <c r="C3909" s="18"/>
      <c r="D3909" s="213"/>
      <c r="E3909" s="237"/>
      <c r="F3909" s="18"/>
      <c r="G3909" s="18"/>
    </row>
    <row r="3910" spans="1:7" ht="22.5" customHeight="1">
      <c r="A3910" s="236"/>
      <c r="B3910" s="18"/>
      <c r="C3910" s="18"/>
      <c r="D3910" s="213"/>
      <c r="E3910" s="237"/>
      <c r="F3910" s="18"/>
      <c r="G3910" s="18"/>
    </row>
    <row r="3911" spans="1:7" ht="22.5" customHeight="1">
      <c r="A3911" s="236"/>
      <c r="B3911" s="18"/>
      <c r="C3911" s="18"/>
      <c r="D3911" s="213"/>
      <c r="E3911" s="237"/>
      <c r="F3911" s="18"/>
      <c r="G3911" s="18"/>
    </row>
    <row r="3912" spans="1:7" ht="22.5" customHeight="1">
      <c r="A3912" s="236"/>
      <c r="B3912" s="18"/>
      <c r="C3912" s="18"/>
      <c r="D3912" s="213"/>
      <c r="E3912" s="237"/>
      <c r="F3912" s="18"/>
      <c r="G3912" s="18"/>
    </row>
    <row r="3913" spans="1:7" ht="22.5" customHeight="1">
      <c r="A3913" s="236"/>
      <c r="B3913" s="18"/>
      <c r="C3913" s="18"/>
      <c r="D3913" s="213"/>
      <c r="E3913" s="237"/>
      <c r="F3913" s="18"/>
      <c r="G3913" s="18"/>
    </row>
    <row r="3914" spans="1:7" ht="22.5" customHeight="1">
      <c r="A3914" s="236"/>
      <c r="B3914" s="18"/>
      <c r="C3914" s="18"/>
      <c r="D3914" s="213"/>
      <c r="E3914" s="237"/>
      <c r="F3914" s="18"/>
      <c r="G3914" s="18"/>
    </row>
    <row r="3915" spans="1:7" ht="22.5" customHeight="1">
      <c r="A3915" s="236"/>
      <c r="B3915" s="18"/>
      <c r="C3915" s="18"/>
      <c r="D3915" s="213"/>
      <c r="E3915" s="237"/>
      <c r="F3915" s="18"/>
      <c r="G3915" s="18"/>
    </row>
    <row r="3916" spans="1:7" ht="22.5" customHeight="1">
      <c r="A3916" s="236"/>
      <c r="B3916" s="18"/>
      <c r="C3916" s="18"/>
      <c r="D3916" s="213"/>
      <c r="E3916" s="237"/>
      <c r="F3916" s="18"/>
      <c r="G3916" s="18"/>
    </row>
    <row r="3917" spans="1:7" ht="22.5" customHeight="1">
      <c r="A3917" s="236"/>
      <c r="B3917" s="18"/>
      <c r="C3917" s="18"/>
      <c r="D3917" s="213"/>
      <c r="E3917" s="237"/>
      <c r="F3917" s="18"/>
      <c r="G3917" s="18"/>
    </row>
    <row r="3918" spans="1:7" ht="22.5" customHeight="1">
      <c r="A3918" s="236"/>
      <c r="B3918" s="18"/>
      <c r="C3918" s="18"/>
      <c r="D3918" s="213"/>
      <c r="E3918" s="237"/>
      <c r="F3918" s="18"/>
      <c r="G3918" s="18"/>
    </row>
    <row r="3919" spans="1:7" ht="22.5" customHeight="1">
      <c r="A3919" s="236"/>
      <c r="B3919" s="18"/>
      <c r="C3919" s="18"/>
      <c r="D3919" s="213"/>
      <c r="E3919" s="237"/>
      <c r="F3919" s="18"/>
      <c r="G3919" s="18"/>
    </row>
    <row r="3920" spans="1:7" ht="22.5" customHeight="1">
      <c r="A3920" s="236"/>
      <c r="B3920" s="18"/>
      <c r="C3920" s="18"/>
      <c r="D3920" s="213"/>
      <c r="E3920" s="237"/>
      <c r="F3920" s="18"/>
      <c r="G3920" s="18"/>
    </row>
    <row r="3921" spans="1:7" ht="22.5" customHeight="1">
      <c r="A3921" s="236"/>
      <c r="B3921" s="18"/>
      <c r="C3921" s="18"/>
      <c r="D3921" s="213"/>
      <c r="E3921" s="237"/>
      <c r="F3921" s="18"/>
      <c r="G3921" s="18"/>
    </row>
    <row r="3922" spans="1:7" ht="22.5" customHeight="1">
      <c r="A3922" s="236"/>
      <c r="B3922" s="18"/>
      <c r="C3922" s="18"/>
      <c r="D3922" s="213"/>
      <c r="E3922" s="237"/>
      <c r="F3922" s="18"/>
      <c r="G3922" s="18"/>
    </row>
    <row r="3923" spans="1:7" ht="22.5" customHeight="1">
      <c r="A3923" s="236"/>
      <c r="B3923" s="18"/>
      <c r="C3923" s="18"/>
      <c r="D3923" s="213"/>
      <c r="E3923" s="237"/>
      <c r="F3923" s="18"/>
      <c r="G3923" s="18"/>
    </row>
    <row r="3924" spans="1:7" ht="22.5" customHeight="1">
      <c r="A3924" s="236"/>
      <c r="B3924" s="18"/>
      <c r="C3924" s="18"/>
      <c r="D3924" s="213"/>
      <c r="E3924" s="237"/>
      <c r="F3924" s="18"/>
      <c r="G3924" s="18"/>
    </row>
    <row r="3925" spans="1:7" ht="22.5" customHeight="1">
      <c r="A3925" s="236"/>
      <c r="B3925" s="18"/>
      <c r="C3925" s="18"/>
      <c r="D3925" s="213"/>
      <c r="E3925" s="237"/>
      <c r="F3925" s="18"/>
      <c r="G3925" s="18"/>
    </row>
    <row r="3926" spans="1:7" ht="22.5" customHeight="1">
      <c r="A3926" s="236"/>
      <c r="B3926" s="18"/>
      <c r="C3926" s="18"/>
      <c r="D3926" s="213"/>
      <c r="E3926" s="237"/>
      <c r="F3926" s="18"/>
      <c r="G3926" s="18"/>
    </row>
    <row r="3927" spans="1:7" ht="22.5" customHeight="1">
      <c r="A3927" s="236"/>
      <c r="B3927" s="18"/>
      <c r="C3927" s="18"/>
      <c r="D3927" s="213"/>
      <c r="E3927" s="237"/>
      <c r="F3927" s="18"/>
      <c r="G3927" s="18"/>
    </row>
    <row r="3928" spans="1:7" ht="22.5" customHeight="1">
      <c r="A3928" s="236"/>
      <c r="B3928" s="18"/>
      <c r="C3928" s="18"/>
      <c r="D3928" s="213"/>
      <c r="E3928" s="237"/>
      <c r="F3928" s="18"/>
      <c r="G3928" s="18"/>
    </row>
    <row r="3929" spans="1:7" ht="22.5" customHeight="1">
      <c r="A3929" s="236"/>
      <c r="B3929" s="18"/>
      <c r="C3929" s="18"/>
      <c r="D3929" s="213"/>
      <c r="E3929" s="237"/>
      <c r="F3929" s="18"/>
      <c r="G3929" s="18"/>
    </row>
    <row r="3930" spans="1:7" ht="22.5" customHeight="1">
      <c r="A3930" s="236"/>
      <c r="B3930" s="18"/>
      <c r="C3930" s="18"/>
      <c r="D3930" s="213"/>
      <c r="E3930" s="237"/>
      <c r="F3930" s="18"/>
      <c r="G3930" s="18"/>
    </row>
    <row r="3931" spans="1:7" ht="22.5" customHeight="1">
      <c r="A3931" s="236"/>
      <c r="B3931" s="18"/>
      <c r="C3931" s="18"/>
      <c r="D3931" s="213"/>
      <c r="E3931" s="237"/>
      <c r="F3931" s="18"/>
      <c r="G3931" s="18"/>
    </row>
    <row r="3932" spans="1:7" ht="22.5" customHeight="1">
      <c r="A3932" s="236"/>
      <c r="B3932" s="18"/>
      <c r="C3932" s="18"/>
      <c r="D3932" s="213"/>
      <c r="E3932" s="237"/>
      <c r="F3932" s="18"/>
      <c r="G3932" s="18"/>
    </row>
    <row r="3933" spans="1:7" ht="22.5" customHeight="1">
      <c r="A3933" s="236"/>
      <c r="B3933" s="18"/>
      <c r="C3933" s="18"/>
      <c r="D3933" s="213"/>
      <c r="E3933" s="237"/>
      <c r="F3933" s="18"/>
      <c r="G3933" s="18"/>
    </row>
    <row r="3934" spans="1:7" ht="22.5" customHeight="1">
      <c r="A3934" s="236"/>
      <c r="B3934" s="18"/>
      <c r="C3934" s="18"/>
      <c r="D3934" s="213"/>
      <c r="E3934" s="237"/>
      <c r="F3934" s="18"/>
      <c r="G3934" s="18"/>
    </row>
    <row r="3935" spans="1:7" ht="22.5" customHeight="1">
      <c r="A3935" s="236"/>
      <c r="B3935" s="18"/>
      <c r="C3935" s="18"/>
      <c r="D3935" s="213"/>
      <c r="E3935" s="237"/>
      <c r="F3935" s="18"/>
      <c r="G3935" s="18"/>
    </row>
    <row r="3936" spans="1:7" ht="22.5" customHeight="1">
      <c r="A3936" s="236"/>
      <c r="B3936" s="18"/>
      <c r="C3936" s="18"/>
      <c r="D3936" s="213"/>
      <c r="E3936" s="237"/>
      <c r="F3936" s="18"/>
      <c r="G3936" s="18"/>
    </row>
    <row r="3937" spans="1:7" ht="22.5" customHeight="1">
      <c r="A3937" s="236"/>
      <c r="B3937" s="18"/>
      <c r="C3937" s="18"/>
      <c r="D3937" s="213"/>
      <c r="E3937" s="237"/>
      <c r="F3937" s="18"/>
      <c r="G3937" s="18"/>
    </row>
    <row r="3938" spans="1:7" ht="22.5" customHeight="1">
      <c r="A3938" s="236"/>
      <c r="B3938" s="18"/>
      <c r="C3938" s="18"/>
      <c r="D3938" s="213"/>
      <c r="E3938" s="237"/>
      <c r="F3938" s="18"/>
      <c r="G3938" s="18"/>
    </row>
    <row r="3939" spans="1:7" ht="22.5" customHeight="1">
      <c r="A3939" s="236"/>
      <c r="B3939" s="18"/>
      <c r="C3939" s="18"/>
      <c r="D3939" s="213"/>
      <c r="E3939" s="237"/>
      <c r="F3939" s="18"/>
      <c r="G3939" s="18"/>
    </row>
    <row r="3940" spans="1:7" ht="22.5" customHeight="1">
      <c r="A3940" s="236"/>
      <c r="B3940" s="18"/>
      <c r="C3940" s="18"/>
      <c r="D3940" s="213"/>
      <c r="E3940" s="237"/>
      <c r="F3940" s="18"/>
      <c r="G3940" s="18"/>
    </row>
    <row r="3941" spans="1:7" ht="22.5" customHeight="1">
      <c r="A3941" s="236"/>
      <c r="B3941" s="18"/>
      <c r="C3941" s="18"/>
      <c r="D3941" s="213"/>
      <c r="E3941" s="237"/>
      <c r="F3941" s="18"/>
      <c r="G3941" s="18"/>
    </row>
    <row r="3942" spans="1:7" ht="22.5" customHeight="1">
      <c r="A3942" s="236"/>
      <c r="B3942" s="18"/>
      <c r="C3942" s="18"/>
      <c r="D3942" s="213"/>
      <c r="E3942" s="237"/>
      <c r="F3942" s="18"/>
      <c r="G3942" s="18"/>
    </row>
    <row r="3943" spans="1:7" ht="22.5" customHeight="1">
      <c r="A3943" s="236"/>
      <c r="B3943" s="18"/>
      <c r="C3943" s="18"/>
      <c r="D3943" s="213"/>
      <c r="E3943" s="237"/>
      <c r="F3943" s="18"/>
      <c r="G3943" s="18"/>
    </row>
    <row r="3944" spans="1:7" ht="22.5" customHeight="1">
      <c r="A3944" s="236"/>
      <c r="B3944" s="18"/>
      <c r="C3944" s="18"/>
      <c r="D3944" s="213"/>
      <c r="E3944" s="237"/>
      <c r="F3944" s="18"/>
      <c r="G3944" s="18"/>
    </row>
    <row r="3945" spans="1:7" ht="22.5" customHeight="1">
      <c r="A3945" s="236"/>
      <c r="B3945" s="18"/>
      <c r="C3945" s="18"/>
      <c r="D3945" s="213"/>
      <c r="E3945" s="237"/>
      <c r="F3945" s="18"/>
      <c r="G3945" s="18"/>
    </row>
    <row r="3946" spans="1:7" ht="22.5" customHeight="1">
      <c r="A3946" s="236"/>
      <c r="B3946" s="18"/>
      <c r="C3946" s="18"/>
      <c r="D3946" s="213"/>
      <c r="E3946" s="237"/>
      <c r="F3946" s="18"/>
      <c r="G3946" s="18"/>
    </row>
    <row r="3947" spans="1:7" ht="22.5" customHeight="1">
      <c r="A3947" s="236"/>
      <c r="B3947" s="18"/>
      <c r="C3947" s="18"/>
      <c r="D3947" s="213"/>
      <c r="E3947" s="237"/>
      <c r="F3947" s="18"/>
      <c r="G3947" s="18"/>
    </row>
    <row r="3948" spans="1:7" ht="22.5" customHeight="1">
      <c r="A3948" s="236"/>
      <c r="B3948" s="18"/>
      <c r="C3948" s="18"/>
      <c r="D3948" s="213"/>
      <c r="E3948" s="237"/>
      <c r="F3948" s="18"/>
      <c r="G3948" s="18"/>
    </row>
    <row r="3949" spans="1:7" ht="22.5" customHeight="1">
      <c r="A3949" s="236"/>
      <c r="B3949" s="18"/>
      <c r="C3949" s="18"/>
      <c r="D3949" s="213"/>
      <c r="E3949" s="237"/>
      <c r="F3949" s="18"/>
      <c r="G3949" s="18"/>
    </row>
    <row r="3950" spans="1:7" ht="22.5" customHeight="1">
      <c r="A3950" s="236"/>
      <c r="B3950" s="18"/>
      <c r="C3950" s="18"/>
      <c r="D3950" s="213"/>
      <c r="E3950" s="237"/>
      <c r="F3950" s="18"/>
      <c r="G3950" s="18"/>
    </row>
    <row r="3951" spans="1:7" ht="22.5" customHeight="1">
      <c r="A3951" s="236"/>
      <c r="B3951" s="18"/>
      <c r="C3951" s="18"/>
      <c r="D3951" s="213"/>
      <c r="E3951" s="237"/>
      <c r="F3951" s="18"/>
      <c r="G3951" s="18"/>
    </row>
    <row r="3952" spans="1:7" ht="22.5" customHeight="1">
      <c r="A3952" s="236"/>
      <c r="B3952" s="18"/>
      <c r="C3952" s="18"/>
      <c r="D3952" s="213"/>
      <c r="E3952" s="237"/>
      <c r="F3952" s="18"/>
      <c r="G3952" s="18"/>
    </row>
    <row r="3953" spans="1:7" ht="22.5" customHeight="1">
      <c r="A3953" s="236"/>
      <c r="B3953" s="18"/>
      <c r="C3953" s="18"/>
      <c r="D3953" s="213"/>
      <c r="E3953" s="237"/>
      <c r="F3953" s="18"/>
      <c r="G3953" s="18"/>
    </row>
    <row r="3954" spans="1:7" ht="22.5" customHeight="1">
      <c r="A3954" s="236"/>
      <c r="B3954" s="18"/>
      <c r="C3954" s="18"/>
      <c r="D3954" s="213"/>
      <c r="E3954" s="237"/>
      <c r="F3954" s="18"/>
      <c r="G3954" s="18"/>
    </row>
    <row r="3955" spans="1:7" ht="22.5" customHeight="1">
      <c r="A3955" s="236"/>
      <c r="B3955" s="18"/>
      <c r="C3955" s="18"/>
      <c r="D3955" s="213"/>
      <c r="E3955" s="237"/>
      <c r="F3955" s="18"/>
      <c r="G3955" s="18"/>
    </row>
    <row r="3956" spans="1:7" ht="22.5" customHeight="1">
      <c r="A3956" s="236"/>
      <c r="B3956" s="18"/>
      <c r="C3956" s="18"/>
      <c r="D3956" s="213"/>
      <c r="E3956" s="237"/>
      <c r="F3956" s="18"/>
      <c r="G3956" s="18"/>
    </row>
    <row r="3957" spans="1:7" ht="22.5" customHeight="1">
      <c r="A3957" s="236"/>
      <c r="B3957" s="18"/>
      <c r="C3957" s="18"/>
      <c r="D3957" s="213"/>
      <c r="E3957" s="237"/>
      <c r="F3957" s="18"/>
      <c r="G3957" s="18"/>
    </row>
    <row r="3958" spans="1:7" ht="22.5" customHeight="1">
      <c r="A3958" s="236"/>
      <c r="B3958" s="18"/>
      <c r="C3958" s="18"/>
      <c r="D3958" s="213"/>
      <c r="E3958" s="237"/>
      <c r="F3958" s="18"/>
      <c r="G3958" s="18"/>
    </row>
    <row r="3959" spans="1:7" ht="22.5" customHeight="1">
      <c r="A3959" s="236"/>
      <c r="B3959" s="18"/>
      <c r="C3959" s="18"/>
      <c r="D3959" s="213"/>
      <c r="E3959" s="237"/>
      <c r="F3959" s="18"/>
      <c r="G3959" s="18"/>
    </row>
    <row r="3960" spans="1:7" ht="22.5" customHeight="1">
      <c r="A3960" s="236"/>
      <c r="B3960" s="18"/>
      <c r="C3960" s="18"/>
      <c r="D3960" s="213"/>
      <c r="E3960" s="237"/>
      <c r="F3960" s="18"/>
      <c r="G3960" s="18"/>
    </row>
    <row r="3961" spans="1:7" ht="22.5" customHeight="1">
      <c r="A3961" s="236"/>
      <c r="B3961" s="18"/>
      <c r="C3961" s="18"/>
      <c r="D3961" s="213"/>
      <c r="E3961" s="237"/>
      <c r="F3961" s="18"/>
      <c r="G3961" s="18"/>
    </row>
    <row r="3962" spans="1:7" ht="22.5" customHeight="1">
      <c r="A3962" s="236"/>
      <c r="B3962" s="18"/>
      <c r="C3962" s="18"/>
      <c r="D3962" s="213"/>
      <c r="E3962" s="237"/>
      <c r="F3962" s="18"/>
      <c r="G3962" s="18"/>
    </row>
    <row r="3963" spans="1:7" ht="22.5" customHeight="1">
      <c r="A3963" s="236"/>
      <c r="B3963" s="18"/>
      <c r="C3963" s="18"/>
      <c r="D3963" s="213"/>
      <c r="E3963" s="237"/>
      <c r="F3963" s="18"/>
      <c r="G3963" s="18"/>
    </row>
    <row r="3964" spans="1:7" ht="22.5" customHeight="1">
      <c r="A3964" s="236"/>
      <c r="B3964" s="18"/>
      <c r="C3964" s="18"/>
      <c r="D3964" s="213"/>
      <c r="E3964" s="237"/>
      <c r="F3964" s="18"/>
      <c r="G3964" s="18"/>
    </row>
    <row r="3965" spans="1:7" ht="22.5" customHeight="1">
      <c r="A3965" s="236"/>
      <c r="B3965" s="18"/>
      <c r="C3965" s="18"/>
      <c r="D3965" s="213"/>
      <c r="E3965" s="237"/>
      <c r="F3965" s="18"/>
      <c r="G3965" s="18"/>
    </row>
    <row r="3966" spans="1:7" ht="22.5" customHeight="1">
      <c r="A3966" s="236"/>
      <c r="B3966" s="18"/>
      <c r="C3966" s="18"/>
      <c r="D3966" s="213"/>
      <c r="E3966" s="237"/>
      <c r="F3966" s="18"/>
      <c r="G3966" s="18"/>
    </row>
    <row r="3967" spans="1:7" ht="22.5" customHeight="1">
      <c r="A3967" s="236"/>
      <c r="B3967" s="18"/>
      <c r="C3967" s="18"/>
      <c r="D3967" s="213"/>
      <c r="E3967" s="237"/>
      <c r="F3967" s="18"/>
      <c r="G3967" s="18"/>
    </row>
    <row r="3968" spans="1:7" ht="22.5" customHeight="1">
      <c r="A3968" s="236"/>
      <c r="B3968" s="18"/>
      <c r="C3968" s="18"/>
      <c r="D3968" s="213"/>
      <c r="E3968" s="237"/>
      <c r="F3968" s="18"/>
      <c r="G3968" s="18"/>
    </row>
    <row r="3969" spans="1:7" ht="22.5" customHeight="1">
      <c r="A3969" s="236"/>
      <c r="B3969" s="18"/>
      <c r="C3969" s="18"/>
      <c r="D3969" s="213"/>
      <c r="E3969" s="237"/>
      <c r="F3969" s="18"/>
      <c r="G3969" s="18"/>
    </row>
    <row r="3970" spans="1:7" ht="22.5" customHeight="1">
      <c r="A3970" s="236"/>
      <c r="B3970" s="18"/>
      <c r="C3970" s="18"/>
      <c r="D3970" s="213"/>
      <c r="E3970" s="237"/>
      <c r="F3970" s="18"/>
      <c r="G3970" s="18"/>
    </row>
    <row r="3971" spans="1:7" ht="22.5" customHeight="1">
      <c r="A3971" s="236"/>
      <c r="B3971" s="18"/>
      <c r="C3971" s="18"/>
      <c r="D3971" s="213"/>
      <c r="E3971" s="237"/>
      <c r="F3971" s="18"/>
      <c r="G3971" s="18"/>
    </row>
    <row r="3972" spans="1:7" ht="22.5" customHeight="1">
      <c r="A3972" s="236"/>
      <c r="B3972" s="18"/>
      <c r="C3972" s="18"/>
      <c r="D3972" s="213"/>
      <c r="E3972" s="237"/>
      <c r="F3972" s="18"/>
      <c r="G3972" s="18"/>
    </row>
    <row r="3973" spans="1:7" ht="22.5" customHeight="1">
      <c r="A3973" s="236"/>
      <c r="B3973" s="18"/>
      <c r="C3973" s="18"/>
      <c r="D3973" s="213"/>
      <c r="E3973" s="237"/>
      <c r="F3973" s="18"/>
      <c r="G3973" s="18"/>
    </row>
    <row r="3974" spans="1:7" ht="22.5" customHeight="1">
      <c r="A3974" s="236"/>
      <c r="B3974" s="18"/>
      <c r="C3974" s="18"/>
      <c r="D3974" s="213"/>
      <c r="E3974" s="237"/>
      <c r="F3974" s="18"/>
      <c r="G3974" s="18"/>
    </row>
    <row r="3975" spans="1:7" ht="22.5" customHeight="1">
      <c r="A3975" s="236"/>
      <c r="B3975" s="18"/>
      <c r="C3975" s="18"/>
      <c r="D3975" s="213"/>
      <c r="E3975" s="237"/>
      <c r="F3975" s="18"/>
      <c r="G3975" s="18"/>
    </row>
    <row r="3976" spans="1:7" ht="22.5" customHeight="1">
      <c r="A3976" s="236"/>
      <c r="B3976" s="18"/>
      <c r="C3976" s="18"/>
      <c r="D3976" s="213"/>
      <c r="E3976" s="237"/>
      <c r="F3976" s="18"/>
      <c r="G3976" s="18"/>
    </row>
    <row r="3977" spans="1:7" ht="22.5" customHeight="1">
      <c r="A3977" s="236"/>
      <c r="B3977" s="18"/>
      <c r="C3977" s="18"/>
      <c r="D3977" s="213"/>
      <c r="E3977" s="237"/>
      <c r="F3977" s="18"/>
      <c r="G3977" s="18"/>
    </row>
    <row r="3978" spans="1:7" ht="22.5" customHeight="1">
      <c r="A3978" s="236"/>
      <c r="B3978" s="18"/>
      <c r="C3978" s="18"/>
      <c r="D3978" s="213"/>
      <c r="E3978" s="237"/>
      <c r="F3978" s="18"/>
      <c r="G3978" s="18"/>
    </row>
    <row r="3979" spans="1:7" ht="22.5" customHeight="1">
      <c r="A3979" s="236"/>
      <c r="B3979" s="18"/>
      <c r="C3979" s="18"/>
      <c r="D3979" s="213"/>
      <c r="E3979" s="237"/>
      <c r="F3979" s="18"/>
      <c r="G3979" s="18"/>
    </row>
    <row r="3980" spans="1:7" ht="22.5" customHeight="1">
      <c r="A3980" s="236"/>
      <c r="B3980" s="18"/>
      <c r="C3980" s="18"/>
      <c r="D3980" s="213"/>
      <c r="E3980" s="237"/>
      <c r="F3980" s="18"/>
      <c r="G3980" s="18"/>
    </row>
    <row r="3981" spans="1:7" ht="22.5" customHeight="1">
      <c r="A3981" s="236"/>
      <c r="B3981" s="18"/>
      <c r="C3981" s="18"/>
      <c r="D3981" s="213"/>
      <c r="E3981" s="237"/>
      <c r="F3981" s="18"/>
      <c r="G3981" s="18"/>
    </row>
    <row r="3982" spans="1:7" ht="22.5" customHeight="1">
      <c r="A3982" s="236"/>
      <c r="B3982" s="18"/>
      <c r="C3982" s="18"/>
      <c r="D3982" s="213"/>
      <c r="E3982" s="237"/>
      <c r="F3982" s="18"/>
      <c r="G3982" s="18"/>
    </row>
    <row r="3983" spans="1:7" ht="22.5" customHeight="1">
      <c r="A3983" s="236"/>
      <c r="B3983" s="18"/>
      <c r="C3983" s="18"/>
      <c r="D3983" s="213"/>
      <c r="E3983" s="237"/>
      <c r="F3983" s="18"/>
      <c r="G3983" s="18"/>
    </row>
    <row r="3984" spans="1:7" ht="22.5" customHeight="1">
      <c r="A3984" s="236"/>
      <c r="B3984" s="18"/>
      <c r="C3984" s="18"/>
      <c r="D3984" s="213"/>
      <c r="E3984" s="237"/>
      <c r="F3984" s="18"/>
      <c r="G3984" s="18"/>
    </row>
    <row r="3985" spans="1:7" ht="22.5" customHeight="1">
      <c r="A3985" s="236"/>
      <c r="B3985" s="18"/>
      <c r="C3985" s="18"/>
      <c r="D3985" s="213"/>
      <c r="E3985" s="237"/>
      <c r="F3985" s="18"/>
      <c r="G3985" s="18"/>
    </row>
    <row r="3986" spans="1:7" ht="22.5" customHeight="1">
      <c r="A3986" s="236"/>
      <c r="B3986" s="18"/>
      <c r="C3986" s="18"/>
      <c r="D3986" s="213"/>
      <c r="E3986" s="237"/>
      <c r="F3986" s="18"/>
      <c r="G3986" s="18"/>
    </row>
    <row r="3987" spans="1:7" ht="22.5" customHeight="1">
      <c r="A3987" s="236"/>
      <c r="B3987" s="18"/>
      <c r="C3987" s="18"/>
      <c r="D3987" s="213"/>
      <c r="E3987" s="237"/>
      <c r="F3987" s="18"/>
      <c r="G3987" s="18"/>
    </row>
    <row r="3988" spans="1:7" ht="22.5" customHeight="1">
      <c r="A3988" s="236"/>
      <c r="B3988" s="18"/>
      <c r="C3988" s="18"/>
      <c r="D3988" s="213"/>
      <c r="E3988" s="237"/>
      <c r="F3988" s="18"/>
      <c r="G3988" s="18"/>
    </row>
    <row r="3989" spans="1:7" ht="22.5" customHeight="1">
      <c r="A3989" s="236"/>
      <c r="B3989" s="18"/>
      <c r="C3989" s="18"/>
      <c r="D3989" s="213"/>
      <c r="E3989" s="237"/>
      <c r="F3989" s="18"/>
      <c r="G3989" s="18"/>
    </row>
  </sheetData>
  <dataValidations count="4">
    <dataValidation type="list" allowBlank="1" sqref="F2:F3989" xr:uid="{00000000-0002-0000-0400-000000000000}">
      <formula1>"BANCOLOMBIA,BANCO DE BOGOTA,EFECTIVO,LINK,CRUCE,S.MARIA INES"</formula1>
    </dataValidation>
    <dataValidation type="custom" allowBlank="1" showDropDown="1" sqref="A2:A3989" xr:uid="{00000000-0002-0000-0400-000001000000}">
      <formula1>OR(NOT(ISERROR(DATEVALUE(A2))), AND(ISNUMBER(A2), LEFT(CELL("format", A2))="D"))</formula1>
    </dataValidation>
    <dataValidation type="custom" allowBlank="1" showDropDown="1" sqref="D2:E3989" xr:uid="{00000000-0002-0000-0400-000002000000}">
      <formula1>AND(ISNUMBER(D2),(NOT(OR(NOT(ISERROR(DATEVALUE(D2))), AND(ISNUMBER(D2), LEFT(CELL("format", D2))="D")))))</formula1>
    </dataValidation>
    <dataValidation type="list" allowBlank="1" sqref="G2:G3989" xr:uid="{00000000-0002-0000-0400-000003000000}">
      <formula1>"CLIENTE DAILY,PAGINA,INSTAGRAM,TIKTOK,REDES,SIN INFORMACION,REFERID@"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116"/>
  <sheetViews>
    <sheetView tabSelected="1" workbookViewId="0">
      <pane ySplit="1" topLeftCell="A1199" activePane="bottomLeft" state="frozen"/>
      <selection pane="bottomLeft" activeCell="A2" sqref="A2:A1296"/>
    </sheetView>
  </sheetViews>
  <sheetFormatPr baseColWidth="10" defaultColWidth="12.6640625" defaultRowHeight="15.75" customHeight="1"/>
  <cols>
    <col min="1" max="1" width="38.6640625" customWidth="1"/>
    <col min="2" max="2" width="47.6640625" customWidth="1"/>
    <col min="3" max="3" width="9.5" customWidth="1"/>
    <col min="4" max="4" width="36.83203125" customWidth="1"/>
    <col min="5" max="5" width="25.1640625" customWidth="1"/>
    <col min="6" max="6" width="14.6640625" customWidth="1"/>
    <col min="7" max="7" width="11.6640625" customWidth="1"/>
    <col min="8" max="26" width="32.83203125" customWidth="1"/>
  </cols>
  <sheetData>
    <row r="1" spans="1:26" ht="20">
      <c r="A1" s="284" t="s">
        <v>6849</v>
      </c>
      <c r="B1" s="284" t="s">
        <v>6850</v>
      </c>
      <c r="C1" s="284" t="s">
        <v>6851</v>
      </c>
      <c r="D1" s="284" t="s">
        <v>6852</v>
      </c>
      <c r="E1" s="284" t="s">
        <v>6853</v>
      </c>
      <c r="F1" s="284" t="s">
        <v>6854</v>
      </c>
      <c r="G1" s="284" t="s">
        <v>6855</v>
      </c>
      <c r="H1" s="284" t="s">
        <v>6856</v>
      </c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26" ht="16">
      <c r="A2" s="5" t="s">
        <v>6857</v>
      </c>
      <c r="B2" s="5" t="s">
        <v>6858</v>
      </c>
      <c r="C2" s="263" t="s">
        <v>3822</v>
      </c>
      <c r="D2" s="5"/>
      <c r="E2" s="5"/>
      <c r="F2" s="264">
        <v>3106133541</v>
      </c>
      <c r="G2" s="5" t="s">
        <v>6859</v>
      </c>
      <c r="H2" s="5" t="s">
        <v>6859</v>
      </c>
    </row>
    <row r="3" spans="1:26" ht="14">
      <c r="A3" s="286" t="s">
        <v>1699</v>
      </c>
      <c r="B3" s="286" t="s">
        <v>6860</v>
      </c>
      <c r="C3" s="287">
        <v>303</v>
      </c>
      <c r="D3" s="288"/>
      <c r="E3" s="288"/>
      <c r="F3" s="289">
        <v>3118086184</v>
      </c>
      <c r="G3" s="286">
        <v>35197932</v>
      </c>
      <c r="H3" s="286" t="s">
        <v>6861</v>
      </c>
      <c r="I3" s="290">
        <v>46071</v>
      </c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</row>
    <row r="4" spans="1:26" ht="14">
      <c r="A4" s="286" t="s">
        <v>1736</v>
      </c>
      <c r="B4" s="286" t="s">
        <v>6862</v>
      </c>
      <c r="C4" s="287">
        <v>502</v>
      </c>
      <c r="D4" s="288" t="s">
        <v>6863</v>
      </c>
      <c r="E4" s="288"/>
      <c r="F4" s="289">
        <v>3133068706</v>
      </c>
      <c r="G4" s="286">
        <v>52543856</v>
      </c>
      <c r="H4" s="286" t="s">
        <v>6864</v>
      </c>
      <c r="I4" s="290">
        <v>46071</v>
      </c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</row>
    <row r="5" spans="1:26" ht="14">
      <c r="A5" s="286" t="s">
        <v>1570</v>
      </c>
      <c r="B5" s="286" t="s">
        <v>6865</v>
      </c>
      <c r="C5" s="287">
        <v>201</v>
      </c>
      <c r="D5" s="288"/>
      <c r="E5" s="288"/>
      <c r="F5" s="289">
        <v>3146213993</v>
      </c>
      <c r="G5" s="286">
        <v>1010189127</v>
      </c>
      <c r="H5" s="286" t="s">
        <v>6866</v>
      </c>
      <c r="I5" s="290">
        <v>46071</v>
      </c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</row>
    <row r="6" spans="1:26" ht="14">
      <c r="A6" s="286" t="s">
        <v>1526</v>
      </c>
      <c r="B6" s="286" t="s">
        <v>6867</v>
      </c>
      <c r="C6" s="287">
        <v>703</v>
      </c>
      <c r="D6" s="288" t="s">
        <v>6868</v>
      </c>
      <c r="E6" s="288"/>
      <c r="F6" s="289">
        <v>3103496737</v>
      </c>
      <c r="G6" s="286">
        <v>22806455</v>
      </c>
      <c r="H6" s="286" t="s">
        <v>6869</v>
      </c>
      <c r="I6" s="290">
        <v>46073</v>
      </c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</row>
    <row r="7" spans="1:26" ht="14">
      <c r="A7" s="286" t="s">
        <v>1441</v>
      </c>
      <c r="B7" s="286" t="s">
        <v>6870</v>
      </c>
      <c r="C7" s="287" t="s">
        <v>6871</v>
      </c>
      <c r="D7" s="288" t="s">
        <v>6872</v>
      </c>
      <c r="E7" s="288"/>
      <c r="F7" s="289">
        <v>3012335633</v>
      </c>
      <c r="G7" s="286">
        <v>52990621</v>
      </c>
      <c r="H7" s="286" t="s">
        <v>6873</v>
      </c>
      <c r="I7" s="290">
        <v>46071</v>
      </c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</row>
    <row r="8" spans="1:26" ht="14">
      <c r="A8" s="286" t="s">
        <v>1428</v>
      </c>
      <c r="B8" s="286" t="s">
        <v>5703</v>
      </c>
      <c r="C8" s="287">
        <v>507</v>
      </c>
      <c r="D8" s="288"/>
      <c r="E8" s="288"/>
      <c r="F8" s="289">
        <v>3103378143</v>
      </c>
      <c r="G8" s="286">
        <v>41611868</v>
      </c>
      <c r="H8" s="286" t="s">
        <v>6874</v>
      </c>
      <c r="I8" s="290">
        <v>46071</v>
      </c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</row>
    <row r="9" spans="1:26" ht="14">
      <c r="A9" s="286" t="s">
        <v>1326</v>
      </c>
      <c r="B9" s="286" t="s">
        <v>6875</v>
      </c>
      <c r="C9" s="287">
        <v>604</v>
      </c>
      <c r="D9" s="288" t="s">
        <v>6876</v>
      </c>
      <c r="E9" s="288"/>
      <c r="F9" s="289">
        <v>3183489930</v>
      </c>
      <c r="G9" s="286">
        <v>1072667289</v>
      </c>
      <c r="H9" s="286" t="s">
        <v>6877</v>
      </c>
      <c r="I9" s="291"/>
      <c r="J9" s="291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</row>
    <row r="10" spans="1:26" ht="14">
      <c r="A10" s="286" t="s">
        <v>1225</v>
      </c>
      <c r="B10" s="286" t="s">
        <v>6878</v>
      </c>
      <c r="C10" s="287">
        <v>502</v>
      </c>
      <c r="D10" s="288"/>
      <c r="E10" s="288" t="s">
        <v>6388</v>
      </c>
      <c r="F10" s="289">
        <v>3187945343</v>
      </c>
      <c r="G10" s="286">
        <v>1032366594</v>
      </c>
      <c r="H10" s="286" t="s">
        <v>6879</v>
      </c>
      <c r="I10" s="290">
        <v>46073</v>
      </c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4">
      <c r="A11" s="286" t="s">
        <v>1215</v>
      </c>
      <c r="B11" s="286" t="s">
        <v>6880</v>
      </c>
      <c r="C11" s="287">
        <v>1108</v>
      </c>
      <c r="D11" s="288" t="s">
        <v>6881</v>
      </c>
      <c r="E11" s="288"/>
      <c r="F11" s="289">
        <v>3107781171</v>
      </c>
      <c r="G11" s="286">
        <v>1019077574</v>
      </c>
      <c r="H11" s="286" t="s">
        <v>6882</v>
      </c>
      <c r="I11" s="290">
        <v>46073</v>
      </c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</row>
    <row r="12" spans="1:26" ht="14">
      <c r="A12" s="292" t="s">
        <v>1213</v>
      </c>
      <c r="B12" s="292" t="s">
        <v>6883</v>
      </c>
      <c r="C12" s="293">
        <v>401</v>
      </c>
      <c r="D12" s="294" t="s">
        <v>6884</v>
      </c>
      <c r="E12" s="294"/>
      <c r="F12" s="295">
        <v>3118539656</v>
      </c>
      <c r="G12" s="292">
        <v>36695229</v>
      </c>
      <c r="H12" s="292" t="s">
        <v>6885</v>
      </c>
      <c r="I12" s="296">
        <v>46073</v>
      </c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</row>
    <row r="13" spans="1:26" ht="14">
      <c r="A13" s="286" t="s">
        <v>682</v>
      </c>
      <c r="B13" s="286" t="s">
        <v>6886</v>
      </c>
      <c r="C13" s="287">
        <v>604</v>
      </c>
      <c r="D13" s="288" t="s">
        <v>6887</v>
      </c>
      <c r="E13" s="288" t="s">
        <v>4854</v>
      </c>
      <c r="F13" s="289">
        <v>3102116962</v>
      </c>
      <c r="G13" s="286">
        <v>1020788364</v>
      </c>
      <c r="H13" s="286" t="s">
        <v>6888</v>
      </c>
      <c r="I13" s="290">
        <v>46073</v>
      </c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</row>
    <row r="14" spans="1:26" ht="14">
      <c r="A14" s="286" t="s">
        <v>6889</v>
      </c>
      <c r="B14" s="286" t="s">
        <v>6890</v>
      </c>
      <c r="C14" s="287">
        <v>302</v>
      </c>
      <c r="D14" s="288" t="s">
        <v>6891</v>
      </c>
      <c r="E14" s="288"/>
      <c r="F14" s="289">
        <v>3174416583</v>
      </c>
      <c r="G14" s="286">
        <v>1018411635</v>
      </c>
      <c r="H14" s="286" t="s">
        <v>6892</v>
      </c>
      <c r="I14" s="290">
        <v>46073</v>
      </c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</row>
    <row r="15" spans="1:26" ht="14">
      <c r="A15" s="298" t="s">
        <v>6893</v>
      </c>
      <c r="B15" s="298" t="s">
        <v>6894</v>
      </c>
      <c r="C15" s="299">
        <v>402</v>
      </c>
      <c r="D15" s="298"/>
      <c r="E15" s="298"/>
      <c r="F15" s="300">
        <v>3114912561</v>
      </c>
      <c r="G15" s="298">
        <v>1071164116</v>
      </c>
      <c r="H15" s="298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</row>
    <row r="16" spans="1:26" ht="14">
      <c r="A16" s="286" t="s">
        <v>1448</v>
      </c>
      <c r="B16" s="286" t="s">
        <v>6895</v>
      </c>
      <c r="C16" s="287">
        <v>204</v>
      </c>
      <c r="D16" s="288" t="s">
        <v>6896</v>
      </c>
      <c r="E16" s="288" t="s">
        <v>6897</v>
      </c>
      <c r="F16" s="289">
        <v>3042733373</v>
      </c>
      <c r="G16" s="286">
        <v>1075673310</v>
      </c>
      <c r="H16" s="286" t="s">
        <v>6898</v>
      </c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</row>
    <row r="17" spans="1:26" ht="14">
      <c r="A17" s="298" t="s">
        <v>6899</v>
      </c>
      <c r="B17" s="298" t="s">
        <v>6900</v>
      </c>
      <c r="C17" s="299">
        <v>301</v>
      </c>
      <c r="D17" s="298"/>
      <c r="E17" s="298"/>
      <c r="F17" s="300">
        <v>3002117724</v>
      </c>
      <c r="G17" s="298">
        <v>37228140</v>
      </c>
      <c r="H17" s="298"/>
      <c r="I17" s="302">
        <v>46073</v>
      </c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</row>
    <row r="18" spans="1:26" ht="14">
      <c r="A18" s="286" t="s">
        <v>40</v>
      </c>
      <c r="B18" s="286" t="s">
        <v>6901</v>
      </c>
      <c r="C18" s="287">
        <v>402</v>
      </c>
      <c r="D18" s="288"/>
      <c r="E18" s="288"/>
      <c r="F18" s="289">
        <v>3102280863</v>
      </c>
      <c r="G18" s="286">
        <v>41522981</v>
      </c>
      <c r="H18" s="286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</row>
    <row r="19" spans="1:26" ht="15.75" customHeight="1">
      <c r="A19" s="286" t="s">
        <v>6902</v>
      </c>
      <c r="B19" s="286" t="s">
        <v>6903</v>
      </c>
      <c r="C19" s="287">
        <v>1103</v>
      </c>
      <c r="D19" s="288" t="s">
        <v>6904</v>
      </c>
      <c r="E19" s="288" t="s">
        <v>4872</v>
      </c>
      <c r="F19" s="289">
        <v>3172940035</v>
      </c>
      <c r="G19" s="286">
        <v>1015433685</v>
      </c>
      <c r="H19" s="286" t="s">
        <v>6905</v>
      </c>
      <c r="I19" s="290">
        <v>46073</v>
      </c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</row>
    <row r="20" spans="1:26" ht="14">
      <c r="A20" s="286" t="s">
        <v>6906</v>
      </c>
      <c r="B20" s="286" t="s">
        <v>6907</v>
      </c>
      <c r="C20" s="287">
        <v>607</v>
      </c>
      <c r="D20" s="288"/>
      <c r="E20" s="288"/>
      <c r="F20" s="289">
        <v>3107759902</v>
      </c>
      <c r="G20" s="286">
        <v>1018440143</v>
      </c>
      <c r="H20" s="286" t="s">
        <v>6908</v>
      </c>
      <c r="I20" s="290">
        <v>46073</v>
      </c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</row>
    <row r="21" spans="1:26" ht="14">
      <c r="A21" s="286" t="s">
        <v>6909</v>
      </c>
      <c r="B21" s="286" t="s">
        <v>6910</v>
      </c>
      <c r="C21" s="287">
        <v>806</v>
      </c>
      <c r="D21" s="288"/>
      <c r="E21" s="288" t="s">
        <v>6005</v>
      </c>
      <c r="F21" s="289">
        <v>3108042284</v>
      </c>
      <c r="G21" s="286">
        <v>1048272104</v>
      </c>
      <c r="H21" s="286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291"/>
      <c r="W21" s="291"/>
      <c r="X21" s="291"/>
      <c r="Y21" s="291"/>
      <c r="Z21" s="291"/>
    </row>
    <row r="22" spans="1:26" ht="14">
      <c r="A22" s="286" t="s">
        <v>132</v>
      </c>
      <c r="B22" s="286" t="s">
        <v>6911</v>
      </c>
      <c r="C22" s="287">
        <v>205</v>
      </c>
      <c r="D22" s="288" t="s">
        <v>6912</v>
      </c>
      <c r="E22" s="288"/>
      <c r="F22" s="289">
        <v>3187856381</v>
      </c>
      <c r="G22" s="286">
        <v>1121926832</v>
      </c>
      <c r="H22" s="286" t="s">
        <v>6913</v>
      </c>
      <c r="I22" s="290">
        <v>46073</v>
      </c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</row>
    <row r="23" spans="1:26" ht="14">
      <c r="A23" s="286" t="s">
        <v>569</v>
      </c>
      <c r="B23" s="286" t="s">
        <v>6914</v>
      </c>
      <c r="C23" s="287">
        <v>903</v>
      </c>
      <c r="D23" s="288"/>
      <c r="E23" s="288"/>
      <c r="F23" s="289">
        <v>3158990559</v>
      </c>
      <c r="G23" s="286">
        <v>1010129810</v>
      </c>
      <c r="H23" s="286" t="s">
        <v>6915</v>
      </c>
      <c r="I23" s="290">
        <v>46073</v>
      </c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</row>
    <row r="24" spans="1:26" ht="14">
      <c r="A24" s="286" t="s">
        <v>547</v>
      </c>
      <c r="B24" s="286" t="s">
        <v>6916</v>
      </c>
      <c r="C24" s="287">
        <v>203</v>
      </c>
      <c r="D24" s="288" t="s">
        <v>2721</v>
      </c>
      <c r="E24" s="288"/>
      <c r="F24" s="289">
        <v>3112624972</v>
      </c>
      <c r="G24" s="286">
        <v>52800782</v>
      </c>
      <c r="H24" s="286" t="s">
        <v>6917</v>
      </c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</row>
    <row r="25" spans="1:26" ht="14">
      <c r="A25" s="286" t="s">
        <v>432</v>
      </c>
      <c r="B25" s="286" t="s">
        <v>6918</v>
      </c>
      <c r="C25" s="287">
        <v>502</v>
      </c>
      <c r="D25" s="288" t="s">
        <v>6919</v>
      </c>
      <c r="E25" s="288" t="s">
        <v>6388</v>
      </c>
      <c r="F25" s="289">
        <v>3186531384</v>
      </c>
      <c r="G25" s="286">
        <v>52182663</v>
      </c>
      <c r="H25" s="286" t="s">
        <v>6920</v>
      </c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</row>
    <row r="26" spans="1:26" ht="14">
      <c r="A26" s="286" t="s">
        <v>6921</v>
      </c>
      <c r="B26" s="286" t="s">
        <v>6922</v>
      </c>
      <c r="C26" s="287">
        <v>1001</v>
      </c>
      <c r="D26" s="288"/>
      <c r="E26" s="288"/>
      <c r="F26" s="289">
        <v>3188371505</v>
      </c>
      <c r="G26" s="303">
        <v>436492</v>
      </c>
      <c r="H26" s="286" t="s">
        <v>6923</v>
      </c>
      <c r="I26" s="290">
        <v>46073</v>
      </c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</row>
    <row r="27" spans="1:26" ht="14">
      <c r="A27" s="286" t="s">
        <v>374</v>
      </c>
      <c r="B27" s="286" t="s">
        <v>6924</v>
      </c>
      <c r="C27" s="287">
        <v>501</v>
      </c>
      <c r="D27" s="288"/>
      <c r="E27" s="288"/>
      <c r="F27" s="289">
        <v>3142102173</v>
      </c>
      <c r="G27" s="286">
        <v>53050244</v>
      </c>
      <c r="H27" s="286" t="s">
        <v>6925</v>
      </c>
      <c r="I27" s="290">
        <v>46073</v>
      </c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</row>
    <row r="28" spans="1:26" ht="14">
      <c r="A28" s="286" t="s">
        <v>361</v>
      </c>
      <c r="B28" s="286" t="s">
        <v>6926</v>
      </c>
      <c r="C28" s="287">
        <v>406</v>
      </c>
      <c r="D28" s="288"/>
      <c r="E28" s="288"/>
      <c r="F28" s="289">
        <v>3136228747</v>
      </c>
      <c r="G28" s="286">
        <v>52022301</v>
      </c>
      <c r="H28" s="286" t="s">
        <v>6927</v>
      </c>
      <c r="I28" s="290">
        <v>46073</v>
      </c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</row>
    <row r="29" spans="1:26" ht="14">
      <c r="A29" s="286" t="s">
        <v>349</v>
      </c>
      <c r="B29" s="286" t="s">
        <v>6928</v>
      </c>
      <c r="C29" s="287">
        <v>601</v>
      </c>
      <c r="D29" s="288"/>
      <c r="E29" s="288"/>
      <c r="F29" s="289">
        <v>3157622794</v>
      </c>
      <c r="G29" s="286">
        <v>1072655827</v>
      </c>
      <c r="H29" s="286" t="s">
        <v>6929</v>
      </c>
      <c r="I29" s="290">
        <v>46073</v>
      </c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</row>
    <row r="30" spans="1:26" ht="14">
      <c r="A30" s="298" t="s">
        <v>283</v>
      </c>
      <c r="B30" s="298" t="s">
        <v>6930</v>
      </c>
      <c r="C30" s="299" t="s">
        <v>6931</v>
      </c>
      <c r="D30" s="298" t="s">
        <v>6932</v>
      </c>
      <c r="E30" s="298"/>
      <c r="F30" s="300">
        <v>3003767878</v>
      </c>
      <c r="G30" s="298">
        <v>1019029450</v>
      </c>
      <c r="H30" s="298" t="s">
        <v>6933</v>
      </c>
      <c r="I30" s="302">
        <v>46073</v>
      </c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</row>
    <row r="31" spans="1:26" ht="14">
      <c r="A31" s="286" t="s">
        <v>281</v>
      </c>
      <c r="B31" s="286" t="s">
        <v>5536</v>
      </c>
      <c r="C31" s="287">
        <v>601</v>
      </c>
      <c r="D31" s="288" t="s">
        <v>6934</v>
      </c>
      <c r="E31" s="288"/>
      <c r="F31" s="289">
        <v>3138279890</v>
      </c>
      <c r="G31" s="286">
        <v>1019127674</v>
      </c>
      <c r="H31" s="286" t="s">
        <v>6935</v>
      </c>
      <c r="I31" s="290">
        <v>46073</v>
      </c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</row>
    <row r="32" spans="1:26" ht="14">
      <c r="A32" s="286" t="s">
        <v>6936</v>
      </c>
      <c r="B32" s="286" t="s">
        <v>6937</v>
      </c>
      <c r="C32" s="287">
        <v>51</v>
      </c>
      <c r="D32" s="288" t="s">
        <v>6938</v>
      </c>
      <c r="E32" s="288"/>
      <c r="F32" s="289">
        <v>3212145878</v>
      </c>
      <c r="G32" s="286">
        <v>52515885</v>
      </c>
      <c r="H32" s="286" t="s">
        <v>6939</v>
      </c>
      <c r="I32" s="290">
        <v>46073</v>
      </c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</row>
    <row r="33" spans="1:26" ht="14">
      <c r="A33" s="286" t="s">
        <v>6940</v>
      </c>
      <c r="B33" s="304" t="s">
        <v>6941</v>
      </c>
      <c r="C33" s="305" t="s">
        <v>6942</v>
      </c>
      <c r="D33" s="306"/>
      <c r="E33" s="306" t="s">
        <v>6943</v>
      </c>
      <c r="F33" s="307">
        <v>3187168841</v>
      </c>
      <c r="G33" s="304">
        <v>3187168841</v>
      </c>
      <c r="H33" s="304" t="s">
        <v>6944</v>
      </c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</row>
    <row r="34" spans="1:26" ht="14">
      <c r="A34" s="286" t="s">
        <v>2227</v>
      </c>
      <c r="B34" s="286" t="s">
        <v>6945</v>
      </c>
      <c r="C34" s="287">
        <v>603</v>
      </c>
      <c r="D34" s="288" t="s">
        <v>6946</v>
      </c>
      <c r="E34" s="288"/>
      <c r="F34" s="289">
        <v>3107681912</v>
      </c>
      <c r="G34" s="286"/>
      <c r="H34" s="286" t="s">
        <v>6947</v>
      </c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</row>
    <row r="35" spans="1:26" ht="14">
      <c r="A35" s="286" t="s">
        <v>6948</v>
      </c>
      <c r="B35" s="286" t="s">
        <v>6949</v>
      </c>
      <c r="C35" s="287">
        <v>301</v>
      </c>
      <c r="D35" s="288" t="s">
        <v>6950</v>
      </c>
      <c r="E35" s="288"/>
      <c r="F35" s="289">
        <v>3103743307</v>
      </c>
      <c r="G35" s="286">
        <v>48499503</v>
      </c>
      <c r="H35" s="286" t="s">
        <v>6951</v>
      </c>
      <c r="I35" s="290">
        <v>46073</v>
      </c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</row>
    <row r="36" spans="1:26" ht="14">
      <c r="A36" s="286" t="s">
        <v>6952</v>
      </c>
      <c r="B36" s="286" t="s">
        <v>6953</v>
      </c>
      <c r="C36" s="287">
        <v>401</v>
      </c>
      <c r="D36" s="288" t="s">
        <v>6954</v>
      </c>
      <c r="E36" s="288"/>
      <c r="F36" s="289">
        <v>3006557766</v>
      </c>
      <c r="G36" s="286">
        <v>52021108</v>
      </c>
      <c r="H36" s="286" t="s">
        <v>6955</v>
      </c>
      <c r="I36" s="290">
        <v>46073</v>
      </c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</row>
    <row r="37" spans="1:26" ht="14">
      <c r="A37" s="304" t="s">
        <v>6956</v>
      </c>
      <c r="B37" s="286" t="s">
        <v>6957</v>
      </c>
      <c r="C37" s="287">
        <v>301</v>
      </c>
      <c r="D37" s="288" t="s">
        <v>6958</v>
      </c>
      <c r="E37" s="288"/>
      <c r="F37" s="289">
        <v>3153397117</v>
      </c>
      <c r="G37" s="286">
        <v>51749126</v>
      </c>
      <c r="H37" s="286" t="s">
        <v>6959</v>
      </c>
      <c r="I37" s="290">
        <v>46073</v>
      </c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</row>
    <row r="38" spans="1:26" ht="14">
      <c r="A38" s="286" t="s">
        <v>6960</v>
      </c>
      <c r="B38" s="286" t="s">
        <v>6961</v>
      </c>
      <c r="C38" s="287">
        <v>601</v>
      </c>
      <c r="D38" s="288"/>
      <c r="E38" s="288"/>
      <c r="F38" s="289">
        <v>3102724873</v>
      </c>
      <c r="G38" s="286">
        <v>6077338</v>
      </c>
      <c r="H38" s="286" t="s">
        <v>6962</v>
      </c>
      <c r="I38" s="290">
        <v>46073</v>
      </c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</row>
    <row r="39" spans="1:26" ht="14">
      <c r="A39" s="286" t="s">
        <v>1551</v>
      </c>
      <c r="B39" s="286" t="s">
        <v>6963</v>
      </c>
      <c r="C39" s="287">
        <v>302</v>
      </c>
      <c r="D39" s="309" t="s">
        <v>6964</v>
      </c>
      <c r="E39" s="288" t="s">
        <v>6965</v>
      </c>
      <c r="F39" s="289">
        <v>3209520492</v>
      </c>
      <c r="G39" s="303">
        <v>52780676</v>
      </c>
      <c r="H39" s="286" t="s">
        <v>6966</v>
      </c>
      <c r="I39" s="290">
        <v>46071</v>
      </c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</row>
    <row r="40" spans="1:26" ht="14">
      <c r="A40" s="286" t="s">
        <v>6967</v>
      </c>
      <c r="B40" s="286" t="s">
        <v>6968</v>
      </c>
      <c r="C40" s="287">
        <v>205</v>
      </c>
      <c r="D40" s="288"/>
      <c r="E40" s="288"/>
      <c r="F40" s="289">
        <v>3106257052</v>
      </c>
      <c r="G40" s="286">
        <v>1016258505</v>
      </c>
      <c r="H40" s="286" t="s">
        <v>6969</v>
      </c>
      <c r="I40" s="290">
        <v>46073</v>
      </c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</row>
    <row r="41" spans="1:26" ht="14">
      <c r="A41" s="286" t="s">
        <v>6970</v>
      </c>
      <c r="B41" s="286" t="s">
        <v>6971</v>
      </c>
      <c r="C41" s="287">
        <v>302</v>
      </c>
      <c r="D41" s="288"/>
      <c r="E41" s="288"/>
      <c r="F41" s="289">
        <v>3106183471</v>
      </c>
      <c r="G41" s="286">
        <v>79980343</v>
      </c>
      <c r="H41" s="286" t="s">
        <v>6972</v>
      </c>
      <c r="I41" s="290">
        <v>46073</v>
      </c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</row>
    <row r="42" spans="1:26" ht="14">
      <c r="A42" s="286" t="s">
        <v>505</v>
      </c>
      <c r="B42" s="286" t="s">
        <v>6973</v>
      </c>
      <c r="C42" s="287">
        <v>402</v>
      </c>
      <c r="D42" s="288" t="s">
        <v>6974</v>
      </c>
      <c r="E42" s="288"/>
      <c r="F42" s="289">
        <v>3187072074</v>
      </c>
      <c r="G42" s="286">
        <v>51749051</v>
      </c>
      <c r="H42" s="286" t="s">
        <v>6975</v>
      </c>
      <c r="I42" s="290">
        <v>46073</v>
      </c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</row>
    <row r="43" spans="1:26" ht="14">
      <c r="A43" s="286" t="s">
        <v>619</v>
      </c>
      <c r="B43" s="286" t="s">
        <v>6976</v>
      </c>
      <c r="C43" s="287">
        <v>202</v>
      </c>
      <c r="D43" s="288" t="s">
        <v>2733</v>
      </c>
      <c r="E43" s="310"/>
      <c r="F43" s="289">
        <v>3002713038</v>
      </c>
      <c r="G43" s="286">
        <v>52330222</v>
      </c>
      <c r="H43" s="286" t="s">
        <v>6977</v>
      </c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</row>
    <row r="44" spans="1:26" ht="14">
      <c r="A44" s="286" t="s">
        <v>6978</v>
      </c>
      <c r="B44" s="286" t="s">
        <v>5128</v>
      </c>
      <c r="C44" s="287">
        <v>2005</v>
      </c>
      <c r="D44" s="288"/>
      <c r="E44" s="288"/>
      <c r="F44" s="289">
        <v>3005562283</v>
      </c>
      <c r="G44" s="286">
        <v>39783346</v>
      </c>
      <c r="H44" s="286" t="s">
        <v>6979</v>
      </c>
      <c r="I44" s="290">
        <v>46073</v>
      </c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</row>
    <row r="45" spans="1:26" ht="14">
      <c r="A45" s="286" t="s">
        <v>2327</v>
      </c>
      <c r="B45" s="286" t="s">
        <v>5934</v>
      </c>
      <c r="C45" s="287">
        <v>502</v>
      </c>
      <c r="D45" s="288" t="s">
        <v>6980</v>
      </c>
      <c r="E45" s="288"/>
      <c r="F45" s="289">
        <v>3123757704</v>
      </c>
      <c r="G45" s="286">
        <v>1018409384</v>
      </c>
      <c r="H45" s="286" t="s">
        <v>6981</v>
      </c>
      <c r="I45" s="290">
        <v>46071</v>
      </c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</row>
    <row r="46" spans="1:26" ht="14">
      <c r="A46" s="304" t="s">
        <v>6982</v>
      </c>
      <c r="B46" s="286" t="s">
        <v>6983</v>
      </c>
      <c r="C46" s="287">
        <v>701</v>
      </c>
      <c r="D46" s="288" t="s">
        <v>6984</v>
      </c>
      <c r="E46" s="288"/>
      <c r="F46" s="289">
        <v>3222531789</v>
      </c>
      <c r="G46" s="286">
        <v>1005753916</v>
      </c>
      <c r="H46" s="286" t="s">
        <v>6985</v>
      </c>
      <c r="I46" s="290">
        <v>46073</v>
      </c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</row>
    <row r="47" spans="1:26" ht="14">
      <c r="A47" s="286" t="s">
        <v>2594</v>
      </c>
      <c r="B47" s="286" t="s">
        <v>6986</v>
      </c>
      <c r="C47" s="287">
        <v>102</v>
      </c>
      <c r="D47" s="288" t="s">
        <v>6987</v>
      </c>
      <c r="E47" s="288"/>
      <c r="F47" s="289">
        <v>3173047090</v>
      </c>
      <c r="G47" s="286">
        <v>52557001</v>
      </c>
      <c r="H47" s="286" t="s">
        <v>6988</v>
      </c>
      <c r="I47" s="290">
        <v>46073</v>
      </c>
      <c r="J47" s="291"/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</row>
    <row r="48" spans="1:26" ht="14">
      <c r="A48" s="286" t="s">
        <v>264</v>
      </c>
      <c r="B48" s="286" t="s">
        <v>6989</v>
      </c>
      <c r="C48" s="287" t="s">
        <v>3007</v>
      </c>
      <c r="D48" s="288"/>
      <c r="E48" s="288"/>
      <c r="F48" s="289">
        <v>3115316254</v>
      </c>
      <c r="G48" s="286">
        <v>52490146</v>
      </c>
      <c r="H48" s="286" t="s">
        <v>6990</v>
      </c>
      <c r="I48" s="290">
        <v>46073</v>
      </c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</row>
    <row r="49" spans="1:26" ht="14">
      <c r="A49" s="304" t="s">
        <v>6991</v>
      </c>
      <c r="B49" s="286" t="s">
        <v>6992</v>
      </c>
      <c r="C49" s="287">
        <v>404</v>
      </c>
      <c r="D49" s="288"/>
      <c r="E49" s="288"/>
      <c r="F49" s="289">
        <v>3015018955</v>
      </c>
      <c r="G49" s="286">
        <v>32791591</v>
      </c>
      <c r="H49" s="286" t="s">
        <v>6993</v>
      </c>
      <c r="I49" s="291"/>
      <c r="J49" s="291"/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  <c r="Z49" s="291"/>
    </row>
    <row r="50" spans="1:26" ht="14">
      <c r="A50" s="311" t="s">
        <v>6994</v>
      </c>
      <c r="B50" s="286" t="s">
        <v>6953</v>
      </c>
      <c r="C50" s="287">
        <v>1101</v>
      </c>
      <c r="D50" s="288" t="s">
        <v>2772</v>
      </c>
      <c r="E50" s="288"/>
      <c r="F50" s="289">
        <v>3112542653</v>
      </c>
      <c r="G50" s="286">
        <v>41791415</v>
      </c>
      <c r="H50" s="286" t="s">
        <v>6995</v>
      </c>
      <c r="I50" s="290">
        <v>46073</v>
      </c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</row>
    <row r="51" spans="1:26" ht="14">
      <c r="A51" s="312" t="s">
        <v>6996</v>
      </c>
      <c r="B51" s="286" t="s">
        <v>6997</v>
      </c>
      <c r="C51" s="287">
        <v>401</v>
      </c>
      <c r="D51" s="288"/>
      <c r="E51" s="288"/>
      <c r="F51" s="289">
        <v>3172911577</v>
      </c>
      <c r="G51" s="286">
        <v>51902405</v>
      </c>
      <c r="H51" s="286" t="s">
        <v>6998</v>
      </c>
      <c r="I51" s="290">
        <v>46073</v>
      </c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</row>
    <row r="52" spans="1:26" ht="14">
      <c r="A52" s="286" t="s">
        <v>152</v>
      </c>
      <c r="B52" s="286" t="s">
        <v>6999</v>
      </c>
      <c r="C52" s="287">
        <v>804</v>
      </c>
      <c r="D52" s="288" t="s">
        <v>7000</v>
      </c>
      <c r="E52" s="288"/>
      <c r="F52" s="289">
        <v>3175014612</v>
      </c>
      <c r="G52" s="286">
        <v>53077754</v>
      </c>
      <c r="H52" s="286" t="s">
        <v>7001</v>
      </c>
      <c r="I52" s="290">
        <v>46073</v>
      </c>
      <c r="J52" s="291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</row>
    <row r="53" spans="1:26" ht="14">
      <c r="A53" s="286" t="s">
        <v>7002</v>
      </c>
      <c r="B53" s="286" t="s">
        <v>7003</v>
      </c>
      <c r="C53" s="287">
        <v>802</v>
      </c>
      <c r="D53" s="288"/>
      <c r="E53" s="288"/>
      <c r="F53" s="289">
        <v>3152293463</v>
      </c>
      <c r="G53" s="286">
        <v>41324305</v>
      </c>
      <c r="H53" s="286" t="s">
        <v>7004</v>
      </c>
      <c r="I53" s="290">
        <v>46073</v>
      </c>
      <c r="J53" s="291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  <c r="Z53" s="291"/>
    </row>
    <row r="54" spans="1:26" ht="14">
      <c r="A54" s="286" t="s">
        <v>7005</v>
      </c>
      <c r="B54" s="286" t="s">
        <v>7006</v>
      </c>
      <c r="C54" s="287">
        <v>602</v>
      </c>
      <c r="D54" s="309"/>
      <c r="E54" s="288"/>
      <c r="F54" s="289">
        <v>3158627448</v>
      </c>
      <c r="G54" s="286">
        <v>1070919075</v>
      </c>
      <c r="H54" s="286" t="s">
        <v>7007</v>
      </c>
      <c r="I54" s="290">
        <v>46074</v>
      </c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</row>
    <row r="55" spans="1:26" ht="14">
      <c r="A55" s="286" t="s">
        <v>7008</v>
      </c>
      <c r="B55" s="286" t="s">
        <v>7009</v>
      </c>
      <c r="C55" s="287"/>
      <c r="D55" s="288"/>
      <c r="E55" s="288"/>
      <c r="F55" s="289">
        <v>3112564107</v>
      </c>
      <c r="G55" s="286">
        <v>52352223</v>
      </c>
      <c r="H55" s="286" t="s">
        <v>7010</v>
      </c>
      <c r="I55" s="290">
        <v>46076</v>
      </c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91"/>
      <c r="Z55" s="291"/>
    </row>
    <row r="56" spans="1:26" ht="14">
      <c r="A56" s="286" t="s">
        <v>7011</v>
      </c>
      <c r="B56" s="286" t="s">
        <v>7012</v>
      </c>
      <c r="C56" s="287">
        <v>504</v>
      </c>
      <c r="D56" s="288" t="s">
        <v>3833</v>
      </c>
      <c r="E56" s="288"/>
      <c r="F56" s="289">
        <v>3152435014</v>
      </c>
      <c r="G56" s="286">
        <v>35469221</v>
      </c>
      <c r="H56" s="286" t="s">
        <v>7013</v>
      </c>
      <c r="I56" s="290">
        <v>46076</v>
      </c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</row>
    <row r="57" spans="1:26" ht="14">
      <c r="A57" s="286" t="s">
        <v>979</v>
      </c>
      <c r="B57" s="286" t="s">
        <v>7014</v>
      </c>
      <c r="C57" s="287">
        <v>507</v>
      </c>
      <c r="D57" s="288" t="s">
        <v>7015</v>
      </c>
      <c r="E57" s="288"/>
      <c r="F57" s="289">
        <v>3102599318</v>
      </c>
      <c r="G57" s="286">
        <v>22587412</v>
      </c>
      <c r="H57" s="286" t="s">
        <v>7016</v>
      </c>
      <c r="I57" s="290">
        <v>46076</v>
      </c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</row>
    <row r="58" spans="1:26" ht="14">
      <c r="A58" s="304" t="s">
        <v>7017</v>
      </c>
      <c r="B58" s="286" t="s">
        <v>7018</v>
      </c>
      <c r="C58" s="287">
        <v>204</v>
      </c>
      <c r="D58" s="288"/>
      <c r="E58" s="288"/>
      <c r="F58" s="289">
        <v>3002881507</v>
      </c>
      <c r="G58" s="286">
        <v>39613158</v>
      </c>
      <c r="H58" s="286" t="s">
        <v>7019</v>
      </c>
      <c r="I58" s="290">
        <v>46076</v>
      </c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</row>
    <row r="59" spans="1:26" ht="14">
      <c r="A59" s="304" t="s">
        <v>7020</v>
      </c>
      <c r="B59" s="286" t="s">
        <v>7021</v>
      </c>
      <c r="C59" s="287">
        <v>102</v>
      </c>
      <c r="D59" s="288" t="s">
        <v>7022</v>
      </c>
      <c r="E59" s="288" t="s">
        <v>7023</v>
      </c>
      <c r="F59" s="289">
        <v>3053618350</v>
      </c>
      <c r="G59" s="286">
        <v>37799892</v>
      </c>
      <c r="H59" s="286" t="s">
        <v>7024</v>
      </c>
      <c r="I59" s="290">
        <v>46076</v>
      </c>
      <c r="J59" s="291"/>
      <c r="K59" s="291"/>
      <c r="L59" s="291"/>
      <c r="M59" s="291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</row>
    <row r="60" spans="1:26" ht="14">
      <c r="A60" s="286" t="s">
        <v>7025</v>
      </c>
      <c r="B60" s="286" t="s">
        <v>4868</v>
      </c>
      <c r="C60" s="287">
        <v>2404</v>
      </c>
      <c r="D60" s="288"/>
      <c r="E60" s="288"/>
      <c r="F60" s="307">
        <v>3153424989</v>
      </c>
      <c r="G60" s="286">
        <v>51817503</v>
      </c>
      <c r="H60" s="286" t="s">
        <v>7026</v>
      </c>
      <c r="I60" s="290">
        <v>46076</v>
      </c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</row>
    <row r="61" spans="1:26" ht="14">
      <c r="A61" s="304" t="s">
        <v>7027</v>
      </c>
      <c r="B61" s="286" t="s">
        <v>7028</v>
      </c>
      <c r="C61" s="287">
        <v>504</v>
      </c>
      <c r="D61" s="288"/>
      <c r="E61" s="288"/>
      <c r="F61" s="289">
        <v>3107723828</v>
      </c>
      <c r="G61" s="286">
        <v>1005340837</v>
      </c>
      <c r="H61" s="286" t="s">
        <v>7029</v>
      </c>
      <c r="I61" s="290">
        <v>46076</v>
      </c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</row>
    <row r="62" spans="1:26" ht="14">
      <c r="A62" s="286" t="s">
        <v>110</v>
      </c>
      <c r="B62" s="286" t="s">
        <v>7030</v>
      </c>
      <c r="C62" s="287">
        <v>603</v>
      </c>
      <c r="D62" s="288"/>
      <c r="E62" s="288"/>
      <c r="F62" s="289">
        <v>3106971606</v>
      </c>
      <c r="G62" s="286">
        <v>35511929</v>
      </c>
      <c r="H62" s="286" t="s">
        <v>7031</v>
      </c>
      <c r="I62" s="290">
        <v>46076</v>
      </c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</row>
    <row r="63" spans="1:26" ht="14">
      <c r="A63" s="304" t="s">
        <v>7032</v>
      </c>
      <c r="B63" s="286" t="s">
        <v>7033</v>
      </c>
      <c r="C63" s="287"/>
      <c r="D63" s="288"/>
      <c r="E63" s="288"/>
      <c r="F63" s="289">
        <v>3118127915</v>
      </c>
      <c r="G63" s="286">
        <v>79596753</v>
      </c>
      <c r="H63" s="286" t="s">
        <v>7034</v>
      </c>
      <c r="I63" s="290">
        <v>46076</v>
      </c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</row>
    <row r="64" spans="1:26" ht="14">
      <c r="A64" s="286" t="s">
        <v>793</v>
      </c>
      <c r="B64" s="286" t="s">
        <v>7035</v>
      </c>
      <c r="C64" s="287"/>
      <c r="D64" s="288"/>
      <c r="E64" s="288"/>
      <c r="F64" s="289">
        <v>3174279980</v>
      </c>
      <c r="G64" s="286">
        <v>43733900</v>
      </c>
      <c r="H64" s="286" t="s">
        <v>7036</v>
      </c>
      <c r="I64" s="290">
        <v>46076</v>
      </c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</row>
    <row r="65" spans="1:26" ht="14">
      <c r="A65" s="304" t="s">
        <v>7037</v>
      </c>
      <c r="B65" s="286" t="s">
        <v>6667</v>
      </c>
      <c r="C65" s="287">
        <v>203</v>
      </c>
      <c r="D65" s="288"/>
      <c r="E65" s="288"/>
      <c r="F65" s="289">
        <v>3102906230</v>
      </c>
      <c r="G65" s="286">
        <v>20619078</v>
      </c>
      <c r="H65" s="286" t="s">
        <v>7038</v>
      </c>
      <c r="I65" s="290">
        <v>46076</v>
      </c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</row>
    <row r="66" spans="1:26" ht="14">
      <c r="A66" s="304" t="s">
        <v>7039</v>
      </c>
      <c r="B66" s="286" t="s">
        <v>7040</v>
      </c>
      <c r="C66" s="287"/>
      <c r="D66" s="288" t="s">
        <v>3007</v>
      </c>
      <c r="E66" s="288"/>
      <c r="F66" s="289">
        <v>3115615210</v>
      </c>
      <c r="G66" s="286">
        <v>40440670</v>
      </c>
      <c r="H66" s="286" t="s">
        <v>7041</v>
      </c>
      <c r="I66" s="290">
        <v>46076</v>
      </c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</row>
    <row r="67" spans="1:26" ht="14">
      <c r="A67" s="286" t="s">
        <v>2170</v>
      </c>
      <c r="B67" s="286" t="s">
        <v>6880</v>
      </c>
      <c r="C67" s="287">
        <v>1108</v>
      </c>
      <c r="D67" s="288"/>
      <c r="E67" s="288"/>
      <c r="F67" s="289">
        <v>3152895801</v>
      </c>
      <c r="G67" s="286">
        <v>1018454283</v>
      </c>
      <c r="H67" s="286" t="s">
        <v>7042</v>
      </c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</row>
    <row r="68" spans="1:26" ht="14">
      <c r="A68" s="286" t="s">
        <v>7043</v>
      </c>
      <c r="B68" s="286" t="s">
        <v>7044</v>
      </c>
      <c r="C68" s="287">
        <v>402</v>
      </c>
      <c r="D68" s="288" t="s">
        <v>7045</v>
      </c>
      <c r="E68" s="288"/>
      <c r="F68" s="289">
        <v>3188372727</v>
      </c>
      <c r="G68" s="286">
        <v>1020731921</v>
      </c>
      <c r="H68" s="286" t="s">
        <v>7046</v>
      </c>
      <c r="I68" s="290">
        <v>46076</v>
      </c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</row>
    <row r="69" spans="1:26" ht="14">
      <c r="A69" s="286" t="s">
        <v>7047</v>
      </c>
      <c r="B69" s="286" t="s">
        <v>7048</v>
      </c>
      <c r="C69" s="287">
        <v>301</v>
      </c>
      <c r="D69" s="288" t="s">
        <v>7049</v>
      </c>
      <c r="E69" s="288"/>
      <c r="F69" s="289">
        <v>3202910151</v>
      </c>
      <c r="G69" s="286">
        <v>60252273</v>
      </c>
      <c r="H69" s="286" t="s">
        <v>7050</v>
      </c>
      <c r="I69" s="290">
        <v>46076</v>
      </c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</row>
    <row r="70" spans="1:26" ht="14">
      <c r="A70" s="313" t="s">
        <v>635</v>
      </c>
      <c r="B70" s="313" t="s">
        <v>7051</v>
      </c>
      <c r="C70" s="287">
        <v>1207</v>
      </c>
      <c r="D70" s="314" t="s">
        <v>7052</v>
      </c>
      <c r="E70" s="288"/>
      <c r="F70" s="289">
        <v>3016411542</v>
      </c>
      <c r="G70" s="286">
        <v>1020808262</v>
      </c>
      <c r="H70" s="286" t="s">
        <v>7053</v>
      </c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</row>
    <row r="71" spans="1:26" ht="14">
      <c r="A71" s="286" t="s">
        <v>376</v>
      </c>
      <c r="B71" s="286" t="s">
        <v>7054</v>
      </c>
      <c r="C71" s="287">
        <v>504</v>
      </c>
      <c r="D71" s="288"/>
      <c r="E71" s="288"/>
      <c r="F71" s="289">
        <v>3174288461</v>
      </c>
      <c r="G71" s="286">
        <v>63344584</v>
      </c>
      <c r="H71" s="286" t="s">
        <v>7055</v>
      </c>
      <c r="I71" s="290">
        <v>46076</v>
      </c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</row>
    <row r="72" spans="1:26" ht="14">
      <c r="A72" s="304" t="s">
        <v>7056</v>
      </c>
      <c r="B72" s="286" t="s">
        <v>7057</v>
      </c>
      <c r="C72" s="287">
        <v>203</v>
      </c>
      <c r="D72" s="288" t="s">
        <v>7058</v>
      </c>
      <c r="E72" s="288"/>
      <c r="F72" s="289">
        <v>3505349307</v>
      </c>
      <c r="G72" s="286">
        <v>1020757957</v>
      </c>
      <c r="H72" s="286" t="s">
        <v>7059</v>
      </c>
      <c r="I72" s="290">
        <v>46076</v>
      </c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</row>
    <row r="73" spans="1:26" ht="14">
      <c r="A73" s="286" t="s">
        <v>7060</v>
      </c>
      <c r="B73" s="286" t="s">
        <v>7061</v>
      </c>
      <c r="C73" s="287">
        <v>1002</v>
      </c>
      <c r="D73" s="288" t="s">
        <v>7062</v>
      </c>
      <c r="E73" s="288"/>
      <c r="F73" s="289">
        <v>3183906883</v>
      </c>
      <c r="G73" s="286">
        <v>51958049</v>
      </c>
      <c r="H73" s="286" t="s">
        <v>7063</v>
      </c>
      <c r="I73" s="290">
        <v>46076</v>
      </c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</row>
    <row r="74" spans="1:26" ht="14">
      <c r="A74" s="286" t="s">
        <v>7064</v>
      </c>
      <c r="B74" s="286" t="s">
        <v>7065</v>
      </c>
      <c r="C74" s="287">
        <v>503</v>
      </c>
      <c r="D74" s="288" t="s">
        <v>7066</v>
      </c>
      <c r="E74" s="288"/>
      <c r="F74" s="289">
        <v>3177589051</v>
      </c>
      <c r="G74" s="286">
        <v>1026563296</v>
      </c>
      <c r="H74" s="286" t="s">
        <v>7067</v>
      </c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</row>
    <row r="75" spans="1:26" ht="14">
      <c r="A75" s="286" t="s">
        <v>430</v>
      </c>
      <c r="B75" s="286" t="s">
        <v>3449</v>
      </c>
      <c r="C75" s="287">
        <v>302</v>
      </c>
      <c r="D75" s="288" t="s">
        <v>7068</v>
      </c>
      <c r="E75" s="288"/>
      <c r="F75" s="289">
        <v>3045760149</v>
      </c>
      <c r="G75" s="286">
        <v>1032398708</v>
      </c>
      <c r="H75" s="286" t="s">
        <v>7069</v>
      </c>
      <c r="I75" s="290">
        <v>46076</v>
      </c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</row>
    <row r="76" spans="1:26" ht="14">
      <c r="A76" s="298" t="s">
        <v>7070</v>
      </c>
      <c r="B76" s="298" t="s">
        <v>7071</v>
      </c>
      <c r="C76" s="299"/>
      <c r="D76" s="298" t="s">
        <v>7072</v>
      </c>
      <c r="E76" s="298" t="s">
        <v>6376</v>
      </c>
      <c r="F76" s="300">
        <v>3216311926</v>
      </c>
      <c r="G76" s="298">
        <v>52198578</v>
      </c>
      <c r="H76" s="298" t="s">
        <v>7073</v>
      </c>
      <c r="I76" s="290">
        <v>46076</v>
      </c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</row>
    <row r="77" spans="1:26" ht="14">
      <c r="A77" s="286" t="s">
        <v>7074</v>
      </c>
      <c r="B77" s="286" t="s">
        <v>7075</v>
      </c>
      <c r="C77" s="287"/>
      <c r="D77" s="288" t="s">
        <v>7076</v>
      </c>
      <c r="E77" s="288"/>
      <c r="F77" s="289">
        <v>3188017144</v>
      </c>
      <c r="G77" s="313">
        <v>28155161</v>
      </c>
      <c r="H77" s="313" t="s">
        <v>7077</v>
      </c>
      <c r="I77" s="290">
        <v>46076</v>
      </c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</row>
    <row r="78" spans="1:26" ht="14">
      <c r="A78" s="286" t="s">
        <v>7078</v>
      </c>
      <c r="B78" s="286" t="s">
        <v>7079</v>
      </c>
      <c r="C78" s="287">
        <v>204</v>
      </c>
      <c r="D78" s="288" t="s">
        <v>7080</v>
      </c>
      <c r="E78" s="288"/>
      <c r="F78" s="289">
        <v>3506461669</v>
      </c>
      <c r="G78" s="286">
        <v>1136882290</v>
      </c>
      <c r="H78" s="286" t="s">
        <v>7081</v>
      </c>
      <c r="I78" s="290">
        <v>46076</v>
      </c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</row>
    <row r="79" spans="1:26" ht="14">
      <c r="A79" s="286" t="s">
        <v>7082</v>
      </c>
      <c r="B79" s="286" t="s">
        <v>7083</v>
      </c>
      <c r="C79" s="287">
        <v>202</v>
      </c>
      <c r="D79" s="288"/>
      <c r="E79" s="288"/>
      <c r="F79" s="289">
        <v>3045825549</v>
      </c>
      <c r="G79" s="286">
        <v>1127238778</v>
      </c>
      <c r="H79" s="286" t="s">
        <v>7084</v>
      </c>
      <c r="I79" s="290">
        <v>46076</v>
      </c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</row>
    <row r="80" spans="1:26" ht="14">
      <c r="A80" s="286" t="s">
        <v>125</v>
      </c>
      <c r="B80" s="286" t="s">
        <v>7085</v>
      </c>
      <c r="C80" s="287">
        <v>202</v>
      </c>
      <c r="D80" s="288"/>
      <c r="E80" s="288"/>
      <c r="F80" s="289">
        <v>3046228832</v>
      </c>
      <c r="G80" s="286">
        <v>1159816</v>
      </c>
      <c r="H80" s="286" t="s">
        <v>7086</v>
      </c>
      <c r="I80" s="290">
        <v>46076</v>
      </c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</row>
    <row r="81" spans="1:26" ht="14">
      <c r="A81" s="286" t="s">
        <v>914</v>
      </c>
      <c r="B81" s="286" t="s">
        <v>7087</v>
      </c>
      <c r="C81" s="287">
        <v>404</v>
      </c>
      <c r="D81" s="288" t="s">
        <v>7088</v>
      </c>
      <c r="E81" s="288" t="s">
        <v>4854</v>
      </c>
      <c r="F81" s="289">
        <v>3167410108</v>
      </c>
      <c r="G81" s="286" t="s">
        <v>7089</v>
      </c>
      <c r="H81" s="286" t="s">
        <v>7089</v>
      </c>
      <c r="I81" s="291"/>
      <c r="J81" s="291"/>
      <c r="K81" s="291"/>
      <c r="L81" s="291"/>
      <c r="M81" s="291"/>
      <c r="N81" s="291"/>
      <c r="O81" s="291"/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</row>
    <row r="82" spans="1:26" ht="14">
      <c r="A82" s="304" t="s">
        <v>7090</v>
      </c>
      <c r="B82" s="286" t="s">
        <v>7091</v>
      </c>
      <c r="C82" s="287">
        <v>705</v>
      </c>
      <c r="D82" s="288" t="s">
        <v>7092</v>
      </c>
      <c r="E82" s="288" t="s">
        <v>7093</v>
      </c>
      <c r="F82" s="289">
        <v>3158035329</v>
      </c>
      <c r="G82" s="286">
        <v>1018510436</v>
      </c>
      <c r="H82" s="286" t="s">
        <v>7094</v>
      </c>
      <c r="I82" s="290">
        <v>46076</v>
      </c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</row>
    <row r="83" spans="1:26" ht="14">
      <c r="A83" s="304" t="s">
        <v>7095</v>
      </c>
      <c r="B83" s="286" t="s">
        <v>7096</v>
      </c>
      <c r="C83" s="287"/>
      <c r="D83" s="288"/>
      <c r="E83" s="288"/>
      <c r="F83" s="289">
        <v>3108594417</v>
      </c>
      <c r="G83" s="286">
        <v>51834517</v>
      </c>
      <c r="H83" s="286" t="s">
        <v>7097</v>
      </c>
      <c r="I83" s="290">
        <v>46076</v>
      </c>
      <c r="J83" s="291"/>
      <c r="K83" s="291"/>
      <c r="L83" s="291"/>
      <c r="M83" s="291"/>
      <c r="N83" s="291"/>
      <c r="O83" s="291"/>
      <c r="P83" s="291"/>
      <c r="Q83" s="291"/>
      <c r="R83" s="291"/>
      <c r="S83" s="291"/>
      <c r="T83" s="291"/>
      <c r="U83" s="291"/>
      <c r="V83" s="291"/>
      <c r="W83" s="291"/>
      <c r="X83" s="291"/>
      <c r="Y83" s="291"/>
      <c r="Z83" s="291"/>
    </row>
    <row r="84" spans="1:26" ht="14">
      <c r="A84" s="286" t="s">
        <v>7098</v>
      </c>
      <c r="B84" s="286" t="s">
        <v>7099</v>
      </c>
      <c r="C84" s="287">
        <v>403</v>
      </c>
      <c r="D84" s="288" t="s">
        <v>7100</v>
      </c>
      <c r="E84" s="288"/>
      <c r="F84" s="289">
        <v>3168686099</v>
      </c>
      <c r="G84" s="286">
        <v>1075293683</v>
      </c>
      <c r="H84" s="286" t="s">
        <v>7101</v>
      </c>
      <c r="I84" s="291"/>
      <c r="J84" s="291"/>
      <c r="K84" s="291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91"/>
      <c r="Y84" s="291"/>
      <c r="Z84" s="291"/>
    </row>
    <row r="85" spans="1:26" ht="14">
      <c r="A85" s="304" t="s">
        <v>7102</v>
      </c>
      <c r="B85" s="286" t="s">
        <v>7103</v>
      </c>
      <c r="C85" s="287">
        <v>707</v>
      </c>
      <c r="D85" s="288" t="s">
        <v>7104</v>
      </c>
      <c r="E85" s="288"/>
      <c r="F85" s="289">
        <v>3114505849</v>
      </c>
      <c r="G85" s="286">
        <v>1049616873</v>
      </c>
      <c r="H85" s="286"/>
      <c r="I85" s="290">
        <v>46076</v>
      </c>
      <c r="J85" s="291"/>
      <c r="K85" s="291"/>
      <c r="L85" s="291"/>
      <c r="M85" s="291"/>
      <c r="N85" s="291"/>
      <c r="O85" s="29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</row>
    <row r="86" spans="1:26" ht="14">
      <c r="A86" s="304" t="s">
        <v>7105</v>
      </c>
      <c r="B86" s="286" t="s">
        <v>7106</v>
      </c>
      <c r="C86" s="287">
        <v>536</v>
      </c>
      <c r="D86" s="288" t="s">
        <v>7107</v>
      </c>
      <c r="E86" s="288"/>
      <c r="F86" s="289">
        <v>3125820065</v>
      </c>
      <c r="G86" s="286">
        <v>1032392469</v>
      </c>
      <c r="H86" s="286" t="s">
        <v>7108</v>
      </c>
      <c r="I86" s="290">
        <v>46076</v>
      </c>
      <c r="J86" s="291"/>
      <c r="K86" s="291"/>
      <c r="L86" s="291"/>
      <c r="M86" s="291"/>
      <c r="N86" s="291"/>
      <c r="O86" s="29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</row>
    <row r="87" spans="1:26" ht="14">
      <c r="A87" s="298" t="s">
        <v>2183</v>
      </c>
      <c r="B87" s="298" t="s">
        <v>7109</v>
      </c>
      <c r="C87" s="299">
        <v>101</v>
      </c>
      <c r="D87" s="298" t="s">
        <v>7110</v>
      </c>
      <c r="E87" s="298" t="s">
        <v>6014</v>
      </c>
      <c r="F87" s="300">
        <v>3008720803</v>
      </c>
      <c r="G87" s="298">
        <v>1189691</v>
      </c>
      <c r="H87" s="298" t="s">
        <v>7111</v>
      </c>
      <c r="I87" s="290">
        <v>46076</v>
      </c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</row>
    <row r="88" spans="1:26" ht="14">
      <c r="A88" s="298" t="s">
        <v>7112</v>
      </c>
      <c r="B88" s="298" t="s">
        <v>7113</v>
      </c>
      <c r="C88" s="299">
        <v>202</v>
      </c>
      <c r="D88" s="298" t="s">
        <v>7114</v>
      </c>
      <c r="E88" s="298"/>
      <c r="F88" s="300">
        <v>3167474052</v>
      </c>
      <c r="G88" s="298">
        <v>1127574938</v>
      </c>
      <c r="H88" s="298" t="s">
        <v>7115</v>
      </c>
      <c r="I88" s="290">
        <v>46076</v>
      </c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</row>
    <row r="89" spans="1:26" ht="14">
      <c r="A89" s="286" t="s">
        <v>277</v>
      </c>
      <c r="B89" s="286" t="s">
        <v>7116</v>
      </c>
      <c r="C89" s="287">
        <v>205</v>
      </c>
      <c r="D89" s="288"/>
      <c r="E89" s="288"/>
      <c r="F89" s="289">
        <v>3133692908</v>
      </c>
      <c r="G89" s="286">
        <v>79533109</v>
      </c>
      <c r="H89" s="286" t="s">
        <v>7117</v>
      </c>
      <c r="I89" s="291"/>
      <c r="J89" s="291"/>
      <c r="K89" s="291"/>
      <c r="L89" s="291"/>
      <c r="M89" s="291"/>
      <c r="N89" s="291"/>
      <c r="O89" s="291"/>
      <c r="P89" s="291"/>
      <c r="Q89" s="291"/>
      <c r="R89" s="291"/>
      <c r="S89" s="291"/>
      <c r="T89" s="291"/>
      <c r="U89" s="291"/>
      <c r="V89" s="291"/>
      <c r="W89" s="291"/>
      <c r="X89" s="291"/>
      <c r="Y89" s="291"/>
      <c r="Z89" s="291"/>
    </row>
    <row r="90" spans="1:26" ht="14">
      <c r="A90" s="298" t="s">
        <v>7118</v>
      </c>
      <c r="B90" s="298" t="s">
        <v>7119</v>
      </c>
      <c r="C90" s="299">
        <v>402</v>
      </c>
      <c r="D90" s="298"/>
      <c r="E90" s="298"/>
      <c r="F90" s="300">
        <v>3134995307</v>
      </c>
      <c r="G90" s="298">
        <v>51820578</v>
      </c>
      <c r="H90" s="298" t="s">
        <v>7120</v>
      </c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</row>
    <row r="91" spans="1:26" ht="14">
      <c r="A91" s="298" t="s">
        <v>7121</v>
      </c>
      <c r="B91" s="298" t="s">
        <v>7122</v>
      </c>
      <c r="C91" s="299">
        <v>208</v>
      </c>
      <c r="D91" s="298" t="s">
        <v>7123</v>
      </c>
      <c r="E91" s="298"/>
      <c r="F91" s="300">
        <v>3105746478</v>
      </c>
      <c r="G91" s="298">
        <v>41740727</v>
      </c>
      <c r="H91" s="298" t="s">
        <v>7124</v>
      </c>
      <c r="I91" s="290">
        <v>46076</v>
      </c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</row>
    <row r="92" spans="1:26" ht="14">
      <c r="A92" s="298" t="s">
        <v>7125</v>
      </c>
      <c r="B92" s="298" t="s">
        <v>7126</v>
      </c>
      <c r="C92" s="299">
        <v>201</v>
      </c>
      <c r="D92" s="298"/>
      <c r="E92" s="298"/>
      <c r="F92" s="300">
        <v>3158150965</v>
      </c>
      <c r="G92" s="298">
        <v>1020766640</v>
      </c>
      <c r="H92" s="298" t="s">
        <v>7127</v>
      </c>
      <c r="I92" s="290">
        <v>46076</v>
      </c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</row>
    <row r="93" spans="1:26" ht="14">
      <c r="A93" s="298" t="s">
        <v>7128</v>
      </c>
      <c r="B93" s="298" t="s">
        <v>7129</v>
      </c>
      <c r="C93" s="299">
        <v>502</v>
      </c>
      <c r="D93" s="298"/>
      <c r="E93" s="298"/>
      <c r="F93" s="300">
        <v>3012949799</v>
      </c>
      <c r="G93" s="298">
        <v>1020778825</v>
      </c>
      <c r="H93" s="298" t="s">
        <v>7130</v>
      </c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</row>
    <row r="94" spans="1:26" ht="14">
      <c r="A94" s="298" t="s">
        <v>7131</v>
      </c>
      <c r="B94" s="298" t="s">
        <v>7132</v>
      </c>
      <c r="C94" s="299">
        <v>602</v>
      </c>
      <c r="D94" s="298" t="s">
        <v>7133</v>
      </c>
      <c r="E94" s="298"/>
      <c r="F94" s="300">
        <v>3128514682</v>
      </c>
      <c r="G94" s="298">
        <v>110221</v>
      </c>
      <c r="H94" s="298" t="s">
        <v>7134</v>
      </c>
      <c r="I94" s="290">
        <v>46076</v>
      </c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</row>
    <row r="95" spans="1:26" ht="14">
      <c r="A95" s="298" t="s">
        <v>7135</v>
      </c>
      <c r="B95" s="298" t="s">
        <v>7136</v>
      </c>
      <c r="C95" s="299"/>
      <c r="D95" s="298" t="s">
        <v>7137</v>
      </c>
      <c r="E95" s="298" t="s">
        <v>6965</v>
      </c>
      <c r="F95" s="300">
        <v>3174404465</v>
      </c>
      <c r="G95" s="298">
        <v>39775769</v>
      </c>
      <c r="H95" s="298" t="s">
        <v>7138</v>
      </c>
      <c r="I95" s="290">
        <v>46076</v>
      </c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</row>
    <row r="96" spans="1:26" ht="14">
      <c r="A96" s="298" t="s">
        <v>7139</v>
      </c>
      <c r="B96" s="298" t="s">
        <v>7140</v>
      </c>
      <c r="C96" s="299">
        <v>54</v>
      </c>
      <c r="D96" s="298" t="s">
        <v>7141</v>
      </c>
      <c r="E96" s="298"/>
      <c r="F96" s="300">
        <v>3102896746</v>
      </c>
      <c r="G96" s="298">
        <v>52694366</v>
      </c>
      <c r="H96" s="298" t="s">
        <v>7142</v>
      </c>
      <c r="I96" s="290">
        <v>46076</v>
      </c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</row>
    <row r="97" spans="1:26" ht="14">
      <c r="A97" s="298" t="s">
        <v>7143</v>
      </c>
      <c r="B97" s="298" t="s">
        <v>7144</v>
      </c>
      <c r="C97" s="299">
        <v>601</v>
      </c>
      <c r="D97" s="298"/>
      <c r="E97" s="298"/>
      <c r="F97" s="300">
        <v>3124314261</v>
      </c>
      <c r="G97" s="298">
        <v>11301991</v>
      </c>
      <c r="H97" s="298" t="s">
        <v>7145</v>
      </c>
      <c r="I97" s="290">
        <v>46076</v>
      </c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</row>
    <row r="98" spans="1:26" ht="14">
      <c r="A98" s="298" t="s">
        <v>7146</v>
      </c>
      <c r="B98" s="298" t="s">
        <v>7147</v>
      </c>
      <c r="C98" s="299">
        <v>410</v>
      </c>
      <c r="D98" s="298"/>
      <c r="E98" s="298"/>
      <c r="F98" s="300">
        <v>3002836130</v>
      </c>
      <c r="G98" s="298">
        <v>1130678619</v>
      </c>
      <c r="H98" s="298" t="s">
        <v>7148</v>
      </c>
      <c r="I98" s="290">
        <v>46076</v>
      </c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</row>
    <row r="99" spans="1:26" ht="14">
      <c r="A99" s="298" t="s">
        <v>7149</v>
      </c>
      <c r="B99" s="298" t="s">
        <v>7150</v>
      </c>
      <c r="C99" s="299"/>
      <c r="D99" s="298"/>
      <c r="E99" s="298"/>
      <c r="F99" s="300">
        <v>3016973918</v>
      </c>
      <c r="G99" s="298">
        <v>52144816</v>
      </c>
      <c r="H99" s="298" t="s">
        <v>7151</v>
      </c>
      <c r="I99" s="290">
        <v>46076</v>
      </c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</row>
    <row r="100" spans="1:26" ht="14">
      <c r="A100" s="298" t="s">
        <v>7152</v>
      </c>
      <c r="B100" s="298" t="s">
        <v>7153</v>
      </c>
      <c r="C100" s="299"/>
      <c r="D100" s="298"/>
      <c r="E100" s="298"/>
      <c r="F100" s="300">
        <v>3013621356</v>
      </c>
      <c r="G100" s="298">
        <v>1053604260</v>
      </c>
      <c r="H100" s="298" t="s">
        <v>7154</v>
      </c>
      <c r="I100" s="290">
        <v>46076</v>
      </c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</row>
    <row r="101" spans="1:26" ht="14">
      <c r="A101" s="298" t="s">
        <v>155</v>
      </c>
      <c r="B101" s="298" t="s">
        <v>7155</v>
      </c>
      <c r="C101" s="299">
        <v>207</v>
      </c>
      <c r="D101" s="298" t="s">
        <v>7156</v>
      </c>
      <c r="E101" s="298"/>
      <c r="F101" s="300">
        <v>3043833590</v>
      </c>
      <c r="G101" s="298">
        <v>1095799740</v>
      </c>
      <c r="H101" s="298" t="s">
        <v>7157</v>
      </c>
      <c r="I101" s="290">
        <v>46076</v>
      </c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</row>
    <row r="102" spans="1:26" ht="14">
      <c r="A102" s="298" t="s">
        <v>7158</v>
      </c>
      <c r="B102" s="298" t="s">
        <v>7159</v>
      </c>
      <c r="C102" s="299">
        <v>107</v>
      </c>
      <c r="D102" s="298"/>
      <c r="E102" s="298"/>
      <c r="F102" s="300">
        <v>3024735971</v>
      </c>
      <c r="G102" s="298">
        <v>5713477</v>
      </c>
      <c r="H102" s="298" t="s">
        <v>7160</v>
      </c>
      <c r="I102" s="290">
        <v>46076</v>
      </c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</row>
    <row r="103" spans="1:26" ht="14">
      <c r="A103" s="298" t="s">
        <v>7161</v>
      </c>
      <c r="B103" s="298" t="s">
        <v>7162</v>
      </c>
      <c r="C103" s="299">
        <v>501</v>
      </c>
      <c r="D103" s="298" t="s">
        <v>7163</v>
      </c>
      <c r="E103" s="298"/>
      <c r="F103" s="300">
        <v>3102043708</v>
      </c>
      <c r="G103" s="298" t="s">
        <v>7164</v>
      </c>
      <c r="H103" s="298" t="s">
        <v>7165</v>
      </c>
      <c r="I103" s="290">
        <v>46076</v>
      </c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</row>
    <row r="104" spans="1:26" ht="14">
      <c r="A104" s="298" t="s">
        <v>7166</v>
      </c>
      <c r="B104" s="298" t="s">
        <v>7167</v>
      </c>
      <c r="C104" s="299">
        <v>503</v>
      </c>
      <c r="D104" s="298"/>
      <c r="E104" s="298"/>
      <c r="F104" s="300">
        <v>3186954977</v>
      </c>
      <c r="G104" s="298">
        <v>1020803580</v>
      </c>
      <c r="H104" s="298" t="s">
        <v>7168</v>
      </c>
      <c r="I104" s="290">
        <v>46076</v>
      </c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</row>
    <row r="105" spans="1:26" ht="14">
      <c r="A105" s="298" t="s">
        <v>7169</v>
      </c>
      <c r="B105" s="298" t="s">
        <v>7170</v>
      </c>
      <c r="C105" s="299">
        <v>511</v>
      </c>
      <c r="D105" s="298"/>
      <c r="E105" s="298"/>
      <c r="F105" s="300">
        <v>3133642883</v>
      </c>
      <c r="G105" s="298">
        <v>53178832</v>
      </c>
      <c r="H105" s="298" t="s">
        <v>7171</v>
      </c>
      <c r="I105" s="290">
        <v>46076</v>
      </c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</row>
    <row r="106" spans="1:26" ht="14">
      <c r="A106" s="298" t="s">
        <v>7172</v>
      </c>
      <c r="B106" s="298" t="s">
        <v>7173</v>
      </c>
      <c r="C106" s="299">
        <v>210</v>
      </c>
      <c r="D106" s="298"/>
      <c r="E106" s="298"/>
      <c r="F106" s="300">
        <v>3214729825</v>
      </c>
      <c r="G106" s="298">
        <v>52966589</v>
      </c>
      <c r="H106" s="298" t="s">
        <v>7174</v>
      </c>
      <c r="I106" s="290">
        <v>46076</v>
      </c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</row>
    <row r="107" spans="1:26" ht="14">
      <c r="A107" s="298" t="s">
        <v>7175</v>
      </c>
      <c r="B107" s="298" t="s">
        <v>7176</v>
      </c>
      <c r="C107" s="299">
        <v>202</v>
      </c>
      <c r="D107" s="298" t="s">
        <v>2962</v>
      </c>
      <c r="E107" s="298"/>
      <c r="F107" s="300">
        <v>3183271482</v>
      </c>
      <c r="G107" s="298">
        <v>1061710912</v>
      </c>
      <c r="H107" s="298" t="s">
        <v>7177</v>
      </c>
      <c r="I107" s="290">
        <v>46076</v>
      </c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</row>
    <row r="108" spans="1:26" ht="14">
      <c r="A108" s="298" t="s">
        <v>359</v>
      </c>
      <c r="B108" s="298" t="s">
        <v>7178</v>
      </c>
      <c r="C108" s="299">
        <v>103</v>
      </c>
      <c r="D108" s="298"/>
      <c r="E108" s="298"/>
      <c r="F108" s="300">
        <v>3108719176</v>
      </c>
      <c r="G108" s="298">
        <v>79285231</v>
      </c>
      <c r="H108" s="298" t="s">
        <v>7179</v>
      </c>
      <c r="I108" s="290">
        <v>46076</v>
      </c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</row>
    <row r="109" spans="1:26" ht="14">
      <c r="A109" s="286" t="s">
        <v>7180</v>
      </c>
      <c r="B109" s="313" t="s">
        <v>7181</v>
      </c>
      <c r="C109" s="287">
        <v>203</v>
      </c>
      <c r="D109" s="288"/>
      <c r="E109" s="288"/>
      <c r="F109" s="289">
        <v>3158985950</v>
      </c>
      <c r="G109" s="286">
        <v>1136881890</v>
      </c>
      <c r="H109" s="286" t="s">
        <v>7182</v>
      </c>
      <c r="I109" s="291"/>
      <c r="J109" s="291"/>
      <c r="K109" s="291"/>
      <c r="L109" s="291"/>
      <c r="M109" s="291"/>
      <c r="N109" s="291"/>
      <c r="O109" s="291"/>
      <c r="P109" s="291"/>
      <c r="Q109" s="291"/>
      <c r="R109" s="291"/>
      <c r="S109" s="291"/>
      <c r="T109" s="291"/>
      <c r="U109" s="291"/>
      <c r="V109" s="291"/>
      <c r="W109" s="291"/>
      <c r="X109" s="291"/>
      <c r="Y109" s="291"/>
      <c r="Z109" s="291"/>
    </row>
    <row r="110" spans="1:26" ht="14">
      <c r="A110" s="298" t="s">
        <v>7183</v>
      </c>
      <c r="B110" s="298" t="s">
        <v>7184</v>
      </c>
      <c r="C110" s="299">
        <v>401</v>
      </c>
      <c r="D110" s="298"/>
      <c r="E110" s="298"/>
      <c r="F110" s="300">
        <v>3114900012</v>
      </c>
      <c r="G110" s="298">
        <v>41549598</v>
      </c>
      <c r="H110" s="298" t="s">
        <v>7185</v>
      </c>
      <c r="I110" s="290">
        <v>46076</v>
      </c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</row>
    <row r="111" spans="1:26" ht="14">
      <c r="A111" s="298" t="s">
        <v>7186</v>
      </c>
      <c r="B111" s="298" t="s">
        <v>7187</v>
      </c>
      <c r="C111" s="299" t="s">
        <v>4969</v>
      </c>
      <c r="D111" s="298"/>
      <c r="E111" s="298"/>
      <c r="F111" s="300">
        <v>3212496212</v>
      </c>
      <c r="G111" s="298">
        <v>41597402</v>
      </c>
      <c r="H111" s="298" t="s">
        <v>7188</v>
      </c>
      <c r="I111" s="290">
        <v>46076</v>
      </c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</row>
    <row r="112" spans="1:26" ht="14">
      <c r="A112" s="298" t="s">
        <v>918</v>
      </c>
      <c r="B112" s="298" t="s">
        <v>7189</v>
      </c>
      <c r="C112" s="299"/>
      <c r="D112" s="298"/>
      <c r="E112" s="298"/>
      <c r="F112" s="300">
        <v>3213828238</v>
      </c>
      <c r="G112" s="298">
        <v>1072657824</v>
      </c>
      <c r="H112" s="298" t="s">
        <v>7190</v>
      </c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</row>
    <row r="113" spans="1:26" ht="14">
      <c r="A113" s="298" t="s">
        <v>7191</v>
      </c>
      <c r="B113" s="298" t="s">
        <v>7192</v>
      </c>
      <c r="C113" s="299">
        <v>301</v>
      </c>
      <c r="D113" s="298"/>
      <c r="E113" s="298"/>
      <c r="F113" s="300">
        <v>3028439590</v>
      </c>
      <c r="G113" s="298">
        <v>8013947</v>
      </c>
      <c r="H113" s="298" t="s">
        <v>7193</v>
      </c>
      <c r="I113" s="290">
        <v>46076</v>
      </c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</row>
    <row r="114" spans="1:26" ht="14">
      <c r="A114" s="298" t="s">
        <v>7194</v>
      </c>
      <c r="B114" s="298" t="s">
        <v>7195</v>
      </c>
      <c r="C114" s="299"/>
      <c r="D114" s="298" t="s">
        <v>7196</v>
      </c>
      <c r="E114" s="298"/>
      <c r="F114" s="300">
        <v>3057372249</v>
      </c>
      <c r="G114" s="298"/>
      <c r="H114" s="298" t="s">
        <v>7197</v>
      </c>
      <c r="I114" s="290">
        <v>46076</v>
      </c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</row>
    <row r="115" spans="1:26" ht="14">
      <c r="A115" s="298" t="s">
        <v>2023</v>
      </c>
      <c r="B115" s="298" t="s">
        <v>7198</v>
      </c>
      <c r="C115" s="299">
        <v>206</v>
      </c>
      <c r="D115" s="298"/>
      <c r="E115" s="298"/>
      <c r="F115" s="300">
        <v>3124579497</v>
      </c>
      <c r="G115" s="298">
        <v>37713717</v>
      </c>
      <c r="H115" s="298" t="s">
        <v>7199</v>
      </c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</row>
    <row r="116" spans="1:26" ht="14">
      <c r="A116" s="286" t="s">
        <v>2083</v>
      </c>
      <c r="B116" s="286" t="s">
        <v>7200</v>
      </c>
      <c r="C116" s="287">
        <v>802</v>
      </c>
      <c r="D116" s="288" t="s">
        <v>7201</v>
      </c>
      <c r="E116" s="288"/>
      <c r="F116" s="289">
        <v>3114534348</v>
      </c>
      <c r="G116" s="286">
        <v>1018406326</v>
      </c>
      <c r="H116" s="286" t="s">
        <v>7202</v>
      </c>
      <c r="I116" s="290">
        <v>46076</v>
      </c>
      <c r="J116" s="291"/>
      <c r="K116" s="291"/>
      <c r="L116" s="291"/>
      <c r="M116" s="291"/>
      <c r="N116" s="291"/>
      <c r="O116" s="291"/>
      <c r="P116" s="291"/>
      <c r="Q116" s="291"/>
      <c r="R116" s="291"/>
      <c r="S116" s="291"/>
      <c r="T116" s="291"/>
      <c r="U116" s="291"/>
      <c r="V116" s="291"/>
      <c r="W116" s="291"/>
      <c r="X116" s="291"/>
      <c r="Y116" s="291"/>
      <c r="Z116" s="291"/>
    </row>
    <row r="117" spans="1:26" ht="14">
      <c r="A117" s="286" t="s">
        <v>2322</v>
      </c>
      <c r="B117" s="286" t="s">
        <v>7203</v>
      </c>
      <c r="C117" s="287" t="s">
        <v>7204</v>
      </c>
      <c r="D117" s="288"/>
      <c r="E117" s="288"/>
      <c r="F117" s="289">
        <v>3144147592</v>
      </c>
      <c r="G117" s="286">
        <v>52265962</v>
      </c>
      <c r="H117" s="286" t="s">
        <v>7205</v>
      </c>
      <c r="I117" s="291"/>
      <c r="J117" s="291"/>
      <c r="K117" s="291"/>
      <c r="L117" s="291"/>
      <c r="M117" s="291"/>
      <c r="N117" s="291"/>
      <c r="O117" s="291"/>
      <c r="P117" s="291"/>
      <c r="Q117" s="291"/>
      <c r="R117" s="291"/>
      <c r="S117" s="291"/>
      <c r="T117" s="291"/>
      <c r="U117" s="291"/>
      <c r="V117" s="291"/>
      <c r="W117" s="291"/>
      <c r="X117" s="291"/>
      <c r="Y117" s="291"/>
      <c r="Z117" s="291"/>
    </row>
    <row r="118" spans="1:26" ht="14">
      <c r="A118" s="298" t="s">
        <v>7206</v>
      </c>
      <c r="B118" s="298" t="s">
        <v>7207</v>
      </c>
      <c r="C118" s="316">
        <v>403</v>
      </c>
      <c r="D118" s="298"/>
      <c r="E118" s="298"/>
      <c r="F118" s="300">
        <v>3102313562</v>
      </c>
      <c r="G118" s="298">
        <v>19216123</v>
      </c>
      <c r="H118" s="298" t="s">
        <v>7208</v>
      </c>
      <c r="I118" s="290">
        <v>46076</v>
      </c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</row>
    <row r="119" spans="1:26" ht="14">
      <c r="A119" s="298" t="s">
        <v>7209</v>
      </c>
      <c r="B119" s="298" t="s">
        <v>7210</v>
      </c>
      <c r="C119" s="299">
        <v>701</v>
      </c>
      <c r="D119" s="298" t="s">
        <v>3129</v>
      </c>
      <c r="E119" s="298"/>
      <c r="F119" s="300">
        <v>3107711289</v>
      </c>
      <c r="G119" s="298">
        <v>1020806993</v>
      </c>
      <c r="H119" s="298" t="s">
        <v>7211</v>
      </c>
      <c r="I119" s="290">
        <v>46076</v>
      </c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</row>
    <row r="120" spans="1:26" ht="14">
      <c r="A120" s="298" t="s">
        <v>7212</v>
      </c>
      <c r="B120" s="298" t="s">
        <v>7213</v>
      </c>
      <c r="C120" s="299">
        <v>202</v>
      </c>
      <c r="D120" s="298"/>
      <c r="E120" s="298"/>
      <c r="F120" s="300">
        <v>3015891681</v>
      </c>
      <c r="G120" s="298">
        <v>24717563</v>
      </c>
      <c r="H120" s="298" t="s">
        <v>7214</v>
      </c>
      <c r="I120" s="290">
        <v>46076</v>
      </c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</row>
    <row r="121" spans="1:26" ht="14">
      <c r="A121" s="298" t="s">
        <v>7215</v>
      </c>
      <c r="B121" s="298" t="s">
        <v>7216</v>
      </c>
      <c r="C121" s="299">
        <v>501</v>
      </c>
      <c r="D121" s="298" t="s">
        <v>7217</v>
      </c>
      <c r="E121" s="298"/>
      <c r="F121" s="300">
        <v>3017214320</v>
      </c>
      <c r="G121" s="298">
        <v>80076327</v>
      </c>
      <c r="H121" s="298" t="s">
        <v>7218</v>
      </c>
      <c r="I121" s="290">
        <v>46076</v>
      </c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</row>
    <row r="122" spans="1:26" ht="14">
      <c r="A122" s="298" t="s">
        <v>713</v>
      </c>
      <c r="B122" s="298" t="s">
        <v>7219</v>
      </c>
      <c r="C122" s="299"/>
      <c r="D122" s="298"/>
      <c r="E122" s="298"/>
      <c r="F122" s="300">
        <v>3212167496</v>
      </c>
      <c r="G122" s="298">
        <v>52991925</v>
      </c>
      <c r="H122" s="298" t="s">
        <v>7220</v>
      </c>
      <c r="I122" s="290">
        <v>46076</v>
      </c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</row>
    <row r="123" spans="1:26" ht="14">
      <c r="A123" s="298" t="s">
        <v>7221</v>
      </c>
      <c r="B123" s="298" t="s">
        <v>7222</v>
      </c>
      <c r="C123" s="299">
        <v>715</v>
      </c>
      <c r="D123" s="298"/>
      <c r="E123" s="298"/>
      <c r="F123" s="300">
        <v>3208496315</v>
      </c>
      <c r="G123" s="298">
        <v>1049604062</v>
      </c>
      <c r="H123" s="298" t="s">
        <v>7223</v>
      </c>
      <c r="I123" s="290">
        <v>46076</v>
      </c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</row>
    <row r="124" spans="1:26" ht="14">
      <c r="A124" s="298" t="s">
        <v>7224</v>
      </c>
      <c r="B124" s="298" t="s">
        <v>7225</v>
      </c>
      <c r="C124" s="299"/>
      <c r="D124" s="298" t="s">
        <v>7226</v>
      </c>
      <c r="E124" s="298"/>
      <c r="F124" s="300">
        <v>3164474557</v>
      </c>
      <c r="G124" s="298">
        <v>31989623</v>
      </c>
      <c r="H124" s="298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</row>
    <row r="125" spans="1:26" ht="14">
      <c r="A125" s="286" t="s">
        <v>7227</v>
      </c>
      <c r="B125" s="286" t="s">
        <v>7228</v>
      </c>
      <c r="C125" s="287">
        <v>904</v>
      </c>
      <c r="D125" s="288"/>
      <c r="E125" s="288"/>
      <c r="F125" s="289">
        <v>3156148853</v>
      </c>
      <c r="G125" s="286">
        <v>1020726058</v>
      </c>
      <c r="H125" s="286" t="s">
        <v>7229</v>
      </c>
      <c r="I125" s="291"/>
      <c r="J125" s="291"/>
      <c r="K125" s="291"/>
      <c r="L125" s="291"/>
      <c r="M125" s="291"/>
      <c r="N125" s="291"/>
      <c r="O125" s="291"/>
      <c r="P125" s="291"/>
      <c r="Q125" s="291"/>
      <c r="R125" s="291"/>
      <c r="S125" s="291"/>
      <c r="T125" s="291"/>
      <c r="U125" s="291"/>
      <c r="V125" s="291"/>
      <c r="W125" s="291"/>
      <c r="X125" s="291"/>
      <c r="Y125" s="291"/>
      <c r="Z125" s="291"/>
    </row>
    <row r="126" spans="1:26" ht="14">
      <c r="A126" s="286" t="s">
        <v>835</v>
      </c>
      <c r="B126" s="286" t="s">
        <v>7230</v>
      </c>
      <c r="C126" s="287">
        <v>502</v>
      </c>
      <c r="D126" s="288" t="s">
        <v>7231</v>
      </c>
      <c r="E126" s="288" t="s">
        <v>7232</v>
      </c>
      <c r="F126" s="289">
        <v>3208664778</v>
      </c>
      <c r="G126" s="286">
        <v>19058877</v>
      </c>
      <c r="H126" s="286" t="s">
        <v>7233</v>
      </c>
      <c r="I126" s="291"/>
      <c r="J126" s="291"/>
      <c r="K126" s="291"/>
      <c r="L126" s="291"/>
      <c r="M126" s="291"/>
      <c r="N126" s="291"/>
      <c r="O126" s="291"/>
      <c r="P126" s="291"/>
      <c r="Q126" s="291"/>
      <c r="R126" s="291"/>
      <c r="S126" s="291"/>
      <c r="T126" s="291"/>
      <c r="U126" s="291"/>
      <c r="V126" s="291"/>
      <c r="W126" s="291"/>
      <c r="X126" s="291"/>
      <c r="Y126" s="291"/>
      <c r="Z126" s="291"/>
    </row>
    <row r="127" spans="1:26" ht="14">
      <c r="A127" s="298" t="s">
        <v>7234</v>
      </c>
      <c r="B127" s="298" t="s">
        <v>7235</v>
      </c>
      <c r="C127" s="299">
        <v>603</v>
      </c>
      <c r="D127" s="298"/>
      <c r="E127" s="298"/>
      <c r="F127" s="300" t="s">
        <v>7236</v>
      </c>
      <c r="G127" s="298"/>
      <c r="H127" s="298"/>
      <c r="I127" s="290">
        <v>46076</v>
      </c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</row>
    <row r="128" spans="1:26" ht="14">
      <c r="A128" s="298" t="s">
        <v>7237</v>
      </c>
      <c r="B128" s="298" t="s">
        <v>7238</v>
      </c>
      <c r="C128" s="299">
        <v>601</v>
      </c>
      <c r="D128" s="298"/>
      <c r="E128" s="298"/>
      <c r="F128" s="300">
        <v>3108196218</v>
      </c>
      <c r="G128" s="298">
        <v>79152638</v>
      </c>
      <c r="H128" s="298" t="s">
        <v>7239</v>
      </c>
      <c r="I128" s="290">
        <v>46076</v>
      </c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</row>
    <row r="129" spans="1:26" ht="14">
      <c r="A129" s="304" t="s">
        <v>7240</v>
      </c>
      <c r="B129" s="286" t="s">
        <v>7241</v>
      </c>
      <c r="C129" s="287">
        <v>509</v>
      </c>
      <c r="D129" s="288" t="s">
        <v>7242</v>
      </c>
      <c r="E129" s="288"/>
      <c r="F129" s="289">
        <v>3182331268</v>
      </c>
      <c r="G129" s="286">
        <v>41569066</v>
      </c>
      <c r="H129" s="286"/>
      <c r="I129" s="290">
        <v>46076</v>
      </c>
      <c r="J129" s="291"/>
      <c r="K129" s="291"/>
      <c r="L129" s="291"/>
      <c r="M129" s="291"/>
      <c r="N129" s="291"/>
      <c r="O129" s="291"/>
      <c r="P129" s="291"/>
      <c r="Q129" s="291"/>
      <c r="R129" s="291"/>
      <c r="S129" s="291"/>
      <c r="T129" s="291"/>
      <c r="U129" s="291"/>
      <c r="V129" s="291"/>
      <c r="W129" s="291"/>
      <c r="X129" s="291"/>
      <c r="Y129" s="291"/>
      <c r="Z129" s="291"/>
    </row>
    <row r="130" spans="1:26" ht="14">
      <c r="A130" s="298" t="s">
        <v>7243</v>
      </c>
      <c r="B130" s="298" t="s">
        <v>7244</v>
      </c>
      <c r="C130" s="299"/>
      <c r="D130" s="298"/>
      <c r="E130" s="298"/>
      <c r="F130" s="300">
        <v>3112222407</v>
      </c>
      <c r="G130" s="298" t="s">
        <v>7245</v>
      </c>
      <c r="H130" s="298" t="s">
        <v>7246</v>
      </c>
      <c r="I130" s="290">
        <v>46076</v>
      </c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</row>
    <row r="131" spans="1:26" ht="14">
      <c r="A131" s="286" t="s">
        <v>268</v>
      </c>
      <c r="B131" s="286" t="s">
        <v>7247</v>
      </c>
      <c r="C131" s="287">
        <v>502</v>
      </c>
      <c r="D131" s="288"/>
      <c r="E131" s="288"/>
      <c r="F131" s="289">
        <v>3153291898</v>
      </c>
      <c r="G131" s="286">
        <v>1020731202</v>
      </c>
      <c r="H131" s="286" t="s">
        <v>7248</v>
      </c>
      <c r="I131" s="290">
        <v>46076</v>
      </c>
      <c r="J131" s="291"/>
      <c r="K131" s="291"/>
      <c r="L131" s="291"/>
      <c r="M131" s="291"/>
      <c r="N131" s="291"/>
      <c r="O131" s="291"/>
      <c r="P131" s="291"/>
      <c r="Q131" s="291"/>
      <c r="R131" s="291"/>
      <c r="S131" s="291"/>
      <c r="T131" s="291"/>
      <c r="U131" s="291"/>
      <c r="V131" s="291"/>
      <c r="W131" s="291"/>
      <c r="X131" s="291"/>
      <c r="Y131" s="291"/>
      <c r="Z131" s="291"/>
    </row>
    <row r="132" spans="1:26" ht="14">
      <c r="A132" s="298" t="s">
        <v>7249</v>
      </c>
      <c r="B132" s="298" t="s">
        <v>7250</v>
      </c>
      <c r="C132" s="299">
        <v>1604</v>
      </c>
      <c r="D132" s="298"/>
      <c r="E132" s="298"/>
      <c r="F132" s="300">
        <v>3023885144</v>
      </c>
      <c r="G132" s="298">
        <v>1129526906</v>
      </c>
      <c r="H132" s="298" t="s">
        <v>7251</v>
      </c>
      <c r="I132" s="290">
        <v>46076</v>
      </c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</row>
    <row r="133" spans="1:26" ht="14">
      <c r="A133" s="298" t="s">
        <v>7252</v>
      </c>
      <c r="B133" s="298" t="s">
        <v>7253</v>
      </c>
      <c r="C133" s="299">
        <v>201</v>
      </c>
      <c r="D133" s="298" t="s">
        <v>7254</v>
      </c>
      <c r="E133" s="298" t="s">
        <v>7255</v>
      </c>
      <c r="F133" s="300">
        <v>3108078718</v>
      </c>
      <c r="G133" s="298">
        <v>35220348</v>
      </c>
      <c r="H133" s="298" t="s">
        <v>7256</v>
      </c>
      <c r="I133" s="290">
        <v>46076</v>
      </c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</row>
    <row r="134" spans="1:26" ht="14">
      <c r="A134" s="298" t="s">
        <v>7257</v>
      </c>
      <c r="B134" s="298" t="s">
        <v>7258</v>
      </c>
      <c r="C134" s="299">
        <v>601</v>
      </c>
      <c r="D134" s="298"/>
      <c r="E134" s="298"/>
      <c r="F134" s="300">
        <v>3016984323</v>
      </c>
      <c r="G134" s="298">
        <v>41600882</v>
      </c>
      <c r="H134" s="298" t="s">
        <v>7259</v>
      </c>
      <c r="I134" s="290">
        <v>46076</v>
      </c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</row>
    <row r="135" spans="1:26" ht="14">
      <c r="A135" s="298" t="s">
        <v>12</v>
      </c>
      <c r="B135" s="298" t="s">
        <v>7260</v>
      </c>
      <c r="C135" s="299"/>
      <c r="D135" s="298"/>
      <c r="E135" s="298"/>
      <c r="F135" s="300">
        <v>3102370451</v>
      </c>
      <c r="G135" s="298">
        <v>39785180</v>
      </c>
      <c r="H135" s="298" t="s">
        <v>7261</v>
      </c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</row>
    <row r="136" spans="1:26" ht="14">
      <c r="A136" s="298" t="s">
        <v>468</v>
      </c>
      <c r="B136" s="298" t="s">
        <v>7262</v>
      </c>
      <c r="C136" s="299">
        <v>101</v>
      </c>
      <c r="D136" s="298"/>
      <c r="E136" s="298"/>
      <c r="F136" s="300">
        <v>3108884492</v>
      </c>
      <c r="G136" s="298">
        <v>50897846</v>
      </c>
      <c r="H136" s="298" t="s">
        <v>7263</v>
      </c>
      <c r="I136" s="290">
        <v>46076</v>
      </c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</row>
    <row r="137" spans="1:26" ht="14">
      <c r="A137" s="298" t="s">
        <v>7264</v>
      </c>
      <c r="B137" s="298" t="s">
        <v>7265</v>
      </c>
      <c r="C137" s="299">
        <v>501</v>
      </c>
      <c r="D137" s="298" t="s">
        <v>7266</v>
      </c>
      <c r="E137" s="298"/>
      <c r="F137" s="300">
        <v>3014857196</v>
      </c>
      <c r="G137" s="298">
        <v>1127573546</v>
      </c>
      <c r="H137" s="298" t="s">
        <v>7267</v>
      </c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</row>
    <row r="138" spans="1:26" ht="14">
      <c r="A138" s="298" t="s">
        <v>151</v>
      </c>
      <c r="B138" s="298" t="s">
        <v>7268</v>
      </c>
      <c r="C138" s="299">
        <v>206</v>
      </c>
      <c r="D138" s="298" t="s">
        <v>7269</v>
      </c>
      <c r="E138" s="298"/>
      <c r="F138" s="300">
        <f>41798249778</f>
        <v>41798249778</v>
      </c>
      <c r="G138" s="286">
        <v>22252632</v>
      </c>
      <c r="H138" s="286" t="s">
        <v>7270</v>
      </c>
      <c r="I138" s="290">
        <v>46076</v>
      </c>
      <c r="J138" s="291"/>
      <c r="K138" s="291"/>
      <c r="L138" s="291"/>
      <c r="M138" s="291"/>
      <c r="N138" s="291"/>
      <c r="O138" s="291"/>
      <c r="P138" s="291"/>
      <c r="Q138" s="291"/>
      <c r="R138" s="291"/>
      <c r="S138" s="291"/>
      <c r="T138" s="291"/>
      <c r="U138" s="291"/>
      <c r="V138" s="291"/>
      <c r="W138" s="291"/>
      <c r="X138" s="291"/>
      <c r="Y138" s="291"/>
      <c r="Z138" s="291"/>
    </row>
    <row r="139" spans="1:26" ht="14">
      <c r="A139" s="298" t="s">
        <v>2050</v>
      </c>
      <c r="B139" s="298" t="s">
        <v>7271</v>
      </c>
      <c r="C139" s="299">
        <v>401</v>
      </c>
      <c r="D139" s="298" t="s">
        <v>7272</v>
      </c>
      <c r="E139" s="298"/>
      <c r="F139" s="300">
        <v>3017844410</v>
      </c>
      <c r="G139" s="298">
        <v>13740823</v>
      </c>
      <c r="H139" s="298" t="s">
        <v>7273</v>
      </c>
      <c r="I139" s="290">
        <v>46076</v>
      </c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</row>
    <row r="140" spans="1:26" ht="14">
      <c r="A140" s="298" t="s">
        <v>7274</v>
      </c>
      <c r="B140" s="298" t="s">
        <v>7275</v>
      </c>
      <c r="C140" s="299"/>
      <c r="D140" s="298"/>
      <c r="E140" s="298"/>
      <c r="F140" s="300">
        <v>3102051865</v>
      </c>
      <c r="G140" s="298">
        <v>32638699</v>
      </c>
      <c r="H140" s="298" t="s">
        <v>7276</v>
      </c>
      <c r="I140" s="290">
        <v>46076</v>
      </c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</row>
    <row r="141" spans="1:26" ht="14">
      <c r="A141" s="298" t="s">
        <v>7277</v>
      </c>
      <c r="B141" s="298" t="s">
        <v>7278</v>
      </c>
      <c r="C141" s="299">
        <v>301</v>
      </c>
      <c r="D141" s="298" t="s">
        <v>7279</v>
      </c>
      <c r="E141" s="298"/>
      <c r="F141" s="300">
        <v>3225590636</v>
      </c>
      <c r="G141" s="298">
        <v>7187505</v>
      </c>
      <c r="H141" s="298" t="s">
        <v>7280</v>
      </c>
      <c r="I141" s="290">
        <v>46076</v>
      </c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</row>
    <row r="142" spans="1:26" ht="14">
      <c r="A142" s="298" t="s">
        <v>7281</v>
      </c>
      <c r="B142" s="298" t="s">
        <v>7282</v>
      </c>
      <c r="C142" s="299">
        <v>208</v>
      </c>
      <c r="D142" s="298" t="s">
        <v>7217</v>
      </c>
      <c r="E142" s="298" t="s">
        <v>7283</v>
      </c>
      <c r="F142" s="300">
        <v>3112742404</v>
      </c>
      <c r="G142" s="286">
        <v>1032442036</v>
      </c>
      <c r="H142" s="286" t="s">
        <v>7284</v>
      </c>
      <c r="I142" s="290">
        <v>46076</v>
      </c>
      <c r="J142" s="291"/>
      <c r="K142" s="291"/>
      <c r="L142" s="291"/>
      <c r="M142" s="291"/>
      <c r="N142" s="291"/>
      <c r="O142" s="291"/>
      <c r="P142" s="291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</row>
    <row r="143" spans="1:26" ht="14">
      <c r="A143" s="298" t="s">
        <v>7285</v>
      </c>
      <c r="B143" s="298" t="s">
        <v>7286</v>
      </c>
      <c r="C143" s="299">
        <v>408</v>
      </c>
      <c r="D143" s="298" t="s">
        <v>7287</v>
      </c>
      <c r="E143" s="298">
        <v>3208356477</v>
      </c>
      <c r="F143" s="300">
        <v>19293550222</v>
      </c>
      <c r="G143" s="298">
        <v>21070612</v>
      </c>
      <c r="H143" s="298" t="s">
        <v>7288</v>
      </c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</row>
    <row r="144" spans="1:26" ht="14">
      <c r="A144" s="317" t="s">
        <v>139</v>
      </c>
      <c r="B144" s="317" t="s">
        <v>7289</v>
      </c>
      <c r="C144" s="318">
        <v>204</v>
      </c>
      <c r="D144" s="319"/>
      <c r="E144" s="319"/>
      <c r="F144" s="320">
        <v>3148140647</v>
      </c>
      <c r="G144" s="317">
        <v>32297422</v>
      </c>
      <c r="H144" s="317" t="s">
        <v>7290</v>
      </c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</row>
    <row r="145" spans="1:26" ht="14">
      <c r="A145" s="286" t="s">
        <v>7291</v>
      </c>
      <c r="B145" s="286" t="s">
        <v>7292</v>
      </c>
      <c r="C145" s="287">
        <v>402</v>
      </c>
      <c r="D145" s="288"/>
      <c r="E145" s="288"/>
      <c r="F145" s="289">
        <v>3112152185</v>
      </c>
      <c r="G145" s="286">
        <v>39783538</v>
      </c>
      <c r="H145" s="286" t="s">
        <v>7293</v>
      </c>
      <c r="I145" s="290">
        <v>46076</v>
      </c>
      <c r="J145" s="291"/>
      <c r="K145" s="291"/>
      <c r="L145" s="291"/>
      <c r="M145" s="291"/>
      <c r="N145" s="291"/>
      <c r="O145" s="291"/>
      <c r="P145" s="291"/>
      <c r="Q145" s="291"/>
      <c r="R145" s="291"/>
      <c r="S145" s="291"/>
      <c r="T145" s="291"/>
      <c r="U145" s="291"/>
      <c r="V145" s="291"/>
      <c r="W145" s="291"/>
      <c r="X145" s="291"/>
      <c r="Y145" s="291"/>
      <c r="Z145" s="291"/>
    </row>
    <row r="146" spans="1:26" ht="14">
      <c r="A146" s="286" t="s">
        <v>313</v>
      </c>
      <c r="B146" s="286" t="s">
        <v>7294</v>
      </c>
      <c r="C146" s="287">
        <v>602</v>
      </c>
      <c r="D146" s="288" t="s">
        <v>7295</v>
      </c>
      <c r="E146" s="288"/>
      <c r="F146" s="289">
        <v>3185357035</v>
      </c>
      <c r="G146" s="286">
        <v>40398465</v>
      </c>
      <c r="H146" s="286" t="s">
        <v>7296</v>
      </c>
      <c r="I146" s="290">
        <v>46076</v>
      </c>
      <c r="J146" s="291"/>
      <c r="K146" s="291"/>
      <c r="L146" s="291"/>
      <c r="M146" s="291"/>
      <c r="N146" s="291"/>
      <c r="O146" s="291"/>
      <c r="P146" s="291"/>
      <c r="Q146" s="291"/>
      <c r="R146" s="291"/>
      <c r="S146" s="291"/>
      <c r="T146" s="291"/>
      <c r="U146" s="291"/>
      <c r="V146" s="291"/>
      <c r="W146" s="291"/>
      <c r="X146" s="291"/>
      <c r="Y146" s="291"/>
      <c r="Z146" s="291"/>
    </row>
    <row r="147" spans="1:26" ht="14">
      <c r="A147" s="286" t="s">
        <v>7297</v>
      </c>
      <c r="B147" s="304" t="s">
        <v>7298</v>
      </c>
      <c r="C147" s="305"/>
      <c r="D147" s="306" t="s">
        <v>7299</v>
      </c>
      <c r="E147" s="306"/>
      <c r="F147" s="307">
        <v>3186954980</v>
      </c>
      <c r="G147" s="304">
        <v>1020754158</v>
      </c>
      <c r="H147" s="304" t="s">
        <v>7300</v>
      </c>
      <c r="I147" s="290">
        <v>46076</v>
      </c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</row>
    <row r="148" spans="1:26" ht="14">
      <c r="A148" s="286" t="s">
        <v>120</v>
      </c>
      <c r="B148" s="286" t="s">
        <v>7301</v>
      </c>
      <c r="C148" s="287">
        <v>711</v>
      </c>
      <c r="D148" s="288" t="s">
        <v>7302</v>
      </c>
      <c r="E148" s="288"/>
      <c r="F148" s="289">
        <v>3203494011</v>
      </c>
      <c r="G148" s="286">
        <v>80137089</v>
      </c>
      <c r="H148" s="286" t="s">
        <v>7303</v>
      </c>
      <c r="I148" s="291"/>
      <c r="J148" s="291"/>
      <c r="K148" s="291"/>
      <c r="L148" s="291"/>
      <c r="M148" s="291"/>
      <c r="N148" s="291"/>
      <c r="O148" s="291"/>
      <c r="P148" s="291"/>
      <c r="Q148" s="291"/>
      <c r="R148" s="291"/>
      <c r="S148" s="291"/>
      <c r="T148" s="291"/>
      <c r="U148" s="291"/>
      <c r="V148" s="291"/>
      <c r="W148" s="291"/>
      <c r="X148" s="291"/>
      <c r="Y148" s="291"/>
      <c r="Z148" s="291"/>
    </row>
    <row r="149" spans="1:26" ht="14">
      <c r="A149" s="286" t="s">
        <v>7304</v>
      </c>
      <c r="B149" s="286" t="s">
        <v>7305</v>
      </c>
      <c r="C149" s="287">
        <v>601</v>
      </c>
      <c r="D149" s="288"/>
      <c r="E149" s="288"/>
      <c r="F149" s="289">
        <v>19012627124</v>
      </c>
      <c r="G149" s="286">
        <v>638116102</v>
      </c>
      <c r="H149" s="286" t="s">
        <v>7306</v>
      </c>
      <c r="I149" s="291"/>
      <c r="J149" s="291"/>
      <c r="K149" s="291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1"/>
      <c r="Z149" s="291"/>
    </row>
    <row r="150" spans="1:26" ht="14">
      <c r="A150" s="286" t="s">
        <v>2577</v>
      </c>
      <c r="B150" s="304" t="s">
        <v>7307</v>
      </c>
      <c r="C150" s="305">
        <v>302</v>
      </c>
      <c r="D150" s="306" t="s">
        <v>7308</v>
      </c>
      <c r="E150" s="306"/>
      <c r="F150" s="307">
        <v>3153592013</v>
      </c>
      <c r="G150" s="304">
        <v>52159249</v>
      </c>
      <c r="H150" s="304" t="s">
        <v>7309</v>
      </c>
      <c r="I150" s="290">
        <v>46076</v>
      </c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</row>
    <row r="151" spans="1:26" ht="14">
      <c r="A151" s="286" t="s">
        <v>789</v>
      </c>
      <c r="B151" s="286" t="s">
        <v>7310</v>
      </c>
      <c r="C151" s="287">
        <v>203</v>
      </c>
      <c r="D151" s="288"/>
      <c r="E151" s="288"/>
      <c r="F151" s="289">
        <v>3114644864</v>
      </c>
      <c r="G151" s="286">
        <v>52209009</v>
      </c>
      <c r="H151" s="286" t="s">
        <v>7311</v>
      </c>
      <c r="I151" s="291"/>
      <c r="J151" s="291"/>
      <c r="K151" s="291"/>
      <c r="L151" s="291"/>
      <c r="M151" s="291"/>
      <c r="N151" s="291"/>
      <c r="O151" s="291"/>
      <c r="P151" s="291"/>
      <c r="Q151" s="291"/>
      <c r="R151" s="291"/>
      <c r="S151" s="291"/>
      <c r="T151" s="291"/>
      <c r="U151" s="291"/>
      <c r="V151" s="291"/>
      <c r="W151" s="291"/>
      <c r="X151" s="291"/>
      <c r="Y151" s="291"/>
      <c r="Z151" s="291"/>
    </row>
    <row r="152" spans="1:26" ht="14">
      <c r="A152" s="286" t="s">
        <v>111</v>
      </c>
      <c r="B152" s="304" t="s">
        <v>7312</v>
      </c>
      <c r="C152" s="305">
        <v>302</v>
      </c>
      <c r="D152" s="306"/>
      <c r="E152" s="306"/>
      <c r="F152" s="307">
        <v>3103751271</v>
      </c>
      <c r="G152" s="304">
        <v>52385158</v>
      </c>
      <c r="H152" s="304" t="s">
        <v>7313</v>
      </c>
      <c r="I152" s="290">
        <v>46076</v>
      </c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08"/>
      <c r="W152" s="308"/>
      <c r="X152" s="308"/>
      <c r="Y152" s="308"/>
      <c r="Z152" s="308"/>
    </row>
    <row r="153" spans="1:26" ht="14">
      <c r="A153" s="286" t="s">
        <v>169</v>
      </c>
      <c r="B153" s="286" t="s">
        <v>7314</v>
      </c>
      <c r="C153" s="287">
        <v>409</v>
      </c>
      <c r="D153" s="288" t="s">
        <v>7315</v>
      </c>
      <c r="E153" s="288" t="s">
        <v>6014</v>
      </c>
      <c r="F153" s="289">
        <v>3163565260</v>
      </c>
      <c r="G153" s="286">
        <v>1020719495</v>
      </c>
      <c r="H153" s="286" t="s">
        <v>7316</v>
      </c>
      <c r="I153" s="290">
        <v>46069</v>
      </c>
      <c r="J153" s="291"/>
      <c r="K153" s="291"/>
      <c r="L153" s="291"/>
      <c r="M153" s="291"/>
      <c r="N153" s="291"/>
      <c r="O153" s="291"/>
      <c r="P153" s="291"/>
      <c r="Q153" s="291"/>
      <c r="R153" s="291"/>
      <c r="S153" s="291"/>
      <c r="T153" s="291"/>
      <c r="U153" s="291"/>
      <c r="V153" s="291"/>
      <c r="W153" s="291"/>
      <c r="X153" s="291"/>
      <c r="Y153" s="291"/>
      <c r="Z153" s="291"/>
    </row>
    <row r="154" spans="1:26" ht="14">
      <c r="A154" s="286" t="s">
        <v>7317</v>
      </c>
      <c r="B154" s="304" t="s">
        <v>7318</v>
      </c>
      <c r="C154" s="305" t="s">
        <v>7319</v>
      </c>
      <c r="D154" s="306"/>
      <c r="E154" s="306"/>
      <c r="F154" s="307">
        <v>3107836155</v>
      </c>
      <c r="G154" s="304" t="s">
        <v>7320</v>
      </c>
      <c r="H154" s="304" t="s">
        <v>7321</v>
      </c>
      <c r="I154" s="308"/>
      <c r="J154" s="308"/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08"/>
      <c r="W154" s="308"/>
      <c r="X154" s="308"/>
      <c r="Y154" s="308"/>
      <c r="Z154" s="308"/>
    </row>
    <row r="155" spans="1:26" ht="14">
      <c r="A155" s="286" t="s">
        <v>7322</v>
      </c>
      <c r="B155" s="286" t="s">
        <v>7323</v>
      </c>
      <c r="C155" s="287">
        <v>603</v>
      </c>
      <c r="D155" s="288"/>
      <c r="E155" s="288"/>
      <c r="F155" s="289">
        <v>3043847140</v>
      </c>
      <c r="G155" s="286">
        <v>1032460005</v>
      </c>
      <c r="H155" s="286" t="s">
        <v>7324</v>
      </c>
      <c r="I155" s="290">
        <v>46076</v>
      </c>
      <c r="J155" s="291"/>
      <c r="K155" s="291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1"/>
      <c r="Z155" s="291"/>
    </row>
    <row r="156" spans="1:26" ht="14">
      <c r="A156" s="286" t="s">
        <v>7325</v>
      </c>
      <c r="B156" s="286" t="s">
        <v>7326</v>
      </c>
      <c r="C156" s="287">
        <v>1103</v>
      </c>
      <c r="D156" s="288" t="s">
        <v>7327</v>
      </c>
      <c r="E156" s="288"/>
      <c r="F156" s="289">
        <v>3004895010</v>
      </c>
      <c r="G156" s="286">
        <v>52956051</v>
      </c>
      <c r="H156" s="286" t="s">
        <v>7328</v>
      </c>
      <c r="I156" s="290">
        <v>46071</v>
      </c>
      <c r="J156" s="291"/>
      <c r="K156" s="291"/>
      <c r="L156" s="291"/>
      <c r="M156" s="291"/>
      <c r="N156" s="291"/>
      <c r="O156" s="291"/>
      <c r="P156" s="291"/>
      <c r="Q156" s="291"/>
      <c r="R156" s="291"/>
      <c r="S156" s="291"/>
      <c r="T156" s="291"/>
      <c r="U156" s="291"/>
      <c r="V156" s="291"/>
      <c r="W156" s="291"/>
      <c r="X156" s="291"/>
      <c r="Y156" s="291"/>
      <c r="Z156" s="291"/>
    </row>
    <row r="157" spans="1:26" ht="14">
      <c r="A157" s="286" t="s">
        <v>1217</v>
      </c>
      <c r="B157" s="286" t="s">
        <v>7329</v>
      </c>
      <c r="C157" s="287">
        <v>502</v>
      </c>
      <c r="D157" s="288" t="s">
        <v>7330</v>
      </c>
      <c r="E157" s="288"/>
      <c r="F157" s="289">
        <v>3045465885</v>
      </c>
      <c r="G157" s="286">
        <v>32869617</v>
      </c>
      <c r="H157" s="286" t="s">
        <v>7331</v>
      </c>
      <c r="I157" s="290">
        <v>46076</v>
      </c>
      <c r="J157" s="291"/>
      <c r="K157" s="291"/>
      <c r="L157" s="291"/>
      <c r="M157" s="291"/>
      <c r="N157" s="291"/>
      <c r="O157" s="291"/>
      <c r="P157" s="291"/>
      <c r="Q157" s="291"/>
      <c r="R157" s="291"/>
      <c r="S157" s="291"/>
      <c r="T157" s="291"/>
      <c r="U157" s="291"/>
      <c r="V157" s="291"/>
      <c r="W157" s="291"/>
      <c r="X157" s="291"/>
      <c r="Y157" s="291"/>
      <c r="Z157" s="291"/>
    </row>
    <row r="158" spans="1:26" ht="14">
      <c r="A158" s="286" t="s">
        <v>7332</v>
      </c>
      <c r="B158" s="286" t="s">
        <v>7333</v>
      </c>
      <c r="C158" s="287">
        <v>101</v>
      </c>
      <c r="D158" s="288"/>
      <c r="E158" s="286"/>
      <c r="F158" s="289">
        <v>3153544503</v>
      </c>
      <c r="G158" s="286">
        <v>79152785</v>
      </c>
      <c r="H158" s="286" t="s">
        <v>7334</v>
      </c>
      <c r="I158" s="290">
        <v>46076</v>
      </c>
      <c r="J158" s="291"/>
      <c r="K158" s="291"/>
      <c r="L158" s="291"/>
      <c r="M158" s="291"/>
      <c r="N158" s="291"/>
      <c r="O158" s="291"/>
      <c r="P158" s="291"/>
      <c r="Q158" s="291"/>
      <c r="R158" s="291"/>
      <c r="S158" s="291"/>
      <c r="T158" s="291"/>
      <c r="U158" s="291"/>
      <c r="V158" s="291"/>
      <c r="W158" s="291"/>
      <c r="X158" s="291"/>
      <c r="Y158" s="291"/>
      <c r="Z158" s="291"/>
    </row>
    <row r="159" spans="1:26" ht="14">
      <c r="A159" s="286" t="s">
        <v>273</v>
      </c>
      <c r="B159" s="286" t="s">
        <v>7335</v>
      </c>
      <c r="C159" s="287" t="s">
        <v>6871</v>
      </c>
      <c r="D159" s="288"/>
      <c r="E159" s="288"/>
      <c r="F159" s="289">
        <v>3112332285</v>
      </c>
      <c r="G159" s="286">
        <v>52083796</v>
      </c>
      <c r="H159" s="286" t="s">
        <v>7336</v>
      </c>
      <c r="I159" s="290">
        <v>46076</v>
      </c>
      <c r="J159" s="291"/>
      <c r="K159" s="291"/>
      <c r="L159" s="291"/>
      <c r="M159" s="291"/>
      <c r="N159" s="291"/>
      <c r="O159" s="291"/>
      <c r="P159" s="291"/>
      <c r="Q159" s="291"/>
      <c r="R159" s="291"/>
      <c r="S159" s="291"/>
      <c r="T159" s="291"/>
      <c r="U159" s="291"/>
      <c r="V159" s="291"/>
      <c r="W159" s="291"/>
      <c r="X159" s="291"/>
      <c r="Y159" s="291"/>
      <c r="Z159" s="291"/>
    </row>
    <row r="160" spans="1:26" ht="14">
      <c r="A160" s="286" t="s">
        <v>7337</v>
      </c>
      <c r="B160" s="286" t="s">
        <v>7338</v>
      </c>
      <c r="C160" s="287">
        <v>405</v>
      </c>
      <c r="D160" s="288" t="s">
        <v>7339</v>
      </c>
      <c r="E160" s="288"/>
      <c r="F160" s="289">
        <v>34692303858</v>
      </c>
      <c r="G160" s="286">
        <v>7805862</v>
      </c>
      <c r="H160" s="286" t="s">
        <v>7340</v>
      </c>
      <c r="I160" s="290">
        <v>46076</v>
      </c>
      <c r="J160" s="291"/>
      <c r="K160" s="291"/>
      <c r="L160" s="291"/>
      <c r="M160" s="291"/>
      <c r="N160" s="291"/>
      <c r="O160" s="291"/>
      <c r="P160" s="291"/>
      <c r="Q160" s="291"/>
      <c r="R160" s="291"/>
      <c r="S160" s="291"/>
      <c r="T160" s="291"/>
      <c r="U160" s="291"/>
      <c r="V160" s="291"/>
      <c r="W160" s="291"/>
      <c r="X160" s="291"/>
      <c r="Y160" s="291"/>
      <c r="Z160" s="291"/>
    </row>
    <row r="161" spans="1:26" ht="14">
      <c r="A161" s="286" t="s">
        <v>7341</v>
      </c>
      <c r="B161" s="286" t="s">
        <v>7342</v>
      </c>
      <c r="C161" s="287">
        <v>402</v>
      </c>
      <c r="D161" s="288"/>
      <c r="E161" s="288"/>
      <c r="F161" s="286">
        <v>3102564028</v>
      </c>
      <c r="G161" s="286">
        <v>79334945</v>
      </c>
      <c r="H161" s="286" t="s">
        <v>7343</v>
      </c>
      <c r="I161" s="290">
        <v>46076</v>
      </c>
      <c r="J161" s="291"/>
      <c r="K161" s="291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1"/>
      <c r="Z161" s="291"/>
    </row>
    <row r="162" spans="1:26" ht="14">
      <c r="A162" s="286" t="s">
        <v>7344</v>
      </c>
      <c r="B162" s="286" t="s">
        <v>7345</v>
      </c>
      <c r="C162" s="287">
        <v>801</v>
      </c>
      <c r="D162" s="288" t="s">
        <v>7346</v>
      </c>
      <c r="E162" s="288"/>
      <c r="F162" s="289">
        <v>3154138114</v>
      </c>
      <c r="G162" s="286">
        <v>52981027</v>
      </c>
      <c r="H162" s="286" t="s">
        <v>7347</v>
      </c>
      <c r="I162" s="290">
        <v>46076</v>
      </c>
      <c r="J162" s="291"/>
      <c r="K162" s="291"/>
      <c r="L162" s="291"/>
      <c r="M162" s="291"/>
      <c r="N162" s="291"/>
      <c r="O162" s="291"/>
      <c r="P162" s="291"/>
      <c r="Q162" s="291"/>
      <c r="R162" s="291"/>
      <c r="S162" s="291"/>
      <c r="T162" s="291"/>
      <c r="U162" s="291"/>
      <c r="V162" s="291"/>
      <c r="W162" s="291"/>
      <c r="X162" s="291"/>
      <c r="Y162" s="291"/>
      <c r="Z162" s="291"/>
    </row>
    <row r="163" spans="1:26" ht="14">
      <c r="A163" s="286" t="s">
        <v>699</v>
      </c>
      <c r="B163" s="286" t="s">
        <v>4295</v>
      </c>
      <c r="C163" s="287">
        <v>607</v>
      </c>
      <c r="D163" s="288"/>
      <c r="E163" s="288"/>
      <c r="F163" s="289">
        <v>3105530966</v>
      </c>
      <c r="G163" s="286">
        <v>52996273</v>
      </c>
      <c r="H163" s="286" t="s">
        <v>7348</v>
      </c>
      <c r="I163" s="290">
        <v>46076</v>
      </c>
      <c r="J163" s="291"/>
      <c r="K163" s="291"/>
      <c r="L163" s="291"/>
      <c r="M163" s="291"/>
      <c r="N163" s="291"/>
      <c r="O163" s="291"/>
      <c r="P163" s="291"/>
      <c r="Q163" s="291"/>
      <c r="R163" s="291"/>
      <c r="S163" s="291"/>
      <c r="T163" s="291"/>
      <c r="U163" s="291"/>
      <c r="V163" s="291"/>
      <c r="W163" s="291"/>
      <c r="X163" s="291"/>
      <c r="Y163" s="291"/>
      <c r="Z163" s="291"/>
    </row>
    <row r="164" spans="1:26" ht="14">
      <c r="A164" s="286" t="s">
        <v>2329</v>
      </c>
      <c r="B164" s="286" t="s">
        <v>7349</v>
      </c>
      <c r="C164" s="287"/>
      <c r="D164" s="288"/>
      <c r="E164" s="288"/>
      <c r="F164" s="289">
        <v>3102335229</v>
      </c>
      <c r="G164" s="286">
        <v>1020786852</v>
      </c>
      <c r="H164" s="286" t="s">
        <v>7350</v>
      </c>
      <c r="I164" s="290">
        <v>46076</v>
      </c>
      <c r="J164" s="291"/>
      <c r="K164" s="291"/>
      <c r="L164" s="291"/>
      <c r="M164" s="291"/>
      <c r="N164" s="291"/>
      <c r="O164" s="291"/>
      <c r="P164" s="291"/>
      <c r="Q164" s="291"/>
      <c r="R164" s="291"/>
      <c r="S164" s="291"/>
      <c r="T164" s="291"/>
      <c r="U164" s="291"/>
      <c r="V164" s="291"/>
      <c r="W164" s="291"/>
      <c r="X164" s="291"/>
      <c r="Y164" s="291"/>
      <c r="Z164" s="291"/>
    </row>
    <row r="165" spans="1:26" ht="14">
      <c r="A165" s="286" t="s">
        <v>7351</v>
      </c>
      <c r="B165" s="286" t="s">
        <v>7352</v>
      </c>
      <c r="C165" s="287">
        <v>901</v>
      </c>
      <c r="D165" s="288"/>
      <c r="E165" s="288"/>
      <c r="F165" s="289">
        <v>3118218471</v>
      </c>
      <c r="G165" s="286">
        <v>52862404</v>
      </c>
      <c r="H165" s="286" t="s">
        <v>7353</v>
      </c>
      <c r="I165" s="290">
        <v>46071</v>
      </c>
      <c r="J165" s="291"/>
      <c r="K165" s="291"/>
      <c r="L165" s="291"/>
      <c r="M165" s="291"/>
      <c r="N165" s="291"/>
      <c r="O165" s="291"/>
      <c r="P165" s="291"/>
      <c r="Q165" s="291"/>
      <c r="R165" s="291"/>
      <c r="S165" s="291"/>
      <c r="T165" s="291"/>
      <c r="U165" s="291"/>
      <c r="V165" s="291"/>
      <c r="W165" s="291"/>
      <c r="X165" s="291"/>
      <c r="Y165" s="291"/>
      <c r="Z165" s="291"/>
    </row>
    <row r="166" spans="1:26" ht="14">
      <c r="A166" s="286" t="s">
        <v>7354</v>
      </c>
      <c r="B166" s="286" t="s">
        <v>7355</v>
      </c>
      <c r="C166" s="287">
        <v>1706</v>
      </c>
      <c r="D166" s="288"/>
      <c r="E166" s="288"/>
      <c r="F166" s="289">
        <v>3105507415</v>
      </c>
      <c r="G166" s="286">
        <v>52809866</v>
      </c>
      <c r="H166" s="286" t="s">
        <v>7356</v>
      </c>
      <c r="I166" s="290">
        <v>46077</v>
      </c>
      <c r="J166" s="291"/>
      <c r="K166" s="291"/>
      <c r="L166" s="291"/>
      <c r="M166" s="291"/>
      <c r="N166" s="291"/>
      <c r="O166" s="291"/>
      <c r="P166" s="291"/>
      <c r="Q166" s="291"/>
      <c r="R166" s="291"/>
      <c r="S166" s="291"/>
      <c r="T166" s="291"/>
      <c r="U166" s="291"/>
      <c r="V166" s="291"/>
      <c r="W166" s="291"/>
      <c r="X166" s="291"/>
      <c r="Y166" s="291"/>
      <c r="Z166" s="291"/>
    </row>
    <row r="167" spans="1:26" ht="14">
      <c r="A167" s="286" t="s">
        <v>7357</v>
      </c>
      <c r="B167" s="286" t="s">
        <v>7358</v>
      </c>
      <c r="C167" s="287">
        <v>902</v>
      </c>
      <c r="D167" s="288"/>
      <c r="E167" s="288"/>
      <c r="F167" s="289">
        <v>3118960080</v>
      </c>
      <c r="G167" s="286">
        <v>52711029</v>
      </c>
      <c r="H167" s="286" t="s">
        <v>7359</v>
      </c>
      <c r="I167" s="290">
        <v>46077</v>
      </c>
      <c r="J167" s="291"/>
      <c r="K167" s="291"/>
      <c r="L167" s="291"/>
      <c r="M167" s="291"/>
      <c r="N167" s="291"/>
      <c r="O167" s="291"/>
      <c r="P167" s="291"/>
      <c r="Q167" s="291"/>
      <c r="R167" s="291"/>
      <c r="S167" s="291"/>
      <c r="T167" s="291"/>
      <c r="U167" s="291"/>
      <c r="V167" s="291"/>
      <c r="W167" s="291"/>
      <c r="X167" s="291"/>
      <c r="Y167" s="291"/>
      <c r="Z167" s="291"/>
    </row>
    <row r="168" spans="1:26" ht="14">
      <c r="A168" s="286" t="s">
        <v>976</v>
      </c>
      <c r="B168" s="286" t="s">
        <v>7360</v>
      </c>
      <c r="C168" s="287">
        <v>305</v>
      </c>
      <c r="D168" s="288" t="s">
        <v>7361</v>
      </c>
      <c r="E168" s="288"/>
      <c r="F168" s="289">
        <v>3106260918</v>
      </c>
      <c r="G168" s="286">
        <v>15373521</v>
      </c>
      <c r="H168" s="286" t="s">
        <v>7362</v>
      </c>
      <c r="I168" s="290">
        <v>46077</v>
      </c>
      <c r="J168" s="291"/>
      <c r="K168" s="291"/>
      <c r="L168" s="291"/>
      <c r="M168" s="291"/>
      <c r="N168" s="291"/>
      <c r="O168" s="291"/>
      <c r="P168" s="291"/>
      <c r="Q168" s="291"/>
      <c r="R168" s="291"/>
      <c r="S168" s="291"/>
      <c r="T168" s="291"/>
      <c r="U168" s="291"/>
      <c r="V168" s="291"/>
      <c r="W168" s="291"/>
      <c r="X168" s="291"/>
      <c r="Y168" s="291"/>
      <c r="Z168" s="291"/>
    </row>
    <row r="169" spans="1:26" ht="14">
      <c r="A169" s="286" t="s">
        <v>300</v>
      </c>
      <c r="B169" s="286" t="s">
        <v>7363</v>
      </c>
      <c r="C169" s="287">
        <v>401</v>
      </c>
      <c r="D169" s="288"/>
      <c r="E169" s="288"/>
      <c r="F169" s="289">
        <v>3502090474</v>
      </c>
      <c r="G169" s="286">
        <v>1020746357</v>
      </c>
      <c r="H169" s="286" t="s">
        <v>7364</v>
      </c>
      <c r="I169" s="290">
        <v>46077</v>
      </c>
      <c r="J169" s="291"/>
      <c r="K169" s="291"/>
      <c r="L169" s="291"/>
      <c r="M169" s="291"/>
      <c r="N169" s="291"/>
      <c r="O169" s="291"/>
      <c r="P169" s="291"/>
      <c r="Q169" s="291"/>
      <c r="R169" s="291"/>
      <c r="S169" s="291"/>
      <c r="T169" s="291"/>
      <c r="U169" s="291"/>
      <c r="V169" s="291"/>
      <c r="W169" s="291"/>
      <c r="X169" s="291"/>
      <c r="Y169" s="291"/>
      <c r="Z169" s="291"/>
    </row>
    <row r="170" spans="1:26" ht="14">
      <c r="A170" s="286" t="s">
        <v>55</v>
      </c>
      <c r="B170" s="286" t="s">
        <v>7365</v>
      </c>
      <c r="C170" s="287" t="s">
        <v>7366</v>
      </c>
      <c r="D170" s="288" t="s">
        <v>7367</v>
      </c>
      <c r="E170" s="288"/>
      <c r="F170" s="289">
        <v>3104782463</v>
      </c>
      <c r="G170" s="286">
        <v>79230893</v>
      </c>
      <c r="H170" s="286" t="s">
        <v>7368</v>
      </c>
      <c r="I170" s="291"/>
      <c r="J170" s="291"/>
      <c r="K170" s="291"/>
      <c r="L170" s="291"/>
      <c r="M170" s="291"/>
      <c r="N170" s="291"/>
      <c r="O170" s="291"/>
      <c r="P170" s="291"/>
      <c r="Q170" s="291"/>
      <c r="R170" s="291"/>
      <c r="S170" s="291"/>
      <c r="T170" s="291"/>
      <c r="U170" s="291"/>
      <c r="V170" s="291"/>
      <c r="W170" s="291"/>
      <c r="X170" s="291"/>
      <c r="Y170" s="291"/>
      <c r="Z170" s="291"/>
    </row>
    <row r="171" spans="1:26" ht="14">
      <c r="A171" s="286" t="s">
        <v>91</v>
      </c>
      <c r="B171" s="286" t="s">
        <v>7369</v>
      </c>
      <c r="C171" s="287">
        <v>412</v>
      </c>
      <c r="D171" s="288" t="s">
        <v>6565</v>
      </c>
      <c r="E171" s="288" t="s">
        <v>7370</v>
      </c>
      <c r="F171" s="289">
        <v>3208346997</v>
      </c>
      <c r="G171" s="286">
        <v>52314200</v>
      </c>
      <c r="H171" s="286" t="s">
        <v>7371</v>
      </c>
      <c r="I171" s="291"/>
      <c r="J171" s="291"/>
      <c r="K171" s="291"/>
      <c r="L171" s="291"/>
      <c r="M171" s="291"/>
      <c r="N171" s="291"/>
      <c r="O171" s="291"/>
      <c r="P171" s="291"/>
      <c r="Q171" s="291"/>
      <c r="R171" s="291"/>
      <c r="S171" s="291"/>
      <c r="T171" s="291"/>
      <c r="U171" s="291"/>
      <c r="V171" s="291"/>
      <c r="W171" s="291"/>
      <c r="X171" s="291"/>
      <c r="Y171" s="291"/>
      <c r="Z171" s="291"/>
    </row>
    <row r="172" spans="1:26" ht="14">
      <c r="A172" s="286" t="s">
        <v>7372</v>
      </c>
      <c r="B172" s="286" t="s">
        <v>7373</v>
      </c>
      <c r="C172" s="287">
        <v>403</v>
      </c>
      <c r="D172" s="288" t="s">
        <v>7374</v>
      </c>
      <c r="E172" s="288"/>
      <c r="F172" s="289">
        <v>3001240507</v>
      </c>
      <c r="G172" s="286">
        <v>1053782714</v>
      </c>
      <c r="H172" s="286" t="s">
        <v>7375</v>
      </c>
      <c r="I172" s="290">
        <v>46077</v>
      </c>
      <c r="J172" s="291"/>
      <c r="K172" s="291"/>
      <c r="L172" s="291"/>
      <c r="M172" s="291"/>
      <c r="N172" s="291"/>
      <c r="O172" s="291"/>
      <c r="P172" s="291"/>
      <c r="Q172" s="291"/>
      <c r="R172" s="291"/>
      <c r="S172" s="291"/>
      <c r="T172" s="291"/>
      <c r="U172" s="291"/>
      <c r="V172" s="291"/>
      <c r="W172" s="291"/>
      <c r="X172" s="291"/>
      <c r="Y172" s="291"/>
      <c r="Z172" s="291"/>
    </row>
    <row r="173" spans="1:26" ht="14">
      <c r="A173" s="286" t="s">
        <v>7376</v>
      </c>
      <c r="B173" s="286" t="s">
        <v>7377</v>
      </c>
      <c r="C173" s="287">
        <v>507</v>
      </c>
      <c r="D173" s="288" t="s">
        <v>7378</v>
      </c>
      <c r="E173" s="288"/>
      <c r="F173" s="289">
        <v>3212400726</v>
      </c>
      <c r="G173" s="286">
        <v>9290792</v>
      </c>
      <c r="H173" s="286" t="s">
        <v>7379</v>
      </c>
      <c r="I173" s="290">
        <v>46077</v>
      </c>
      <c r="J173" s="291"/>
      <c r="K173" s="291"/>
      <c r="L173" s="291"/>
      <c r="M173" s="291"/>
      <c r="N173" s="291"/>
      <c r="O173" s="291"/>
      <c r="P173" s="291"/>
      <c r="Q173" s="291"/>
      <c r="R173" s="291"/>
      <c r="S173" s="291"/>
      <c r="T173" s="291"/>
      <c r="U173" s="291"/>
      <c r="V173" s="291"/>
      <c r="W173" s="291"/>
      <c r="X173" s="291"/>
      <c r="Y173" s="291"/>
      <c r="Z173" s="291"/>
    </row>
    <row r="174" spans="1:26" ht="14">
      <c r="A174" s="286" t="s">
        <v>302</v>
      </c>
      <c r="B174" s="286" t="s">
        <v>7380</v>
      </c>
      <c r="C174" s="287">
        <v>201</v>
      </c>
      <c r="D174" s="288" t="s">
        <v>7381</v>
      </c>
      <c r="E174" s="310"/>
      <c r="F174" s="289">
        <v>3142244856</v>
      </c>
      <c r="G174" s="286">
        <v>41559482</v>
      </c>
      <c r="H174" s="286" t="s">
        <v>7382</v>
      </c>
      <c r="I174" s="291"/>
      <c r="J174" s="291"/>
      <c r="K174" s="291"/>
      <c r="L174" s="291"/>
      <c r="M174" s="291"/>
      <c r="N174" s="291"/>
      <c r="O174" s="291"/>
      <c r="P174" s="291"/>
      <c r="Q174" s="291"/>
      <c r="R174" s="291"/>
      <c r="S174" s="291"/>
      <c r="T174" s="291"/>
      <c r="U174" s="291"/>
      <c r="V174" s="291"/>
      <c r="W174" s="291"/>
      <c r="X174" s="291"/>
      <c r="Y174" s="291"/>
      <c r="Z174" s="291"/>
    </row>
    <row r="175" spans="1:26" ht="20.25" customHeight="1">
      <c r="A175" s="286" t="s">
        <v>7383</v>
      </c>
      <c r="B175" s="286" t="s">
        <v>7384</v>
      </c>
      <c r="C175" s="287">
        <v>502</v>
      </c>
      <c r="D175" s="288"/>
      <c r="E175" s="288"/>
      <c r="F175" s="289">
        <v>3212303952</v>
      </c>
      <c r="G175" s="286">
        <v>22736655</v>
      </c>
      <c r="H175" s="286" t="s">
        <v>7385</v>
      </c>
      <c r="I175" s="291"/>
      <c r="J175" s="291"/>
      <c r="K175" s="291"/>
      <c r="L175" s="291"/>
      <c r="M175" s="291"/>
      <c r="N175" s="291"/>
      <c r="O175" s="291"/>
      <c r="P175" s="291"/>
      <c r="Q175" s="291"/>
      <c r="R175" s="291"/>
      <c r="S175" s="291"/>
      <c r="T175" s="291"/>
      <c r="U175" s="291"/>
      <c r="V175" s="291"/>
      <c r="W175" s="291"/>
      <c r="X175" s="291"/>
      <c r="Y175" s="291"/>
      <c r="Z175" s="291"/>
    </row>
    <row r="176" spans="1:26" ht="14">
      <c r="A176" s="286" t="s">
        <v>7386</v>
      </c>
      <c r="B176" s="286" t="s">
        <v>7387</v>
      </c>
      <c r="C176" s="287">
        <v>404</v>
      </c>
      <c r="D176" s="288" t="s">
        <v>7388</v>
      </c>
      <c r="E176" s="288"/>
      <c r="F176" s="289">
        <v>3014892835</v>
      </c>
      <c r="G176" s="286">
        <v>1020831916</v>
      </c>
      <c r="H176" s="286" t="s">
        <v>7389</v>
      </c>
      <c r="I176" s="290">
        <v>46077</v>
      </c>
      <c r="J176" s="291"/>
      <c r="K176" s="291"/>
      <c r="L176" s="291"/>
      <c r="M176" s="291"/>
      <c r="N176" s="291"/>
      <c r="O176" s="291"/>
      <c r="P176" s="291"/>
      <c r="Q176" s="291"/>
      <c r="R176" s="291"/>
      <c r="S176" s="291"/>
      <c r="T176" s="291"/>
      <c r="U176" s="291"/>
      <c r="V176" s="291"/>
      <c r="W176" s="291"/>
      <c r="X176" s="291"/>
      <c r="Y176" s="291"/>
      <c r="Z176" s="291"/>
    </row>
    <row r="177" spans="1:26" ht="14">
      <c r="A177" s="286" t="s">
        <v>7390</v>
      </c>
      <c r="B177" s="286" t="s">
        <v>7391</v>
      </c>
      <c r="C177" s="287">
        <v>1601</v>
      </c>
      <c r="D177" s="288" t="s">
        <v>7392</v>
      </c>
      <c r="E177" s="288"/>
      <c r="F177" s="289">
        <v>3114269449</v>
      </c>
      <c r="G177" s="286">
        <v>49607512</v>
      </c>
      <c r="H177" s="286" t="s">
        <v>7393</v>
      </c>
      <c r="I177" s="290">
        <v>46077</v>
      </c>
      <c r="J177" s="291"/>
      <c r="K177" s="291"/>
      <c r="L177" s="291"/>
      <c r="M177" s="291"/>
      <c r="N177" s="291"/>
      <c r="O177" s="291"/>
      <c r="P177" s="291"/>
      <c r="Q177" s="291"/>
      <c r="R177" s="291"/>
      <c r="S177" s="291"/>
      <c r="T177" s="291"/>
      <c r="U177" s="291"/>
      <c r="V177" s="291"/>
      <c r="W177" s="291"/>
      <c r="X177" s="291"/>
      <c r="Y177" s="291"/>
      <c r="Z177" s="291"/>
    </row>
    <row r="178" spans="1:26" ht="14">
      <c r="A178" s="286" t="s">
        <v>7394</v>
      </c>
      <c r="B178" s="286" t="s">
        <v>7395</v>
      </c>
      <c r="C178" s="287">
        <v>203</v>
      </c>
      <c r="D178" s="288" t="s">
        <v>7396</v>
      </c>
      <c r="E178" s="288"/>
      <c r="F178" s="289">
        <v>3013638102</v>
      </c>
      <c r="G178" s="286">
        <v>1018434498</v>
      </c>
      <c r="H178" s="286" t="s">
        <v>7397</v>
      </c>
      <c r="I178" s="291"/>
      <c r="J178" s="291"/>
      <c r="K178" s="291"/>
      <c r="L178" s="291"/>
      <c r="M178" s="291"/>
      <c r="N178" s="291"/>
      <c r="O178" s="291"/>
      <c r="P178" s="291"/>
      <c r="Q178" s="291"/>
      <c r="R178" s="291"/>
      <c r="S178" s="291"/>
      <c r="T178" s="291"/>
      <c r="U178" s="291"/>
      <c r="V178" s="291"/>
      <c r="W178" s="291"/>
      <c r="X178" s="291"/>
      <c r="Y178" s="291"/>
      <c r="Z178" s="291"/>
    </row>
    <row r="179" spans="1:26" ht="14">
      <c r="A179" s="286" t="s">
        <v>450</v>
      </c>
      <c r="B179" s="286" t="s">
        <v>7398</v>
      </c>
      <c r="C179" s="287">
        <v>202</v>
      </c>
      <c r="D179" s="288"/>
      <c r="E179" s="288"/>
      <c r="F179" s="289">
        <v>3176653216</v>
      </c>
      <c r="G179" s="286">
        <v>1026264267</v>
      </c>
      <c r="H179" s="286" t="s">
        <v>7399</v>
      </c>
      <c r="I179" s="290">
        <v>46077</v>
      </c>
      <c r="J179" s="291"/>
      <c r="K179" s="291"/>
      <c r="L179" s="291"/>
      <c r="M179" s="291"/>
      <c r="N179" s="291"/>
      <c r="O179" s="291"/>
      <c r="P179" s="291"/>
      <c r="Q179" s="291"/>
      <c r="R179" s="291"/>
      <c r="S179" s="291"/>
      <c r="T179" s="291"/>
      <c r="U179" s="291"/>
      <c r="V179" s="291"/>
      <c r="W179" s="291"/>
      <c r="X179" s="291"/>
      <c r="Y179" s="291"/>
      <c r="Z179" s="291"/>
    </row>
    <row r="180" spans="1:26" ht="14">
      <c r="A180" s="286" t="s">
        <v>721</v>
      </c>
      <c r="B180" s="286" t="s">
        <v>7400</v>
      </c>
      <c r="C180" s="287">
        <v>403</v>
      </c>
      <c r="D180" s="288"/>
      <c r="E180" s="288"/>
      <c r="F180" s="289">
        <v>3156838093</v>
      </c>
      <c r="G180" s="286">
        <v>1018451538</v>
      </c>
      <c r="H180" s="286" t="s">
        <v>7401</v>
      </c>
      <c r="I180" s="290">
        <v>46071</v>
      </c>
      <c r="J180" s="291"/>
      <c r="K180" s="291"/>
      <c r="L180" s="291"/>
      <c r="M180" s="291"/>
      <c r="N180" s="291"/>
      <c r="O180" s="291"/>
      <c r="P180" s="291"/>
      <c r="Q180" s="291"/>
      <c r="R180" s="291"/>
      <c r="S180" s="291"/>
      <c r="T180" s="291"/>
      <c r="U180" s="291"/>
      <c r="V180" s="291"/>
      <c r="W180" s="291"/>
      <c r="X180" s="291"/>
      <c r="Y180" s="291"/>
      <c r="Z180" s="291"/>
    </row>
    <row r="181" spans="1:26" ht="14">
      <c r="A181" s="286" t="s">
        <v>7402</v>
      </c>
      <c r="B181" s="286" t="s">
        <v>7403</v>
      </c>
      <c r="C181" s="287">
        <v>507</v>
      </c>
      <c r="D181" s="288"/>
      <c r="E181" s="322" t="s">
        <v>7404</v>
      </c>
      <c r="F181" s="289">
        <v>3015394415</v>
      </c>
      <c r="G181" s="286">
        <v>1072711158</v>
      </c>
      <c r="H181" s="286" t="s">
        <v>7405</v>
      </c>
      <c r="I181" s="291"/>
      <c r="J181" s="291"/>
      <c r="K181" s="291"/>
      <c r="L181" s="291"/>
      <c r="M181" s="291"/>
      <c r="N181" s="291"/>
      <c r="O181" s="291"/>
      <c r="P181" s="291"/>
      <c r="Q181" s="291"/>
      <c r="R181" s="291"/>
      <c r="S181" s="291"/>
      <c r="T181" s="291"/>
      <c r="U181" s="291"/>
      <c r="V181" s="291"/>
      <c r="W181" s="291"/>
      <c r="X181" s="291"/>
      <c r="Y181" s="291"/>
      <c r="Z181" s="291"/>
    </row>
    <row r="182" spans="1:26" ht="14">
      <c r="A182" s="286" t="s">
        <v>7406</v>
      </c>
      <c r="B182" s="286" t="s">
        <v>7407</v>
      </c>
      <c r="C182" s="287">
        <v>405</v>
      </c>
      <c r="D182" s="288"/>
      <c r="E182" s="288"/>
      <c r="F182" s="289">
        <v>3124348753</v>
      </c>
      <c r="G182" s="286">
        <v>1020724591</v>
      </c>
      <c r="H182" s="286" t="s">
        <v>7408</v>
      </c>
      <c r="I182" s="290">
        <v>46077</v>
      </c>
      <c r="J182" s="291"/>
      <c r="K182" s="291"/>
      <c r="L182" s="291"/>
      <c r="M182" s="291"/>
      <c r="N182" s="291"/>
      <c r="O182" s="291"/>
      <c r="P182" s="291"/>
      <c r="Q182" s="291"/>
      <c r="R182" s="291"/>
      <c r="S182" s="291"/>
      <c r="T182" s="291"/>
      <c r="U182" s="291"/>
      <c r="V182" s="291"/>
      <c r="W182" s="291"/>
      <c r="X182" s="291"/>
      <c r="Y182" s="291"/>
      <c r="Z182" s="291"/>
    </row>
    <row r="183" spans="1:26" ht="14">
      <c r="A183" s="286" t="s">
        <v>29</v>
      </c>
      <c r="B183" s="286" t="s">
        <v>7409</v>
      </c>
      <c r="C183" s="287">
        <v>302</v>
      </c>
      <c r="D183" s="288"/>
      <c r="E183" s="288"/>
      <c r="F183" s="289">
        <v>3134245044</v>
      </c>
      <c r="G183" s="286">
        <v>52995389</v>
      </c>
      <c r="H183" s="286" t="s">
        <v>7410</v>
      </c>
      <c r="I183" s="291"/>
      <c r="J183" s="291"/>
      <c r="K183" s="291"/>
      <c r="L183" s="291"/>
      <c r="M183" s="291"/>
      <c r="N183" s="291"/>
      <c r="O183" s="291"/>
      <c r="P183" s="291"/>
      <c r="Q183" s="291"/>
      <c r="R183" s="291"/>
      <c r="S183" s="291"/>
      <c r="T183" s="291"/>
      <c r="U183" s="291"/>
      <c r="V183" s="291"/>
      <c r="W183" s="291"/>
      <c r="X183" s="291"/>
      <c r="Y183" s="291"/>
      <c r="Z183" s="291"/>
    </row>
    <row r="184" spans="1:26" ht="14">
      <c r="A184" s="286" t="s">
        <v>85</v>
      </c>
      <c r="B184" s="286" t="s">
        <v>7411</v>
      </c>
      <c r="C184" s="287">
        <v>405</v>
      </c>
      <c r="D184" s="288" t="s">
        <v>7412</v>
      </c>
      <c r="E184" s="288"/>
      <c r="F184" s="289">
        <v>3226281210</v>
      </c>
      <c r="G184" s="286">
        <v>1065852371</v>
      </c>
      <c r="H184" s="286" t="s">
        <v>7413</v>
      </c>
      <c r="I184" s="290">
        <v>46077</v>
      </c>
      <c r="J184" s="291"/>
      <c r="K184" s="291"/>
      <c r="L184" s="291"/>
      <c r="M184" s="291"/>
      <c r="N184" s="291"/>
      <c r="O184" s="291"/>
      <c r="P184" s="291"/>
      <c r="Q184" s="291"/>
      <c r="R184" s="291"/>
      <c r="S184" s="291"/>
      <c r="T184" s="291"/>
      <c r="U184" s="291"/>
      <c r="V184" s="291"/>
      <c r="W184" s="291"/>
      <c r="X184" s="291"/>
      <c r="Y184" s="291"/>
      <c r="Z184" s="291"/>
    </row>
    <row r="185" spans="1:26" ht="14">
      <c r="A185" s="286" t="s">
        <v>7414</v>
      </c>
      <c r="B185" s="286" t="s">
        <v>7415</v>
      </c>
      <c r="C185" s="287" t="s">
        <v>2982</v>
      </c>
      <c r="D185" s="288" t="s">
        <v>7416</v>
      </c>
      <c r="E185" s="288"/>
      <c r="F185" s="289">
        <v>3103014220</v>
      </c>
      <c r="G185" s="286">
        <v>21113712</v>
      </c>
      <c r="H185" s="286" t="s">
        <v>7417</v>
      </c>
      <c r="I185" s="290">
        <v>46077</v>
      </c>
      <c r="J185" s="291"/>
      <c r="K185" s="291"/>
      <c r="L185" s="291"/>
      <c r="M185" s="291"/>
      <c r="N185" s="291"/>
      <c r="O185" s="291"/>
      <c r="P185" s="291"/>
      <c r="Q185" s="291"/>
      <c r="R185" s="291"/>
      <c r="S185" s="291"/>
      <c r="T185" s="291"/>
      <c r="U185" s="291"/>
      <c r="V185" s="291"/>
      <c r="W185" s="291"/>
      <c r="X185" s="291"/>
      <c r="Y185" s="291"/>
      <c r="Z185" s="291"/>
    </row>
    <row r="186" spans="1:26" ht="14">
      <c r="A186" s="286" t="s">
        <v>7418</v>
      </c>
      <c r="B186" s="286" t="s">
        <v>7419</v>
      </c>
      <c r="C186" s="287">
        <v>501</v>
      </c>
      <c r="D186" s="288" t="s">
        <v>7420</v>
      </c>
      <c r="E186" s="288" t="s">
        <v>5789</v>
      </c>
      <c r="F186" s="289">
        <v>3002125845</v>
      </c>
      <c r="G186" s="286">
        <v>52927024</v>
      </c>
      <c r="H186" s="286" t="s">
        <v>7421</v>
      </c>
      <c r="I186" s="290">
        <v>46077</v>
      </c>
      <c r="J186" s="291"/>
      <c r="K186" s="291"/>
      <c r="L186" s="291"/>
      <c r="M186" s="291"/>
      <c r="N186" s="291"/>
      <c r="O186" s="291"/>
      <c r="P186" s="291"/>
      <c r="Q186" s="291"/>
      <c r="R186" s="291"/>
      <c r="S186" s="291"/>
      <c r="T186" s="291"/>
      <c r="U186" s="291"/>
      <c r="V186" s="291"/>
      <c r="W186" s="291"/>
      <c r="X186" s="291"/>
      <c r="Y186" s="291"/>
      <c r="Z186" s="291"/>
    </row>
    <row r="187" spans="1:26" ht="14">
      <c r="A187" s="286" t="s">
        <v>7422</v>
      </c>
      <c r="B187" s="286" t="s">
        <v>7423</v>
      </c>
      <c r="C187" s="287" t="s">
        <v>7424</v>
      </c>
      <c r="D187" s="288">
        <v>250</v>
      </c>
      <c r="E187" s="288"/>
      <c r="F187" s="289">
        <v>3103296653</v>
      </c>
      <c r="G187" s="286">
        <v>8301404899</v>
      </c>
      <c r="H187" s="286" t="s">
        <v>7425</v>
      </c>
      <c r="I187" s="290">
        <v>46077</v>
      </c>
      <c r="J187" s="291"/>
      <c r="K187" s="291"/>
      <c r="L187" s="291"/>
      <c r="M187" s="291"/>
      <c r="N187" s="291"/>
      <c r="O187" s="291"/>
      <c r="P187" s="291"/>
      <c r="Q187" s="291"/>
      <c r="R187" s="291"/>
      <c r="S187" s="291"/>
      <c r="T187" s="291"/>
      <c r="U187" s="291"/>
      <c r="V187" s="291"/>
      <c r="W187" s="291"/>
      <c r="X187" s="291"/>
      <c r="Y187" s="291"/>
      <c r="Z187" s="291"/>
    </row>
    <row r="188" spans="1:26" ht="14">
      <c r="A188" s="286" t="s">
        <v>7426</v>
      </c>
      <c r="B188" s="286" t="s">
        <v>7427</v>
      </c>
      <c r="C188" s="287">
        <v>601</v>
      </c>
      <c r="D188" s="288" t="s">
        <v>7428</v>
      </c>
      <c r="E188" s="288" t="s">
        <v>6463</v>
      </c>
      <c r="F188" s="289">
        <v>3508621400</v>
      </c>
      <c r="G188" s="286">
        <v>59824255</v>
      </c>
      <c r="H188" s="286" t="s">
        <v>7429</v>
      </c>
      <c r="I188" s="290">
        <v>46077</v>
      </c>
      <c r="J188" s="291"/>
      <c r="K188" s="291"/>
      <c r="L188" s="291"/>
      <c r="M188" s="291"/>
      <c r="N188" s="291"/>
      <c r="O188" s="291"/>
      <c r="P188" s="291"/>
      <c r="Q188" s="291"/>
      <c r="R188" s="291"/>
      <c r="S188" s="291"/>
      <c r="T188" s="291"/>
      <c r="U188" s="291"/>
      <c r="V188" s="291"/>
      <c r="W188" s="291"/>
      <c r="X188" s="291"/>
      <c r="Y188" s="291"/>
      <c r="Z188" s="291"/>
    </row>
    <row r="189" spans="1:26" ht="14">
      <c r="A189" s="286" t="s">
        <v>462</v>
      </c>
      <c r="B189" s="286" t="s">
        <v>7430</v>
      </c>
      <c r="C189" s="287">
        <v>304</v>
      </c>
      <c r="D189" s="288" t="s">
        <v>7431</v>
      </c>
      <c r="E189" s="288"/>
      <c r="F189" s="289">
        <v>3144111911</v>
      </c>
      <c r="G189" s="286"/>
      <c r="H189" s="286" t="s">
        <v>7432</v>
      </c>
      <c r="I189" s="291"/>
      <c r="J189" s="291"/>
      <c r="K189" s="291"/>
      <c r="L189" s="291"/>
      <c r="M189" s="291"/>
      <c r="N189" s="291"/>
      <c r="O189" s="291"/>
      <c r="P189" s="291"/>
      <c r="Q189" s="291"/>
      <c r="R189" s="291"/>
      <c r="S189" s="291"/>
      <c r="T189" s="291"/>
      <c r="U189" s="291"/>
      <c r="V189" s="291"/>
      <c r="W189" s="291"/>
      <c r="X189" s="291"/>
      <c r="Y189" s="291"/>
      <c r="Z189" s="291"/>
    </row>
    <row r="190" spans="1:26" ht="14">
      <c r="A190" s="286" t="s">
        <v>1562</v>
      </c>
      <c r="B190" s="286" t="s">
        <v>7433</v>
      </c>
      <c r="C190" s="287">
        <v>406</v>
      </c>
      <c r="D190" s="288"/>
      <c r="E190" s="288"/>
      <c r="F190" s="289">
        <v>3002120347</v>
      </c>
      <c r="G190" s="286">
        <v>53075212</v>
      </c>
      <c r="H190" s="286" t="s">
        <v>7434</v>
      </c>
      <c r="I190" s="290">
        <v>46071</v>
      </c>
      <c r="J190" s="291"/>
      <c r="K190" s="291"/>
      <c r="L190" s="291"/>
      <c r="M190" s="291"/>
      <c r="N190" s="291"/>
      <c r="O190" s="291"/>
      <c r="P190" s="291"/>
      <c r="Q190" s="291"/>
      <c r="R190" s="291"/>
      <c r="S190" s="291"/>
      <c r="T190" s="291"/>
      <c r="U190" s="291"/>
      <c r="V190" s="291"/>
      <c r="W190" s="291"/>
      <c r="X190" s="291"/>
      <c r="Y190" s="291"/>
      <c r="Z190" s="291"/>
    </row>
    <row r="191" spans="1:26" ht="14">
      <c r="A191" s="286" t="s">
        <v>7435</v>
      </c>
      <c r="B191" s="286" t="s">
        <v>7436</v>
      </c>
      <c r="C191" s="287">
        <v>502</v>
      </c>
      <c r="D191" s="288"/>
      <c r="E191" s="288"/>
      <c r="F191" s="289">
        <v>3192444914</v>
      </c>
      <c r="G191" s="286">
        <v>1034290446</v>
      </c>
      <c r="H191" s="286" t="s">
        <v>7437</v>
      </c>
      <c r="I191" s="291"/>
      <c r="J191" s="291"/>
      <c r="K191" s="291"/>
      <c r="L191" s="291"/>
      <c r="M191" s="291"/>
      <c r="N191" s="291"/>
      <c r="O191" s="291"/>
      <c r="P191" s="291"/>
      <c r="Q191" s="291"/>
      <c r="R191" s="291"/>
      <c r="S191" s="291"/>
      <c r="T191" s="291"/>
      <c r="U191" s="291"/>
      <c r="V191" s="291"/>
      <c r="W191" s="291"/>
      <c r="X191" s="291"/>
      <c r="Y191" s="291"/>
      <c r="Z191" s="291"/>
    </row>
    <row r="192" spans="1:26" ht="14">
      <c r="A192" s="286" t="s">
        <v>7438</v>
      </c>
      <c r="B192" s="286" t="s">
        <v>7439</v>
      </c>
      <c r="C192" s="287">
        <v>405</v>
      </c>
      <c r="D192" s="288"/>
      <c r="E192" s="288"/>
      <c r="F192" s="289">
        <v>3017940536</v>
      </c>
      <c r="G192" s="286">
        <v>1144040386</v>
      </c>
      <c r="H192" s="286" t="s">
        <v>7440</v>
      </c>
      <c r="I192" s="291"/>
      <c r="J192" s="291"/>
      <c r="K192" s="291"/>
      <c r="L192" s="291"/>
      <c r="M192" s="291"/>
      <c r="N192" s="291"/>
      <c r="O192" s="291"/>
      <c r="P192" s="291"/>
      <c r="Q192" s="291"/>
      <c r="R192" s="291"/>
      <c r="S192" s="291"/>
      <c r="T192" s="291"/>
      <c r="U192" s="291"/>
      <c r="V192" s="291"/>
      <c r="W192" s="291"/>
      <c r="X192" s="291"/>
      <c r="Y192" s="291"/>
      <c r="Z192" s="291"/>
    </row>
    <row r="193" spans="1:26" ht="14">
      <c r="A193" s="286" t="s">
        <v>7441</v>
      </c>
      <c r="B193" s="286" t="s">
        <v>7442</v>
      </c>
      <c r="C193" s="287">
        <v>701</v>
      </c>
      <c r="D193" s="288"/>
      <c r="E193" s="288"/>
      <c r="F193" s="289">
        <v>3153481299</v>
      </c>
      <c r="G193" s="286">
        <v>21070449</v>
      </c>
      <c r="H193" s="286" t="s">
        <v>7443</v>
      </c>
      <c r="I193" s="290">
        <v>46069</v>
      </c>
      <c r="J193" s="291"/>
      <c r="K193" s="291"/>
      <c r="L193" s="291"/>
      <c r="M193" s="291"/>
      <c r="N193" s="291"/>
      <c r="O193" s="291"/>
      <c r="P193" s="291"/>
      <c r="Q193" s="291"/>
      <c r="R193" s="291"/>
      <c r="S193" s="291"/>
      <c r="T193" s="291"/>
      <c r="U193" s="291"/>
      <c r="V193" s="291"/>
      <c r="W193" s="291"/>
      <c r="X193" s="291"/>
      <c r="Y193" s="291"/>
      <c r="Z193" s="291"/>
    </row>
    <row r="194" spans="1:26" ht="14">
      <c r="A194" s="286" t="s">
        <v>7444</v>
      </c>
      <c r="B194" s="286" t="s">
        <v>7445</v>
      </c>
      <c r="C194" s="287">
        <v>203</v>
      </c>
      <c r="D194" s="288" t="s">
        <v>7446</v>
      </c>
      <c r="E194" s="288"/>
      <c r="F194" s="289">
        <v>3115613435</v>
      </c>
      <c r="G194" s="286">
        <v>21070638</v>
      </c>
      <c r="H194" s="286" t="s">
        <v>7447</v>
      </c>
      <c r="I194" s="291"/>
      <c r="J194" s="291"/>
      <c r="K194" s="291"/>
      <c r="L194" s="291"/>
      <c r="M194" s="291"/>
      <c r="N194" s="291"/>
      <c r="O194" s="291"/>
      <c r="P194" s="291"/>
      <c r="Q194" s="291"/>
      <c r="R194" s="291"/>
      <c r="S194" s="291"/>
      <c r="T194" s="291"/>
      <c r="U194" s="291"/>
      <c r="V194" s="291"/>
      <c r="W194" s="291"/>
      <c r="X194" s="291"/>
      <c r="Y194" s="291"/>
      <c r="Z194" s="291"/>
    </row>
    <row r="195" spans="1:26" ht="18" customHeight="1">
      <c r="A195" s="286" t="s">
        <v>7448</v>
      </c>
      <c r="B195" s="286" t="s">
        <v>7449</v>
      </c>
      <c r="C195" s="287">
        <v>101</v>
      </c>
      <c r="D195" s="288"/>
      <c r="E195" s="288" t="s">
        <v>3116</v>
      </c>
      <c r="F195" s="289">
        <v>3123518736</v>
      </c>
      <c r="G195" s="286">
        <v>36308101</v>
      </c>
      <c r="H195" s="286" t="s">
        <v>7450</v>
      </c>
      <c r="I195" s="290">
        <v>46077</v>
      </c>
      <c r="J195" s="291"/>
      <c r="K195" s="291"/>
      <c r="L195" s="291"/>
      <c r="M195" s="291"/>
      <c r="N195" s="291"/>
      <c r="O195" s="291"/>
      <c r="P195" s="291"/>
      <c r="Q195" s="291"/>
      <c r="R195" s="291"/>
      <c r="S195" s="291"/>
      <c r="T195" s="291"/>
      <c r="U195" s="291"/>
      <c r="V195" s="291"/>
      <c r="W195" s="291"/>
      <c r="X195" s="291"/>
      <c r="Y195" s="291"/>
      <c r="Z195" s="291"/>
    </row>
    <row r="196" spans="1:26" ht="14">
      <c r="A196" s="304" t="s">
        <v>306</v>
      </c>
      <c r="B196" s="286" t="s">
        <v>7451</v>
      </c>
      <c r="C196" s="287">
        <v>503</v>
      </c>
      <c r="D196" s="288"/>
      <c r="E196" s="288"/>
      <c r="F196" s="289">
        <v>3002021912</v>
      </c>
      <c r="G196" s="286">
        <v>31142465</v>
      </c>
      <c r="H196" s="286" t="s">
        <v>7452</v>
      </c>
      <c r="I196" s="290">
        <v>46077</v>
      </c>
      <c r="J196" s="291"/>
      <c r="K196" s="291"/>
      <c r="L196" s="291"/>
      <c r="M196" s="291"/>
      <c r="N196" s="291"/>
      <c r="O196" s="291"/>
      <c r="P196" s="291"/>
      <c r="Q196" s="291"/>
      <c r="R196" s="291"/>
      <c r="S196" s="291"/>
      <c r="T196" s="291"/>
      <c r="U196" s="291"/>
      <c r="V196" s="291"/>
      <c r="W196" s="291"/>
      <c r="X196" s="291"/>
      <c r="Y196" s="291"/>
      <c r="Z196" s="291"/>
    </row>
    <row r="197" spans="1:26" ht="14">
      <c r="A197" s="312" t="s">
        <v>7453</v>
      </c>
      <c r="B197" s="286" t="s">
        <v>7454</v>
      </c>
      <c r="C197" s="287">
        <v>1003</v>
      </c>
      <c r="D197" s="288" t="s">
        <v>2733</v>
      </c>
      <c r="E197" s="288"/>
      <c r="F197" s="289">
        <v>3004591213</v>
      </c>
      <c r="G197" s="286">
        <v>52984593</v>
      </c>
      <c r="H197" s="286" t="s">
        <v>7455</v>
      </c>
      <c r="I197" s="290">
        <v>46077</v>
      </c>
      <c r="J197" s="291"/>
      <c r="K197" s="291"/>
      <c r="L197" s="291"/>
      <c r="M197" s="291"/>
      <c r="N197" s="291"/>
      <c r="O197" s="291"/>
      <c r="P197" s="291"/>
      <c r="Q197" s="291"/>
      <c r="R197" s="291"/>
      <c r="S197" s="291"/>
      <c r="T197" s="291"/>
      <c r="U197" s="291"/>
      <c r="V197" s="291"/>
      <c r="W197" s="291"/>
      <c r="X197" s="291"/>
      <c r="Y197" s="291"/>
      <c r="Z197" s="291"/>
    </row>
    <row r="198" spans="1:26" ht="14">
      <c r="A198" s="304" t="s">
        <v>1838</v>
      </c>
      <c r="B198" s="286" t="s">
        <v>7456</v>
      </c>
      <c r="C198" s="287">
        <v>401</v>
      </c>
      <c r="D198" s="309" t="s">
        <v>7457</v>
      </c>
      <c r="E198" s="288"/>
      <c r="F198" s="289">
        <v>3102035301</v>
      </c>
      <c r="G198" s="286">
        <v>25289698</v>
      </c>
      <c r="H198" s="286" t="s">
        <v>7458</v>
      </c>
      <c r="I198" s="290">
        <v>46077</v>
      </c>
      <c r="J198" s="291"/>
      <c r="K198" s="291"/>
      <c r="L198" s="291"/>
      <c r="M198" s="291"/>
      <c r="N198" s="291"/>
      <c r="O198" s="291"/>
      <c r="P198" s="291"/>
      <c r="Q198" s="291"/>
      <c r="R198" s="291"/>
      <c r="S198" s="291"/>
      <c r="T198" s="291"/>
      <c r="U198" s="291"/>
      <c r="V198" s="291"/>
      <c r="W198" s="291"/>
      <c r="X198" s="291"/>
      <c r="Y198" s="291"/>
      <c r="Z198" s="291"/>
    </row>
    <row r="199" spans="1:26" ht="14">
      <c r="A199" s="286" t="s">
        <v>7459</v>
      </c>
      <c r="B199" s="286" t="s">
        <v>7460</v>
      </c>
      <c r="C199" s="287">
        <v>405</v>
      </c>
      <c r="D199" s="288"/>
      <c r="E199" s="288"/>
      <c r="F199" s="289">
        <v>3123831987</v>
      </c>
      <c r="G199" s="286">
        <v>1020785608</v>
      </c>
      <c r="H199" s="286" t="s">
        <v>7461</v>
      </c>
      <c r="I199" s="290">
        <v>46077</v>
      </c>
      <c r="J199" s="291"/>
      <c r="K199" s="291"/>
      <c r="L199" s="291"/>
      <c r="M199" s="291"/>
      <c r="N199" s="291"/>
      <c r="O199" s="291"/>
      <c r="P199" s="291"/>
      <c r="Q199" s="291"/>
      <c r="R199" s="291"/>
      <c r="S199" s="291"/>
      <c r="T199" s="291"/>
      <c r="U199" s="291"/>
      <c r="V199" s="291"/>
      <c r="W199" s="291"/>
      <c r="X199" s="291"/>
      <c r="Y199" s="291"/>
      <c r="Z199" s="291"/>
    </row>
    <row r="200" spans="1:26" ht="14">
      <c r="A200" s="286" t="s">
        <v>2086</v>
      </c>
      <c r="B200" s="286" t="s">
        <v>7462</v>
      </c>
      <c r="C200" s="287">
        <v>303</v>
      </c>
      <c r="D200" s="288" t="s">
        <v>7463</v>
      </c>
      <c r="E200" s="288"/>
      <c r="F200" s="289">
        <v>3015161873</v>
      </c>
      <c r="G200" s="286">
        <v>41642676</v>
      </c>
      <c r="H200" s="286" t="s">
        <v>7464</v>
      </c>
      <c r="I200" s="290">
        <v>46077</v>
      </c>
      <c r="J200" s="291"/>
      <c r="K200" s="291"/>
      <c r="L200" s="291"/>
      <c r="M200" s="291"/>
      <c r="N200" s="291"/>
      <c r="O200" s="291"/>
      <c r="P200" s="291"/>
      <c r="Q200" s="291"/>
      <c r="R200" s="291"/>
      <c r="S200" s="291"/>
      <c r="T200" s="291"/>
      <c r="U200" s="291"/>
      <c r="V200" s="291"/>
      <c r="W200" s="291"/>
      <c r="X200" s="291"/>
      <c r="Y200" s="291"/>
      <c r="Z200" s="291"/>
    </row>
    <row r="201" spans="1:26" ht="14">
      <c r="A201" s="304" t="s">
        <v>7465</v>
      </c>
      <c r="B201" s="286" t="s">
        <v>7466</v>
      </c>
      <c r="C201" s="287">
        <v>602</v>
      </c>
      <c r="D201" s="309"/>
      <c r="E201" s="288"/>
      <c r="F201" s="289">
        <v>3113719422</v>
      </c>
      <c r="G201" s="286">
        <v>51608647</v>
      </c>
      <c r="H201" s="286" t="s">
        <v>7467</v>
      </c>
      <c r="I201" s="291"/>
      <c r="J201" s="291"/>
      <c r="K201" s="291"/>
      <c r="L201" s="291"/>
      <c r="M201" s="291"/>
      <c r="N201" s="291"/>
      <c r="O201" s="291"/>
      <c r="P201" s="291"/>
      <c r="Q201" s="291"/>
      <c r="R201" s="291"/>
      <c r="S201" s="291"/>
      <c r="T201" s="291"/>
      <c r="U201" s="291"/>
      <c r="V201" s="291"/>
      <c r="W201" s="291"/>
      <c r="X201" s="291"/>
      <c r="Y201" s="291"/>
      <c r="Z201" s="291"/>
    </row>
    <row r="202" spans="1:26" ht="14">
      <c r="A202" s="304" t="s">
        <v>2219</v>
      </c>
      <c r="B202" s="286" t="s">
        <v>7468</v>
      </c>
      <c r="C202" s="287">
        <v>211</v>
      </c>
      <c r="D202" s="288" t="s">
        <v>5273</v>
      </c>
      <c r="E202" s="288"/>
      <c r="F202" s="289">
        <v>3108136168</v>
      </c>
      <c r="G202" s="286">
        <v>52586379</v>
      </c>
      <c r="H202" s="286" t="s">
        <v>7469</v>
      </c>
      <c r="I202" s="290">
        <v>46077</v>
      </c>
      <c r="J202" s="291"/>
      <c r="K202" s="291"/>
      <c r="L202" s="291"/>
      <c r="M202" s="291"/>
      <c r="N202" s="291"/>
      <c r="O202" s="291"/>
      <c r="P202" s="291"/>
      <c r="Q202" s="291"/>
      <c r="R202" s="291"/>
      <c r="S202" s="291"/>
      <c r="T202" s="291"/>
      <c r="U202" s="291"/>
      <c r="V202" s="291"/>
      <c r="W202" s="291"/>
      <c r="X202" s="291"/>
      <c r="Y202" s="291"/>
      <c r="Z202" s="291"/>
    </row>
    <row r="203" spans="1:26" ht="14">
      <c r="A203" s="304" t="s">
        <v>7470</v>
      </c>
      <c r="B203" s="286" t="s">
        <v>7471</v>
      </c>
      <c r="C203" s="287">
        <v>702</v>
      </c>
      <c r="D203" s="288" t="s">
        <v>2907</v>
      </c>
      <c r="E203" s="288"/>
      <c r="F203" s="289">
        <v>3182210921</v>
      </c>
      <c r="G203" s="286">
        <v>52154741</v>
      </c>
      <c r="H203" s="286" t="s">
        <v>7472</v>
      </c>
      <c r="I203" s="291"/>
      <c r="J203" s="291"/>
      <c r="K203" s="291"/>
      <c r="L203" s="291"/>
      <c r="M203" s="291"/>
      <c r="N203" s="291"/>
      <c r="O203" s="291"/>
      <c r="P203" s="291"/>
      <c r="Q203" s="291"/>
      <c r="R203" s="291"/>
      <c r="S203" s="291"/>
      <c r="T203" s="291"/>
      <c r="U203" s="291"/>
      <c r="V203" s="291"/>
      <c r="W203" s="291"/>
      <c r="X203" s="291"/>
      <c r="Y203" s="291"/>
      <c r="Z203" s="291"/>
    </row>
    <row r="204" spans="1:26" ht="14">
      <c r="A204" s="286" t="s">
        <v>7473</v>
      </c>
      <c r="B204" s="286" t="s">
        <v>7474</v>
      </c>
      <c r="C204" s="287">
        <v>202</v>
      </c>
      <c r="D204" s="288" t="s">
        <v>7475</v>
      </c>
      <c r="E204" s="288"/>
      <c r="F204" s="289">
        <v>3152365494</v>
      </c>
      <c r="G204" s="313">
        <v>52691207</v>
      </c>
      <c r="H204" s="286" t="s">
        <v>7476</v>
      </c>
      <c r="I204" s="290">
        <v>46077</v>
      </c>
      <c r="J204" s="291"/>
      <c r="K204" s="291"/>
      <c r="L204" s="291"/>
      <c r="M204" s="291"/>
      <c r="N204" s="291"/>
      <c r="O204" s="291"/>
      <c r="P204" s="291"/>
      <c r="Q204" s="291"/>
      <c r="R204" s="291"/>
      <c r="S204" s="291"/>
      <c r="T204" s="291"/>
      <c r="U204" s="291"/>
      <c r="V204" s="291"/>
      <c r="W204" s="291"/>
      <c r="X204" s="291"/>
      <c r="Y204" s="291"/>
      <c r="Z204" s="291"/>
    </row>
    <row r="205" spans="1:26" ht="14">
      <c r="A205" s="304" t="s">
        <v>2375</v>
      </c>
      <c r="B205" s="286" t="s">
        <v>7477</v>
      </c>
      <c r="C205" s="287" t="s">
        <v>7478</v>
      </c>
      <c r="D205" s="288" t="s">
        <v>7479</v>
      </c>
      <c r="E205" s="309" t="s">
        <v>7480</v>
      </c>
      <c r="F205" s="289">
        <v>3103493365</v>
      </c>
      <c r="G205" s="286">
        <v>46351698</v>
      </c>
      <c r="H205" s="286" t="s">
        <v>7481</v>
      </c>
      <c r="I205" s="290">
        <v>46077</v>
      </c>
      <c r="J205" s="291"/>
      <c r="K205" s="291"/>
      <c r="L205" s="291"/>
      <c r="M205" s="291"/>
      <c r="N205" s="291"/>
      <c r="O205" s="291"/>
      <c r="P205" s="291"/>
      <c r="Q205" s="291"/>
      <c r="R205" s="291"/>
      <c r="S205" s="291"/>
      <c r="T205" s="291"/>
      <c r="U205" s="291"/>
      <c r="V205" s="291"/>
      <c r="W205" s="291"/>
      <c r="X205" s="291"/>
      <c r="Y205" s="291"/>
      <c r="Z205" s="291"/>
    </row>
    <row r="206" spans="1:26" ht="14">
      <c r="A206" s="304" t="s">
        <v>7482</v>
      </c>
      <c r="B206" s="286" t="s">
        <v>7483</v>
      </c>
      <c r="C206" s="287">
        <v>504</v>
      </c>
      <c r="D206" s="288"/>
      <c r="E206" s="288"/>
      <c r="F206" s="289">
        <v>3183381080</v>
      </c>
      <c r="G206" s="286">
        <v>3229460</v>
      </c>
      <c r="H206" s="286" t="s">
        <v>7484</v>
      </c>
      <c r="I206" s="290">
        <v>46077</v>
      </c>
      <c r="J206" s="291"/>
      <c r="K206" s="291"/>
      <c r="L206" s="291"/>
      <c r="M206" s="291"/>
      <c r="N206" s="291"/>
      <c r="O206" s="291"/>
      <c r="P206" s="291"/>
      <c r="Q206" s="291"/>
      <c r="R206" s="291"/>
      <c r="S206" s="291"/>
      <c r="T206" s="291"/>
      <c r="U206" s="291"/>
      <c r="V206" s="291"/>
      <c r="W206" s="291"/>
      <c r="X206" s="291"/>
      <c r="Y206" s="291"/>
      <c r="Z206" s="291"/>
    </row>
    <row r="207" spans="1:26" ht="14">
      <c r="A207" s="298" t="s">
        <v>7485</v>
      </c>
      <c r="B207" s="298" t="s">
        <v>7486</v>
      </c>
      <c r="C207" s="299"/>
      <c r="D207" s="298" t="s">
        <v>3822</v>
      </c>
      <c r="E207" s="298" t="s">
        <v>5532</v>
      </c>
      <c r="F207" s="300">
        <v>3158219181</v>
      </c>
      <c r="G207" s="298">
        <v>41426977</v>
      </c>
      <c r="H207" s="298" t="s">
        <v>7487</v>
      </c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</row>
    <row r="208" spans="1:26" ht="14">
      <c r="A208" s="298" t="s">
        <v>7488</v>
      </c>
      <c r="B208" s="298" t="s">
        <v>7489</v>
      </c>
      <c r="C208" s="299">
        <v>501</v>
      </c>
      <c r="D208" s="298" t="s">
        <v>7490</v>
      </c>
      <c r="E208" s="298"/>
      <c r="F208" s="300">
        <v>3134337761</v>
      </c>
      <c r="G208" s="298">
        <v>52622005</v>
      </c>
      <c r="H208" s="298" t="s">
        <v>7491</v>
      </c>
      <c r="I208" s="290">
        <v>46077</v>
      </c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</row>
    <row r="209" spans="1:26" ht="14">
      <c r="A209" s="286" t="s">
        <v>7492</v>
      </c>
      <c r="B209" s="286" t="s">
        <v>7493</v>
      </c>
      <c r="C209" s="287">
        <v>505</v>
      </c>
      <c r="D209" s="288"/>
      <c r="E209" s="288"/>
      <c r="F209" s="289">
        <v>3153355117</v>
      </c>
      <c r="G209" s="286">
        <v>21066588</v>
      </c>
      <c r="H209" s="286" t="s">
        <v>7494</v>
      </c>
      <c r="I209" s="290">
        <v>46077</v>
      </c>
      <c r="J209" s="291"/>
      <c r="K209" s="291"/>
      <c r="L209" s="291"/>
      <c r="M209" s="291"/>
      <c r="N209" s="291"/>
      <c r="O209" s="291"/>
      <c r="P209" s="291"/>
      <c r="Q209" s="291"/>
      <c r="R209" s="291"/>
      <c r="S209" s="291"/>
      <c r="T209" s="291"/>
      <c r="U209" s="291"/>
      <c r="V209" s="291"/>
      <c r="W209" s="291"/>
      <c r="X209" s="291"/>
      <c r="Y209" s="291"/>
      <c r="Z209" s="291"/>
    </row>
    <row r="210" spans="1:26" ht="14">
      <c r="A210" s="286" t="s">
        <v>7495</v>
      </c>
      <c r="B210" s="286" t="s">
        <v>7496</v>
      </c>
      <c r="C210" s="287" t="s">
        <v>7497</v>
      </c>
      <c r="D210" s="288" t="s">
        <v>7498</v>
      </c>
      <c r="E210" s="288"/>
      <c r="F210" s="289">
        <v>3016270787</v>
      </c>
      <c r="G210" s="286">
        <v>52804776</v>
      </c>
      <c r="H210" s="286" t="s">
        <v>7499</v>
      </c>
      <c r="I210" s="290">
        <v>46077</v>
      </c>
      <c r="J210" s="291"/>
      <c r="K210" s="291"/>
      <c r="L210" s="291"/>
      <c r="M210" s="291"/>
      <c r="N210" s="291"/>
      <c r="O210" s="291"/>
      <c r="P210" s="291"/>
      <c r="Q210" s="291"/>
      <c r="R210" s="291"/>
      <c r="S210" s="291"/>
      <c r="T210" s="291"/>
      <c r="U210" s="291"/>
      <c r="V210" s="291"/>
      <c r="W210" s="291"/>
      <c r="X210" s="291"/>
      <c r="Y210" s="291"/>
      <c r="Z210" s="291"/>
    </row>
    <row r="211" spans="1:26" ht="14">
      <c r="A211" s="286" t="s">
        <v>7500</v>
      </c>
      <c r="B211" s="286" t="s">
        <v>7501</v>
      </c>
      <c r="C211" s="287">
        <v>502</v>
      </c>
      <c r="D211" s="288"/>
      <c r="E211" s="288"/>
      <c r="F211" s="289">
        <v>3017369479</v>
      </c>
      <c r="G211" s="286">
        <v>1061744809</v>
      </c>
      <c r="H211" s="286" t="s">
        <v>7502</v>
      </c>
      <c r="I211" s="290">
        <v>46077</v>
      </c>
      <c r="J211" s="291"/>
      <c r="K211" s="291"/>
      <c r="L211" s="291"/>
      <c r="M211" s="291"/>
      <c r="N211" s="291"/>
      <c r="O211" s="291"/>
      <c r="P211" s="291"/>
      <c r="Q211" s="291"/>
      <c r="R211" s="291"/>
      <c r="S211" s="291"/>
      <c r="T211" s="291"/>
      <c r="U211" s="291"/>
      <c r="V211" s="291"/>
      <c r="W211" s="291"/>
      <c r="X211" s="291"/>
      <c r="Y211" s="291"/>
      <c r="Z211" s="291"/>
    </row>
    <row r="212" spans="1:26" ht="14">
      <c r="A212" s="286" t="s">
        <v>364</v>
      </c>
      <c r="B212" s="286" t="s">
        <v>7503</v>
      </c>
      <c r="C212" s="287">
        <v>602</v>
      </c>
      <c r="D212" s="288"/>
      <c r="E212" s="288"/>
      <c r="F212" s="289">
        <v>3138706730</v>
      </c>
      <c r="G212" s="286">
        <v>5240340</v>
      </c>
      <c r="H212" s="286" t="s">
        <v>7504</v>
      </c>
      <c r="I212" s="291"/>
      <c r="J212" s="291"/>
      <c r="K212" s="291"/>
      <c r="L212" s="291"/>
      <c r="M212" s="291"/>
      <c r="N212" s="291"/>
      <c r="O212" s="291"/>
      <c r="P212" s="291"/>
      <c r="Q212" s="291"/>
      <c r="R212" s="291"/>
      <c r="S212" s="291"/>
      <c r="T212" s="291"/>
      <c r="U212" s="291"/>
      <c r="V212" s="291"/>
      <c r="W212" s="291"/>
      <c r="X212" s="291"/>
      <c r="Y212" s="291"/>
      <c r="Z212" s="291"/>
    </row>
    <row r="213" spans="1:26" ht="23.25" customHeight="1">
      <c r="A213" s="286" t="s">
        <v>7505</v>
      </c>
      <c r="B213" s="286" t="s">
        <v>7506</v>
      </c>
      <c r="C213" s="287">
        <v>511</v>
      </c>
      <c r="D213" s="288" t="s">
        <v>7507</v>
      </c>
      <c r="E213" s="288"/>
      <c r="F213" s="289">
        <v>3134942852</v>
      </c>
      <c r="G213" s="286">
        <v>1019086585</v>
      </c>
      <c r="H213" s="286" t="s">
        <v>7508</v>
      </c>
      <c r="I213" s="290">
        <v>46077</v>
      </c>
      <c r="J213" s="291"/>
      <c r="K213" s="291"/>
      <c r="L213" s="291"/>
      <c r="M213" s="291"/>
      <c r="N213" s="291"/>
      <c r="O213" s="291"/>
      <c r="P213" s="291"/>
      <c r="Q213" s="291"/>
      <c r="R213" s="291"/>
      <c r="S213" s="291"/>
      <c r="T213" s="291"/>
      <c r="U213" s="291"/>
      <c r="V213" s="291"/>
      <c r="W213" s="291"/>
      <c r="X213" s="291"/>
      <c r="Y213" s="291"/>
      <c r="Z213" s="291"/>
    </row>
    <row r="214" spans="1:26" ht="14">
      <c r="A214" s="286" t="s">
        <v>1492</v>
      </c>
      <c r="B214" s="286" t="s">
        <v>7509</v>
      </c>
      <c r="C214" s="287">
        <v>1001</v>
      </c>
      <c r="D214" s="288" t="s">
        <v>2721</v>
      </c>
      <c r="E214" s="288"/>
      <c r="F214" s="289">
        <v>3108028971</v>
      </c>
      <c r="G214" s="286">
        <v>80424608</v>
      </c>
      <c r="H214" s="286" t="s">
        <v>7510</v>
      </c>
      <c r="I214" s="290">
        <v>46077</v>
      </c>
      <c r="J214" s="291"/>
      <c r="K214" s="291"/>
      <c r="L214" s="291"/>
      <c r="M214" s="291"/>
      <c r="N214" s="291"/>
      <c r="O214" s="291"/>
      <c r="P214" s="291"/>
      <c r="Q214" s="291"/>
      <c r="R214" s="291"/>
      <c r="S214" s="291"/>
      <c r="T214" s="291"/>
      <c r="U214" s="291"/>
      <c r="V214" s="291"/>
      <c r="W214" s="291"/>
      <c r="X214" s="291"/>
      <c r="Y214" s="291"/>
      <c r="Z214" s="291"/>
    </row>
    <row r="215" spans="1:26" ht="14">
      <c r="A215" s="286" t="s">
        <v>1990</v>
      </c>
      <c r="B215" s="286" t="s">
        <v>7511</v>
      </c>
      <c r="C215" s="287"/>
      <c r="D215" s="288" t="s">
        <v>7512</v>
      </c>
      <c r="E215" s="288" t="s">
        <v>7513</v>
      </c>
      <c r="F215" s="289">
        <v>3004589671</v>
      </c>
      <c r="G215" s="286">
        <v>1037576374</v>
      </c>
      <c r="H215" s="286" t="s">
        <v>7514</v>
      </c>
      <c r="I215" s="291"/>
      <c r="J215" s="291"/>
      <c r="K215" s="291"/>
      <c r="L215" s="291"/>
      <c r="M215" s="291"/>
      <c r="N215" s="291"/>
      <c r="O215" s="291"/>
      <c r="P215" s="291"/>
      <c r="Q215" s="291"/>
      <c r="R215" s="291"/>
      <c r="S215" s="291"/>
      <c r="T215" s="291"/>
      <c r="U215" s="291"/>
      <c r="V215" s="291"/>
      <c r="W215" s="291"/>
      <c r="X215" s="291"/>
      <c r="Y215" s="291"/>
      <c r="Z215" s="291"/>
    </row>
    <row r="216" spans="1:26" ht="14">
      <c r="A216" s="286" t="s">
        <v>7515</v>
      </c>
      <c r="B216" s="286" t="s">
        <v>7516</v>
      </c>
      <c r="C216" s="287">
        <v>202</v>
      </c>
      <c r="D216" s="323" t="s">
        <v>7517</v>
      </c>
      <c r="E216" s="288"/>
      <c r="F216" s="289">
        <v>3157634698</v>
      </c>
      <c r="G216" s="286">
        <v>19282650</v>
      </c>
      <c r="H216" s="286" t="s">
        <v>7518</v>
      </c>
      <c r="I216" s="291"/>
      <c r="J216" s="291"/>
      <c r="K216" s="291"/>
      <c r="L216" s="291"/>
      <c r="M216" s="291"/>
      <c r="N216" s="291"/>
      <c r="O216" s="291"/>
      <c r="P216" s="291"/>
      <c r="Q216" s="291"/>
      <c r="R216" s="291"/>
      <c r="S216" s="291"/>
      <c r="T216" s="291"/>
      <c r="U216" s="291"/>
      <c r="V216" s="291"/>
      <c r="W216" s="291"/>
      <c r="X216" s="291"/>
      <c r="Y216" s="291"/>
      <c r="Z216" s="291"/>
    </row>
    <row r="217" spans="1:26" ht="14">
      <c r="A217" s="286" t="s">
        <v>7519</v>
      </c>
      <c r="B217" s="286" t="s">
        <v>7520</v>
      </c>
      <c r="C217" s="287">
        <v>309</v>
      </c>
      <c r="D217" s="288"/>
      <c r="E217" s="288"/>
      <c r="F217" s="289">
        <v>3112633723</v>
      </c>
      <c r="G217" s="286">
        <v>1015420154</v>
      </c>
      <c r="H217" s="286" t="s">
        <v>7521</v>
      </c>
      <c r="I217" s="290">
        <v>46077</v>
      </c>
      <c r="J217" s="291"/>
      <c r="K217" s="291"/>
      <c r="L217" s="291"/>
      <c r="M217" s="291"/>
      <c r="N217" s="291"/>
      <c r="O217" s="291"/>
      <c r="P217" s="291"/>
      <c r="Q217" s="291"/>
      <c r="R217" s="291"/>
      <c r="S217" s="291"/>
      <c r="T217" s="291"/>
      <c r="U217" s="291"/>
      <c r="V217" s="291"/>
      <c r="W217" s="291"/>
      <c r="X217" s="291"/>
      <c r="Y217" s="291"/>
      <c r="Z217" s="291"/>
    </row>
    <row r="218" spans="1:26" ht="14">
      <c r="A218" s="286" t="s">
        <v>323</v>
      </c>
      <c r="B218" s="286" t="s">
        <v>7522</v>
      </c>
      <c r="C218" s="287">
        <v>1104</v>
      </c>
      <c r="D218" s="288" t="s">
        <v>7523</v>
      </c>
      <c r="E218" s="288" t="s">
        <v>7524</v>
      </c>
      <c r="F218" s="289">
        <v>3108077119</v>
      </c>
      <c r="G218" s="286">
        <v>52990207</v>
      </c>
      <c r="H218" s="286" t="s">
        <v>7525</v>
      </c>
      <c r="I218" s="291"/>
      <c r="J218" s="291"/>
      <c r="K218" s="291"/>
      <c r="L218" s="291"/>
      <c r="M218" s="291"/>
      <c r="N218" s="291"/>
      <c r="O218" s="291"/>
      <c r="P218" s="291"/>
      <c r="Q218" s="291"/>
      <c r="R218" s="291"/>
      <c r="S218" s="291"/>
      <c r="T218" s="291"/>
      <c r="U218" s="291"/>
      <c r="V218" s="291"/>
      <c r="W218" s="291"/>
      <c r="X218" s="291"/>
      <c r="Y218" s="291"/>
      <c r="Z218" s="291"/>
    </row>
    <row r="219" spans="1:26" ht="14">
      <c r="A219" s="286" t="s">
        <v>58</v>
      </c>
      <c r="B219" s="286" t="s">
        <v>7526</v>
      </c>
      <c r="C219" s="287">
        <v>401</v>
      </c>
      <c r="D219" s="288" t="s">
        <v>3808</v>
      </c>
      <c r="E219" s="288"/>
      <c r="F219" s="289">
        <v>3118769855</v>
      </c>
      <c r="G219" s="286">
        <v>1020797413</v>
      </c>
      <c r="H219" s="286" t="s">
        <v>7527</v>
      </c>
      <c r="I219" s="291"/>
      <c r="J219" s="291"/>
      <c r="K219" s="291"/>
      <c r="L219" s="291"/>
      <c r="M219" s="291"/>
      <c r="N219" s="291"/>
      <c r="O219" s="291"/>
      <c r="P219" s="291"/>
      <c r="Q219" s="291"/>
      <c r="R219" s="291"/>
      <c r="S219" s="291"/>
      <c r="T219" s="291"/>
      <c r="U219" s="291"/>
      <c r="V219" s="291"/>
      <c r="W219" s="291"/>
      <c r="X219" s="291"/>
      <c r="Y219" s="291"/>
      <c r="Z219" s="291"/>
    </row>
    <row r="220" spans="1:26" ht="14">
      <c r="A220" s="286" t="s">
        <v>7528</v>
      </c>
      <c r="B220" s="286" t="s">
        <v>7529</v>
      </c>
      <c r="C220" s="287">
        <v>302</v>
      </c>
      <c r="D220" s="288"/>
      <c r="E220" s="288"/>
      <c r="F220" s="289">
        <v>3045465811</v>
      </c>
      <c r="G220" s="286">
        <v>80135570</v>
      </c>
      <c r="H220" s="286" t="s">
        <v>7530</v>
      </c>
      <c r="I220" s="291"/>
      <c r="J220" s="291"/>
      <c r="K220" s="291"/>
      <c r="L220" s="291"/>
      <c r="M220" s="291"/>
      <c r="N220" s="291"/>
      <c r="O220" s="291"/>
      <c r="P220" s="291"/>
      <c r="Q220" s="291"/>
      <c r="R220" s="291"/>
      <c r="S220" s="291"/>
      <c r="T220" s="291"/>
      <c r="U220" s="291"/>
      <c r="V220" s="291"/>
      <c r="W220" s="291"/>
      <c r="X220" s="291"/>
      <c r="Y220" s="291"/>
      <c r="Z220" s="291"/>
    </row>
    <row r="221" spans="1:26" ht="14">
      <c r="A221" s="286" t="s">
        <v>229</v>
      </c>
      <c r="B221" s="286" t="s">
        <v>5162</v>
      </c>
      <c r="C221" s="287">
        <v>332</v>
      </c>
      <c r="D221" s="288" t="s">
        <v>7531</v>
      </c>
      <c r="E221" s="288"/>
      <c r="F221" s="289">
        <v>3102877387</v>
      </c>
      <c r="G221" s="286">
        <v>35497069</v>
      </c>
      <c r="H221" s="286" t="s">
        <v>7532</v>
      </c>
      <c r="I221" s="290">
        <v>46077</v>
      </c>
      <c r="J221" s="291"/>
      <c r="K221" s="291"/>
      <c r="L221" s="291"/>
      <c r="M221" s="291"/>
      <c r="N221" s="291"/>
      <c r="O221" s="291"/>
      <c r="P221" s="291"/>
      <c r="Q221" s="291"/>
      <c r="R221" s="291"/>
      <c r="S221" s="291"/>
      <c r="T221" s="291"/>
      <c r="U221" s="291"/>
      <c r="V221" s="291"/>
      <c r="W221" s="291"/>
      <c r="X221" s="291"/>
      <c r="Y221" s="291"/>
      <c r="Z221" s="291"/>
    </row>
    <row r="222" spans="1:26" ht="14">
      <c r="A222" s="286" t="s">
        <v>7533</v>
      </c>
      <c r="B222" s="286" t="s">
        <v>7534</v>
      </c>
      <c r="C222" s="287">
        <v>204</v>
      </c>
      <c r="D222" s="288" t="s">
        <v>7201</v>
      </c>
      <c r="E222" s="288"/>
      <c r="F222" s="289">
        <v>3187347596</v>
      </c>
      <c r="G222" s="286">
        <v>1020765110</v>
      </c>
      <c r="H222" s="286" t="s">
        <v>7535</v>
      </c>
      <c r="I222" s="290">
        <v>46077</v>
      </c>
      <c r="J222" s="291"/>
      <c r="K222" s="291"/>
      <c r="L222" s="291"/>
      <c r="M222" s="291"/>
      <c r="N222" s="291"/>
      <c r="O222" s="291"/>
      <c r="P222" s="291"/>
      <c r="Q222" s="291"/>
      <c r="R222" s="291"/>
      <c r="S222" s="291"/>
      <c r="T222" s="291"/>
      <c r="U222" s="291"/>
      <c r="V222" s="291"/>
      <c r="W222" s="291"/>
      <c r="X222" s="291"/>
      <c r="Y222" s="291"/>
      <c r="Z222" s="291"/>
    </row>
    <row r="223" spans="1:26" ht="14">
      <c r="A223" s="286" t="s">
        <v>1940</v>
      </c>
      <c r="B223" s="286" t="s">
        <v>7536</v>
      </c>
      <c r="C223" s="287">
        <v>505</v>
      </c>
      <c r="D223" s="288"/>
      <c r="E223" s="288"/>
      <c r="F223" s="289">
        <v>3208498619</v>
      </c>
      <c r="G223" s="286">
        <v>52537417</v>
      </c>
      <c r="H223" s="286" t="s">
        <v>7537</v>
      </c>
      <c r="I223" s="290">
        <v>46077</v>
      </c>
      <c r="J223" s="291"/>
      <c r="K223" s="291"/>
      <c r="L223" s="291"/>
      <c r="M223" s="291"/>
      <c r="N223" s="291"/>
      <c r="O223" s="291"/>
      <c r="P223" s="291"/>
      <c r="Q223" s="291"/>
      <c r="R223" s="291"/>
      <c r="S223" s="291"/>
      <c r="T223" s="291"/>
      <c r="U223" s="291"/>
      <c r="V223" s="291"/>
      <c r="W223" s="291"/>
      <c r="X223" s="291"/>
      <c r="Y223" s="291"/>
      <c r="Z223" s="291"/>
    </row>
    <row r="224" spans="1:26" ht="14">
      <c r="A224" s="286" t="s">
        <v>7538</v>
      </c>
      <c r="B224" s="286" t="s">
        <v>7539</v>
      </c>
      <c r="C224" s="287">
        <v>205</v>
      </c>
      <c r="D224" s="288" t="s">
        <v>7540</v>
      </c>
      <c r="E224" s="288"/>
      <c r="F224" s="289">
        <v>3213296116</v>
      </c>
      <c r="G224" s="286">
        <v>43220842</v>
      </c>
      <c r="H224" s="286" t="s">
        <v>7541</v>
      </c>
      <c r="I224" s="290">
        <v>46077</v>
      </c>
      <c r="J224" s="291"/>
      <c r="K224" s="291"/>
      <c r="L224" s="291"/>
      <c r="M224" s="291"/>
      <c r="N224" s="291"/>
      <c r="O224" s="291"/>
      <c r="P224" s="291"/>
      <c r="Q224" s="291"/>
      <c r="R224" s="291"/>
      <c r="S224" s="291"/>
      <c r="T224" s="291"/>
      <c r="U224" s="291"/>
      <c r="V224" s="291"/>
      <c r="W224" s="291"/>
      <c r="X224" s="291"/>
      <c r="Y224" s="291"/>
      <c r="Z224" s="291"/>
    </row>
    <row r="225" spans="1:26" ht="14">
      <c r="A225" s="286" t="s">
        <v>86</v>
      </c>
      <c r="B225" s="286" t="s">
        <v>7542</v>
      </c>
      <c r="C225" s="287">
        <v>102</v>
      </c>
      <c r="D225" s="288"/>
      <c r="E225" s="288"/>
      <c r="F225" s="289">
        <v>3106498563</v>
      </c>
      <c r="G225" s="286">
        <v>51571828</v>
      </c>
      <c r="H225" s="286" t="s">
        <v>7543</v>
      </c>
      <c r="I225" s="291"/>
      <c r="J225" s="291"/>
      <c r="K225" s="291"/>
      <c r="L225" s="291"/>
      <c r="M225" s="291"/>
      <c r="N225" s="291"/>
      <c r="O225" s="291"/>
      <c r="P225" s="291"/>
      <c r="Q225" s="291"/>
      <c r="R225" s="291"/>
      <c r="S225" s="291"/>
      <c r="T225" s="291"/>
      <c r="U225" s="291"/>
      <c r="V225" s="291"/>
      <c r="W225" s="291"/>
      <c r="X225" s="291"/>
      <c r="Y225" s="291"/>
      <c r="Z225" s="291"/>
    </row>
    <row r="226" spans="1:26" ht="14">
      <c r="A226" s="286" t="s">
        <v>7544</v>
      </c>
      <c r="B226" s="286" t="s">
        <v>7545</v>
      </c>
      <c r="C226" s="287">
        <v>502</v>
      </c>
      <c r="D226" s="288"/>
      <c r="E226" s="288"/>
      <c r="F226" s="289">
        <v>3114560105</v>
      </c>
      <c r="G226" s="286">
        <v>52801874</v>
      </c>
      <c r="H226" s="286" t="s">
        <v>7546</v>
      </c>
      <c r="I226" s="290">
        <v>46077</v>
      </c>
      <c r="J226" s="291"/>
      <c r="K226" s="291"/>
      <c r="L226" s="291"/>
      <c r="M226" s="291"/>
      <c r="N226" s="291"/>
      <c r="O226" s="291"/>
      <c r="P226" s="291"/>
      <c r="Q226" s="291"/>
      <c r="R226" s="291"/>
      <c r="S226" s="291"/>
      <c r="T226" s="291"/>
      <c r="U226" s="291"/>
      <c r="V226" s="291"/>
      <c r="W226" s="291"/>
      <c r="X226" s="291"/>
      <c r="Y226" s="291"/>
      <c r="Z226" s="291"/>
    </row>
    <row r="227" spans="1:26" ht="19.5" customHeight="1">
      <c r="A227" s="286" t="s">
        <v>1345</v>
      </c>
      <c r="B227" s="286" t="s">
        <v>7547</v>
      </c>
      <c r="C227" s="287">
        <v>201</v>
      </c>
      <c r="D227" s="288" t="s">
        <v>7548</v>
      </c>
      <c r="E227" s="288"/>
      <c r="F227" s="289">
        <v>3102566547</v>
      </c>
      <c r="G227" s="286">
        <v>79149504</v>
      </c>
      <c r="H227" s="286" t="s">
        <v>7549</v>
      </c>
      <c r="I227" s="290">
        <v>46077</v>
      </c>
      <c r="J227" s="291"/>
      <c r="K227" s="291"/>
      <c r="L227" s="291"/>
      <c r="M227" s="291"/>
      <c r="N227" s="291"/>
      <c r="O227" s="291"/>
      <c r="P227" s="291"/>
      <c r="Q227" s="291"/>
      <c r="R227" s="291"/>
      <c r="S227" s="291"/>
      <c r="T227" s="291"/>
      <c r="U227" s="291"/>
      <c r="V227" s="291"/>
      <c r="W227" s="291"/>
      <c r="X227" s="291"/>
      <c r="Y227" s="291"/>
      <c r="Z227" s="291"/>
    </row>
    <row r="228" spans="1:26" ht="14">
      <c r="A228" s="286" t="s">
        <v>113</v>
      </c>
      <c r="B228" s="286" t="s">
        <v>7550</v>
      </c>
      <c r="C228" s="287">
        <v>501</v>
      </c>
      <c r="D228" s="288" t="s">
        <v>7551</v>
      </c>
      <c r="E228" s="288" t="s">
        <v>7552</v>
      </c>
      <c r="F228" s="289">
        <v>3187129115</v>
      </c>
      <c r="G228" s="286">
        <v>52711590</v>
      </c>
      <c r="H228" s="286" t="s">
        <v>7553</v>
      </c>
      <c r="I228" s="291"/>
      <c r="J228" s="291"/>
      <c r="K228" s="291"/>
      <c r="L228" s="291"/>
      <c r="M228" s="291"/>
      <c r="N228" s="291"/>
      <c r="O228" s="291"/>
      <c r="P228" s="291"/>
      <c r="Q228" s="291"/>
      <c r="R228" s="291"/>
      <c r="S228" s="291"/>
      <c r="T228" s="291"/>
      <c r="U228" s="291"/>
      <c r="V228" s="291"/>
      <c r="W228" s="291"/>
      <c r="X228" s="291"/>
      <c r="Y228" s="291"/>
      <c r="Z228" s="291"/>
    </row>
    <row r="229" spans="1:26" ht="14">
      <c r="A229" s="286" t="s">
        <v>7554</v>
      </c>
      <c r="B229" s="286" t="s">
        <v>7555</v>
      </c>
      <c r="C229" s="287">
        <v>718</v>
      </c>
      <c r="D229" s="288" t="s">
        <v>7556</v>
      </c>
      <c r="E229" s="288"/>
      <c r="F229" s="289">
        <v>3108152915</v>
      </c>
      <c r="G229" s="286">
        <v>21066329</v>
      </c>
      <c r="H229" s="286" t="s">
        <v>7557</v>
      </c>
      <c r="I229" s="290">
        <v>46077</v>
      </c>
      <c r="J229" s="291"/>
      <c r="K229" s="291"/>
      <c r="L229" s="291"/>
      <c r="M229" s="291"/>
      <c r="N229" s="291"/>
      <c r="O229" s="291"/>
      <c r="P229" s="291"/>
      <c r="Q229" s="291"/>
      <c r="R229" s="291"/>
      <c r="S229" s="291"/>
      <c r="T229" s="291"/>
      <c r="U229" s="291"/>
      <c r="V229" s="291"/>
      <c r="W229" s="291"/>
      <c r="X229" s="291"/>
      <c r="Y229" s="291"/>
      <c r="Z229" s="291"/>
    </row>
    <row r="230" spans="1:26" ht="14">
      <c r="A230" s="286" t="s">
        <v>7558</v>
      </c>
      <c r="B230" s="286" t="s">
        <v>7559</v>
      </c>
      <c r="C230" s="287">
        <v>224</v>
      </c>
      <c r="D230" s="288" t="s">
        <v>2907</v>
      </c>
      <c r="E230" s="288"/>
      <c r="F230" s="289">
        <v>3115825058</v>
      </c>
      <c r="G230" s="286">
        <v>1013631681</v>
      </c>
      <c r="H230" s="286" t="s">
        <v>7560</v>
      </c>
      <c r="I230" s="290">
        <v>46078</v>
      </c>
      <c r="J230" s="291"/>
      <c r="K230" s="291"/>
      <c r="L230" s="291"/>
      <c r="M230" s="291"/>
      <c r="N230" s="291"/>
      <c r="O230" s="291"/>
      <c r="P230" s="291"/>
      <c r="Q230" s="291"/>
      <c r="R230" s="291"/>
      <c r="S230" s="291"/>
      <c r="T230" s="291"/>
      <c r="U230" s="291"/>
      <c r="V230" s="291"/>
      <c r="W230" s="291"/>
      <c r="X230" s="291"/>
      <c r="Y230" s="291"/>
      <c r="Z230" s="291"/>
    </row>
    <row r="231" spans="1:26" ht="14">
      <c r="A231" s="286" t="s">
        <v>7561</v>
      </c>
      <c r="B231" s="286" t="s">
        <v>7562</v>
      </c>
      <c r="C231" s="287">
        <v>504</v>
      </c>
      <c r="D231" s="288" t="s">
        <v>7563</v>
      </c>
      <c r="E231" s="288"/>
      <c r="F231" s="289">
        <v>3164696608</v>
      </c>
      <c r="G231" s="286">
        <v>35510020</v>
      </c>
      <c r="H231" s="286" t="s">
        <v>7564</v>
      </c>
      <c r="I231" s="290">
        <v>46078</v>
      </c>
      <c r="J231" s="291"/>
      <c r="K231" s="291"/>
      <c r="L231" s="291"/>
      <c r="M231" s="291"/>
      <c r="N231" s="291"/>
      <c r="O231" s="291"/>
      <c r="P231" s="291"/>
      <c r="Q231" s="291"/>
      <c r="R231" s="291"/>
      <c r="S231" s="291"/>
      <c r="T231" s="291"/>
      <c r="U231" s="291"/>
      <c r="V231" s="291"/>
      <c r="W231" s="291"/>
      <c r="X231" s="291"/>
      <c r="Y231" s="291"/>
      <c r="Z231" s="291"/>
    </row>
    <row r="232" spans="1:26" ht="14">
      <c r="A232" s="286" t="s">
        <v>33</v>
      </c>
      <c r="B232" s="286" t="s">
        <v>7565</v>
      </c>
      <c r="C232" s="287" t="s">
        <v>7566</v>
      </c>
      <c r="D232" s="288" t="s">
        <v>7567</v>
      </c>
      <c r="E232" s="288"/>
      <c r="F232" s="289">
        <v>3167441815</v>
      </c>
      <c r="G232" s="286">
        <v>65757910</v>
      </c>
      <c r="H232" s="286" t="s">
        <v>7568</v>
      </c>
      <c r="I232" s="291"/>
      <c r="J232" s="291"/>
      <c r="K232" s="291"/>
      <c r="L232" s="291"/>
      <c r="M232" s="291"/>
      <c r="N232" s="291"/>
      <c r="O232" s="291"/>
      <c r="P232" s="291"/>
      <c r="Q232" s="291"/>
      <c r="R232" s="291"/>
      <c r="S232" s="291"/>
      <c r="T232" s="291"/>
      <c r="U232" s="291"/>
      <c r="V232" s="291"/>
      <c r="W232" s="291"/>
      <c r="X232" s="291"/>
      <c r="Y232" s="291"/>
      <c r="Z232" s="291"/>
    </row>
    <row r="233" spans="1:26" ht="14">
      <c r="A233" s="286" t="s">
        <v>876</v>
      </c>
      <c r="B233" s="286" t="s">
        <v>2823</v>
      </c>
      <c r="C233" s="287">
        <v>917</v>
      </c>
      <c r="D233" s="288" t="s">
        <v>7569</v>
      </c>
      <c r="E233" s="288"/>
      <c r="F233" s="289">
        <v>3103229525</v>
      </c>
      <c r="G233" s="286">
        <v>35468796</v>
      </c>
      <c r="H233" s="286" t="s">
        <v>7570</v>
      </c>
      <c r="I233" s="290">
        <v>46078</v>
      </c>
      <c r="J233" s="291"/>
      <c r="K233" s="291"/>
      <c r="L233" s="291"/>
      <c r="M233" s="291"/>
      <c r="N233" s="291"/>
      <c r="O233" s="291"/>
      <c r="P233" s="291"/>
      <c r="Q233" s="291"/>
      <c r="R233" s="291"/>
      <c r="S233" s="291"/>
      <c r="T233" s="291"/>
      <c r="U233" s="291"/>
      <c r="V233" s="291"/>
      <c r="W233" s="291"/>
      <c r="X233" s="291"/>
      <c r="Y233" s="291"/>
      <c r="Z233" s="291"/>
    </row>
    <row r="234" spans="1:26" ht="14">
      <c r="A234" s="286" t="s">
        <v>7571</v>
      </c>
      <c r="B234" s="286" t="s">
        <v>7572</v>
      </c>
      <c r="C234" s="287">
        <v>401</v>
      </c>
      <c r="D234" s="288" t="s">
        <v>7573</v>
      </c>
      <c r="E234" s="288"/>
      <c r="F234" s="289">
        <v>3203019445</v>
      </c>
      <c r="G234" s="286">
        <v>51974760</v>
      </c>
      <c r="H234" s="286" t="s">
        <v>7574</v>
      </c>
      <c r="I234" s="290">
        <v>46078</v>
      </c>
      <c r="J234" s="291"/>
      <c r="K234" s="291"/>
      <c r="L234" s="291"/>
      <c r="M234" s="291"/>
      <c r="N234" s="291"/>
      <c r="O234" s="291"/>
      <c r="P234" s="291"/>
      <c r="Q234" s="291"/>
      <c r="R234" s="291"/>
      <c r="S234" s="291"/>
      <c r="T234" s="291"/>
      <c r="U234" s="291"/>
      <c r="V234" s="291"/>
      <c r="W234" s="291"/>
      <c r="X234" s="291"/>
      <c r="Y234" s="291"/>
      <c r="Z234" s="291"/>
    </row>
    <row r="235" spans="1:26" ht="19.5" customHeight="1">
      <c r="A235" s="286" t="s">
        <v>7575</v>
      </c>
      <c r="B235" s="286" t="s">
        <v>7576</v>
      </c>
      <c r="C235" s="287">
        <v>306</v>
      </c>
      <c r="D235" s="288"/>
      <c r="E235" s="288"/>
      <c r="F235" s="289">
        <v>3144574380</v>
      </c>
      <c r="G235" s="286">
        <v>1020807381</v>
      </c>
      <c r="H235" s="286" t="s">
        <v>7577</v>
      </c>
      <c r="I235" s="290">
        <v>46078</v>
      </c>
      <c r="J235" s="291"/>
      <c r="K235" s="291"/>
      <c r="L235" s="291"/>
      <c r="M235" s="291"/>
      <c r="N235" s="291"/>
      <c r="O235" s="291"/>
      <c r="P235" s="291"/>
      <c r="Q235" s="291"/>
      <c r="R235" s="291"/>
      <c r="S235" s="291"/>
      <c r="T235" s="291"/>
      <c r="U235" s="291"/>
      <c r="V235" s="291"/>
      <c r="W235" s="291"/>
      <c r="X235" s="291"/>
      <c r="Y235" s="291"/>
      <c r="Z235" s="291"/>
    </row>
    <row r="236" spans="1:26" ht="14">
      <c r="A236" s="286" t="s">
        <v>77</v>
      </c>
      <c r="B236" s="286" t="s">
        <v>7578</v>
      </c>
      <c r="C236" s="287">
        <v>402</v>
      </c>
      <c r="D236" s="288" t="s">
        <v>7579</v>
      </c>
      <c r="E236" s="288"/>
      <c r="F236" s="289">
        <v>3153306377</v>
      </c>
      <c r="G236" s="286">
        <v>39774359</v>
      </c>
      <c r="H236" s="286" t="s">
        <v>7580</v>
      </c>
      <c r="I236" s="291"/>
      <c r="J236" s="291"/>
      <c r="K236" s="291"/>
      <c r="L236" s="291"/>
      <c r="M236" s="291"/>
      <c r="N236" s="291"/>
      <c r="O236" s="291"/>
      <c r="P236" s="291"/>
      <c r="Q236" s="291"/>
      <c r="R236" s="291"/>
      <c r="S236" s="291"/>
      <c r="T236" s="291"/>
      <c r="U236" s="291"/>
      <c r="V236" s="291"/>
      <c r="W236" s="291"/>
      <c r="X236" s="291"/>
      <c r="Y236" s="291"/>
      <c r="Z236" s="291"/>
    </row>
    <row r="237" spans="1:26" ht="16.5" customHeight="1">
      <c r="A237" s="286" t="s">
        <v>7581</v>
      </c>
      <c r="B237" s="286" t="s">
        <v>7582</v>
      </c>
      <c r="C237" s="287">
        <v>303</v>
      </c>
      <c r="D237" s="288"/>
      <c r="E237" s="288"/>
      <c r="F237" s="289">
        <v>3143695538</v>
      </c>
      <c r="G237" s="286">
        <v>1020779724</v>
      </c>
      <c r="H237" s="286" t="s">
        <v>7583</v>
      </c>
      <c r="I237" s="290">
        <v>46078</v>
      </c>
      <c r="J237" s="291"/>
      <c r="K237" s="291"/>
      <c r="L237" s="291"/>
      <c r="M237" s="291"/>
      <c r="N237" s="291"/>
      <c r="O237" s="291"/>
      <c r="P237" s="291"/>
      <c r="Q237" s="291"/>
      <c r="R237" s="291"/>
      <c r="S237" s="291"/>
      <c r="T237" s="291"/>
      <c r="U237" s="291"/>
      <c r="V237" s="291"/>
      <c r="W237" s="291"/>
      <c r="X237" s="291"/>
      <c r="Y237" s="291"/>
      <c r="Z237" s="291"/>
    </row>
    <row r="238" spans="1:26" ht="14">
      <c r="A238" s="286" t="s">
        <v>7584</v>
      </c>
      <c r="B238" s="286" t="s">
        <v>7585</v>
      </c>
      <c r="C238" s="287">
        <v>205</v>
      </c>
      <c r="D238" s="288"/>
      <c r="E238" s="288"/>
      <c r="F238" s="289">
        <v>3102499519</v>
      </c>
      <c r="G238" s="286">
        <v>1127024900</v>
      </c>
      <c r="H238" s="286" t="s">
        <v>7586</v>
      </c>
      <c r="I238" s="290">
        <v>46078</v>
      </c>
      <c r="J238" s="291"/>
      <c r="K238" s="291"/>
      <c r="L238" s="291"/>
      <c r="M238" s="291"/>
      <c r="N238" s="291"/>
      <c r="O238" s="291"/>
      <c r="P238" s="291"/>
      <c r="Q238" s="291"/>
      <c r="R238" s="291"/>
      <c r="S238" s="291"/>
      <c r="T238" s="291"/>
      <c r="U238" s="291"/>
      <c r="V238" s="291"/>
      <c r="W238" s="291"/>
      <c r="X238" s="291"/>
      <c r="Y238" s="291"/>
      <c r="Z238" s="291"/>
    </row>
    <row r="239" spans="1:26" ht="14">
      <c r="A239" s="286" t="s">
        <v>325</v>
      </c>
      <c r="B239" s="286" t="s">
        <v>7587</v>
      </c>
      <c r="C239" s="287">
        <v>211</v>
      </c>
      <c r="D239" s="288" t="s">
        <v>7588</v>
      </c>
      <c r="E239" s="288" t="s">
        <v>7589</v>
      </c>
      <c r="F239" s="289">
        <v>3022911884</v>
      </c>
      <c r="G239" s="286">
        <v>52258568</v>
      </c>
      <c r="H239" s="286" t="s">
        <v>7590</v>
      </c>
      <c r="I239" s="291"/>
      <c r="J239" s="291"/>
      <c r="K239" s="291"/>
      <c r="L239" s="291"/>
      <c r="M239" s="291"/>
      <c r="N239" s="291"/>
      <c r="O239" s="291"/>
      <c r="P239" s="291"/>
      <c r="Q239" s="291"/>
      <c r="R239" s="291"/>
      <c r="S239" s="291"/>
      <c r="T239" s="291"/>
      <c r="U239" s="291"/>
      <c r="V239" s="291"/>
      <c r="W239" s="291"/>
      <c r="X239" s="291"/>
      <c r="Y239" s="291"/>
      <c r="Z239" s="291"/>
    </row>
    <row r="240" spans="1:26" ht="14">
      <c r="A240" s="286" t="s">
        <v>30</v>
      </c>
      <c r="B240" s="286" t="s">
        <v>7591</v>
      </c>
      <c r="C240" s="287">
        <v>703</v>
      </c>
      <c r="D240" s="288" t="s">
        <v>7592</v>
      </c>
      <c r="E240" s="288"/>
      <c r="F240" s="289">
        <v>3017052041</v>
      </c>
      <c r="G240" s="286">
        <v>52735023</v>
      </c>
      <c r="H240" s="286" t="s">
        <v>7593</v>
      </c>
      <c r="I240" s="291"/>
      <c r="J240" s="291"/>
      <c r="K240" s="291"/>
      <c r="L240" s="291"/>
      <c r="M240" s="291"/>
      <c r="N240" s="291"/>
      <c r="O240" s="291"/>
      <c r="P240" s="291"/>
      <c r="Q240" s="291"/>
      <c r="R240" s="291"/>
      <c r="S240" s="291"/>
      <c r="T240" s="291"/>
      <c r="U240" s="291"/>
      <c r="V240" s="291"/>
      <c r="W240" s="291"/>
      <c r="X240" s="291"/>
      <c r="Y240" s="291"/>
      <c r="Z240" s="291"/>
    </row>
    <row r="241" spans="1:26" ht="14">
      <c r="A241" s="286" t="s">
        <v>472</v>
      </c>
      <c r="B241" s="286" t="s">
        <v>7594</v>
      </c>
      <c r="C241" s="287">
        <v>501</v>
      </c>
      <c r="D241" s="303" t="s">
        <v>7595</v>
      </c>
      <c r="E241" s="288"/>
      <c r="F241" s="289">
        <v>3132858090</v>
      </c>
      <c r="G241" s="286">
        <v>52927664</v>
      </c>
      <c r="H241" s="286" t="s">
        <v>7596</v>
      </c>
      <c r="I241" s="290">
        <v>46078</v>
      </c>
      <c r="J241" s="291"/>
      <c r="K241" s="291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</row>
    <row r="242" spans="1:26" ht="14">
      <c r="A242" s="286" t="s">
        <v>7597</v>
      </c>
      <c r="B242" s="286" t="s">
        <v>7598</v>
      </c>
      <c r="C242" s="287"/>
      <c r="D242" s="288"/>
      <c r="E242" s="288"/>
      <c r="F242" s="289">
        <v>3006100003</v>
      </c>
      <c r="G242" s="286">
        <v>31152238</v>
      </c>
      <c r="H242" s="286" t="s">
        <v>7599</v>
      </c>
      <c r="I242" s="290">
        <v>46078</v>
      </c>
      <c r="J242" s="291"/>
      <c r="K242" s="291"/>
      <c r="L242" s="291"/>
      <c r="M242" s="291"/>
      <c r="N242" s="291"/>
      <c r="O242" s="291"/>
      <c r="P242" s="291"/>
      <c r="Q242" s="291"/>
      <c r="R242" s="291"/>
      <c r="S242" s="291"/>
      <c r="T242" s="291"/>
      <c r="U242" s="291"/>
      <c r="V242" s="291"/>
      <c r="W242" s="291"/>
      <c r="X242" s="291"/>
      <c r="Y242" s="291"/>
      <c r="Z242" s="291"/>
    </row>
    <row r="243" spans="1:26" ht="14">
      <c r="A243" s="286" t="s">
        <v>7600</v>
      </c>
      <c r="B243" s="286" t="s">
        <v>7601</v>
      </c>
      <c r="C243" s="287">
        <v>303</v>
      </c>
      <c r="D243" s="288"/>
      <c r="E243" s="288"/>
      <c r="F243" s="289">
        <v>3163026301</v>
      </c>
      <c r="G243" s="286">
        <v>65496322</v>
      </c>
      <c r="H243" s="286" t="s">
        <v>7602</v>
      </c>
      <c r="I243" s="290">
        <v>46078</v>
      </c>
      <c r="J243" s="291"/>
      <c r="K243" s="291"/>
      <c r="L243" s="291"/>
      <c r="M243" s="291"/>
      <c r="N243" s="291"/>
      <c r="O243" s="291"/>
      <c r="P243" s="291"/>
      <c r="Q243" s="291"/>
      <c r="R243" s="291"/>
      <c r="S243" s="291"/>
      <c r="T243" s="291"/>
      <c r="U243" s="291"/>
      <c r="V243" s="291"/>
      <c r="W243" s="291"/>
      <c r="X243" s="291"/>
      <c r="Y243" s="291"/>
      <c r="Z243" s="291"/>
    </row>
    <row r="244" spans="1:26" ht="14">
      <c r="A244" s="286" t="s">
        <v>7603</v>
      </c>
      <c r="B244" s="286" t="s">
        <v>7604</v>
      </c>
      <c r="C244" s="287">
        <v>504</v>
      </c>
      <c r="D244" s="288" t="s">
        <v>7605</v>
      </c>
      <c r="E244" s="288"/>
      <c r="F244" s="289">
        <v>3017862065</v>
      </c>
      <c r="G244" s="286">
        <v>67026867</v>
      </c>
      <c r="H244" s="286" t="s">
        <v>7606</v>
      </c>
      <c r="I244" s="290">
        <v>46078</v>
      </c>
      <c r="J244" s="291"/>
      <c r="K244" s="291"/>
      <c r="L244" s="291"/>
      <c r="M244" s="291"/>
      <c r="N244" s="291"/>
      <c r="O244" s="291"/>
      <c r="P244" s="291"/>
      <c r="Q244" s="291"/>
      <c r="R244" s="291"/>
      <c r="S244" s="291"/>
      <c r="T244" s="291"/>
      <c r="U244" s="291"/>
      <c r="V244" s="291"/>
      <c r="W244" s="291"/>
      <c r="X244" s="291"/>
      <c r="Y244" s="291"/>
      <c r="Z244" s="291"/>
    </row>
    <row r="245" spans="1:26" ht="17.25" customHeight="1">
      <c r="A245" s="286" t="s">
        <v>662</v>
      </c>
      <c r="B245" s="286" t="s">
        <v>7607</v>
      </c>
      <c r="C245" s="287">
        <v>302</v>
      </c>
      <c r="D245" s="288" t="s">
        <v>7608</v>
      </c>
      <c r="E245" s="288"/>
      <c r="F245" s="289">
        <v>3012091890</v>
      </c>
      <c r="G245" s="286">
        <v>1032479509</v>
      </c>
      <c r="H245" s="286" t="s">
        <v>7609</v>
      </c>
      <c r="I245" s="290">
        <v>46078</v>
      </c>
      <c r="J245" s="291"/>
      <c r="K245" s="291"/>
      <c r="L245" s="291"/>
      <c r="M245" s="291"/>
      <c r="N245" s="291"/>
      <c r="O245" s="291"/>
      <c r="P245" s="291"/>
      <c r="Q245" s="291"/>
      <c r="R245" s="291"/>
      <c r="S245" s="291"/>
      <c r="T245" s="291"/>
      <c r="U245" s="291"/>
      <c r="V245" s="291"/>
      <c r="W245" s="291"/>
      <c r="X245" s="291"/>
      <c r="Y245" s="291"/>
      <c r="Z245" s="291"/>
    </row>
    <row r="246" spans="1:26" ht="14">
      <c r="A246" s="286" t="s">
        <v>347</v>
      </c>
      <c r="B246" s="286" t="s">
        <v>7610</v>
      </c>
      <c r="C246" s="287">
        <v>102</v>
      </c>
      <c r="D246" s="288"/>
      <c r="E246" s="288"/>
      <c r="F246" s="289">
        <v>3136062281</v>
      </c>
      <c r="G246" s="286">
        <v>52701560</v>
      </c>
      <c r="H246" s="286" t="s">
        <v>7611</v>
      </c>
      <c r="I246" s="291"/>
      <c r="J246" s="291"/>
      <c r="K246" s="291"/>
      <c r="L246" s="291"/>
      <c r="M246" s="291"/>
      <c r="N246" s="291"/>
      <c r="O246" s="291"/>
      <c r="P246" s="291"/>
      <c r="Q246" s="291"/>
      <c r="R246" s="291"/>
      <c r="S246" s="291"/>
      <c r="T246" s="291"/>
      <c r="U246" s="291"/>
      <c r="V246" s="291"/>
      <c r="W246" s="291"/>
      <c r="X246" s="291"/>
      <c r="Y246" s="291"/>
      <c r="Z246" s="291"/>
    </row>
    <row r="247" spans="1:26" ht="14">
      <c r="A247" s="324" t="s">
        <v>254</v>
      </c>
      <c r="B247" s="286" t="s">
        <v>7612</v>
      </c>
      <c r="C247" s="287"/>
      <c r="D247" s="288"/>
      <c r="E247" s="288"/>
      <c r="F247" s="289">
        <v>3132858492</v>
      </c>
      <c r="G247" s="286" t="s">
        <v>7613</v>
      </c>
      <c r="H247" s="286" t="s">
        <v>7614</v>
      </c>
      <c r="I247" s="290">
        <v>46078</v>
      </c>
      <c r="J247" s="291"/>
      <c r="K247" s="291"/>
      <c r="L247" s="291"/>
      <c r="M247" s="291"/>
      <c r="N247" s="291"/>
      <c r="O247" s="291"/>
      <c r="P247" s="291"/>
      <c r="Q247" s="291"/>
      <c r="R247" s="291"/>
      <c r="S247" s="291"/>
      <c r="T247" s="291"/>
      <c r="U247" s="291"/>
      <c r="V247" s="291"/>
      <c r="W247" s="291"/>
      <c r="X247" s="291"/>
      <c r="Y247" s="291"/>
      <c r="Z247" s="291"/>
    </row>
    <row r="248" spans="1:26" ht="14">
      <c r="A248" s="304" t="s">
        <v>7615</v>
      </c>
      <c r="B248" s="286" t="s">
        <v>7616</v>
      </c>
      <c r="C248" s="287" t="s">
        <v>7617</v>
      </c>
      <c r="D248" s="288" t="s">
        <v>7618</v>
      </c>
      <c r="E248" s="288"/>
      <c r="F248" s="289">
        <v>3174951613</v>
      </c>
      <c r="G248" s="286">
        <v>52455169</v>
      </c>
      <c r="H248" s="286" t="s">
        <v>7619</v>
      </c>
      <c r="I248" s="290">
        <v>46078</v>
      </c>
      <c r="J248" s="291"/>
      <c r="K248" s="291"/>
      <c r="L248" s="291"/>
      <c r="M248" s="291"/>
      <c r="N248" s="291"/>
      <c r="O248" s="291"/>
      <c r="P248" s="291"/>
      <c r="Q248" s="291"/>
      <c r="R248" s="291"/>
      <c r="S248" s="291"/>
      <c r="T248" s="291"/>
      <c r="U248" s="291"/>
      <c r="V248" s="291"/>
      <c r="W248" s="291"/>
      <c r="X248" s="291"/>
      <c r="Y248" s="291"/>
      <c r="Z248" s="291"/>
    </row>
    <row r="249" spans="1:26" ht="14">
      <c r="A249" s="286" t="s">
        <v>7620</v>
      </c>
      <c r="B249" s="286" t="s">
        <v>7621</v>
      </c>
      <c r="C249" s="287">
        <v>101</v>
      </c>
      <c r="D249" s="288"/>
      <c r="E249" s="288"/>
      <c r="F249" s="289">
        <v>3168300234</v>
      </c>
      <c r="G249" s="286">
        <v>51900446</v>
      </c>
      <c r="H249" s="286" t="s">
        <v>7622</v>
      </c>
      <c r="I249" s="291"/>
      <c r="J249" s="291"/>
      <c r="K249" s="291"/>
      <c r="L249" s="291"/>
      <c r="M249" s="291"/>
      <c r="N249" s="291"/>
      <c r="O249" s="291"/>
      <c r="P249" s="291"/>
      <c r="Q249" s="291"/>
      <c r="R249" s="291"/>
      <c r="S249" s="291"/>
      <c r="T249" s="291"/>
      <c r="U249" s="291"/>
      <c r="V249" s="291"/>
      <c r="W249" s="291"/>
      <c r="X249" s="291"/>
      <c r="Y249" s="291"/>
      <c r="Z249" s="291"/>
    </row>
    <row r="250" spans="1:26" ht="14">
      <c r="A250" s="286" t="s">
        <v>7623</v>
      </c>
      <c r="B250" s="286" t="s">
        <v>7624</v>
      </c>
      <c r="C250" s="287" t="s">
        <v>7625</v>
      </c>
      <c r="D250" s="288" t="s">
        <v>7626</v>
      </c>
      <c r="E250" s="288"/>
      <c r="F250" s="289">
        <v>3103149652</v>
      </c>
      <c r="G250" s="286">
        <v>1083044938</v>
      </c>
      <c r="H250" s="286" t="s">
        <v>7627</v>
      </c>
      <c r="I250" s="290">
        <v>46078</v>
      </c>
      <c r="J250" s="291"/>
      <c r="K250" s="291"/>
      <c r="L250" s="291"/>
      <c r="M250" s="291"/>
      <c r="N250" s="291"/>
      <c r="O250" s="291"/>
      <c r="P250" s="291"/>
      <c r="Q250" s="291"/>
      <c r="R250" s="291"/>
      <c r="S250" s="291"/>
      <c r="T250" s="291"/>
      <c r="U250" s="291"/>
      <c r="V250" s="291"/>
      <c r="W250" s="291"/>
      <c r="X250" s="291"/>
      <c r="Y250" s="291"/>
      <c r="Z250" s="291"/>
    </row>
    <row r="251" spans="1:26" ht="14">
      <c r="A251" s="286" t="s">
        <v>133</v>
      </c>
      <c r="B251" s="286" t="s">
        <v>7628</v>
      </c>
      <c r="C251" s="287">
        <v>812</v>
      </c>
      <c r="D251" s="288" t="s">
        <v>7629</v>
      </c>
      <c r="E251" s="288"/>
      <c r="F251" s="289">
        <v>3216451253</v>
      </c>
      <c r="G251" s="286">
        <v>1018434497</v>
      </c>
      <c r="H251" s="286" t="s">
        <v>7630</v>
      </c>
      <c r="I251" s="290">
        <v>46078</v>
      </c>
      <c r="J251" s="291"/>
      <c r="K251" s="291"/>
      <c r="L251" s="291"/>
      <c r="M251" s="291"/>
      <c r="N251" s="291"/>
      <c r="O251" s="291"/>
      <c r="P251" s="291"/>
      <c r="Q251" s="291"/>
      <c r="R251" s="291"/>
      <c r="S251" s="291"/>
      <c r="T251" s="291"/>
      <c r="U251" s="291"/>
      <c r="V251" s="291"/>
      <c r="W251" s="291"/>
      <c r="X251" s="291"/>
      <c r="Y251" s="291"/>
      <c r="Z251" s="291"/>
    </row>
    <row r="252" spans="1:26" ht="14">
      <c r="A252" s="286" t="s">
        <v>128</v>
      </c>
      <c r="B252" s="286" t="s">
        <v>7631</v>
      </c>
      <c r="C252" s="287">
        <v>306</v>
      </c>
      <c r="D252" s="288" t="s">
        <v>7632</v>
      </c>
      <c r="E252" s="288"/>
      <c r="F252" s="289">
        <v>3158448444</v>
      </c>
      <c r="G252" s="286">
        <v>51857368</v>
      </c>
      <c r="H252" s="286" t="s">
        <v>7633</v>
      </c>
      <c r="I252" s="291"/>
      <c r="J252" s="291"/>
      <c r="K252" s="291"/>
      <c r="L252" s="291"/>
      <c r="M252" s="291"/>
      <c r="N252" s="291"/>
      <c r="O252" s="291"/>
      <c r="P252" s="291"/>
      <c r="Q252" s="291"/>
      <c r="R252" s="291"/>
      <c r="S252" s="291"/>
      <c r="T252" s="291"/>
      <c r="U252" s="291"/>
      <c r="V252" s="291"/>
      <c r="W252" s="291"/>
      <c r="X252" s="291"/>
      <c r="Y252" s="291"/>
      <c r="Z252" s="291"/>
    </row>
    <row r="253" spans="1:26" ht="14">
      <c r="A253" s="286" t="s">
        <v>653</v>
      </c>
      <c r="B253" s="286" t="s">
        <v>7634</v>
      </c>
      <c r="C253" s="287">
        <v>202</v>
      </c>
      <c r="D253" s="288"/>
      <c r="E253" s="288"/>
      <c r="F253" s="289">
        <v>3006873264</v>
      </c>
      <c r="G253" s="286">
        <v>1151934607</v>
      </c>
      <c r="H253" s="286" t="s">
        <v>7635</v>
      </c>
      <c r="I253" s="291"/>
      <c r="J253" s="291"/>
      <c r="K253" s="291"/>
      <c r="L253" s="291"/>
      <c r="M253" s="291"/>
      <c r="N253" s="291"/>
      <c r="O253" s="291"/>
      <c r="P253" s="291"/>
      <c r="Q253" s="291"/>
      <c r="R253" s="291"/>
      <c r="S253" s="291"/>
      <c r="T253" s="291"/>
      <c r="U253" s="291"/>
      <c r="V253" s="291"/>
      <c r="W253" s="291"/>
      <c r="X253" s="291"/>
      <c r="Y253" s="291"/>
      <c r="Z253" s="291"/>
    </row>
    <row r="254" spans="1:26" ht="14">
      <c r="A254" s="286" t="s">
        <v>1471</v>
      </c>
      <c r="B254" s="286" t="s">
        <v>7636</v>
      </c>
      <c r="C254" s="287">
        <v>504</v>
      </c>
      <c r="D254" s="288" t="s">
        <v>7637</v>
      </c>
      <c r="E254" s="288"/>
      <c r="F254" s="289">
        <v>3134161449</v>
      </c>
      <c r="G254" s="286">
        <v>52079736</v>
      </c>
      <c r="H254" s="286" t="s">
        <v>7638</v>
      </c>
      <c r="I254" s="291"/>
      <c r="J254" s="291"/>
      <c r="K254" s="291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</row>
    <row r="255" spans="1:26" ht="14">
      <c r="A255" s="286" t="s">
        <v>7639</v>
      </c>
      <c r="B255" s="286" t="s">
        <v>7640</v>
      </c>
      <c r="C255" s="287">
        <v>202</v>
      </c>
      <c r="D255" s="288"/>
      <c r="E255" s="288"/>
      <c r="F255" s="289">
        <v>3002515160</v>
      </c>
      <c r="G255" s="286">
        <v>1018413745</v>
      </c>
      <c r="H255" s="286" t="s">
        <v>7641</v>
      </c>
      <c r="I255" s="290">
        <v>46078</v>
      </c>
      <c r="J255" s="291"/>
      <c r="K255" s="291"/>
      <c r="L255" s="291"/>
      <c r="M255" s="291"/>
      <c r="N255" s="291"/>
      <c r="O255" s="291"/>
      <c r="P255" s="291"/>
      <c r="Q255" s="291"/>
      <c r="R255" s="291"/>
      <c r="S255" s="291"/>
      <c r="T255" s="291"/>
      <c r="U255" s="291"/>
      <c r="V255" s="291"/>
      <c r="W255" s="291"/>
      <c r="X255" s="291"/>
      <c r="Y255" s="291"/>
      <c r="Z255" s="291"/>
    </row>
    <row r="256" spans="1:26" ht="21" customHeight="1">
      <c r="A256" s="286" t="s">
        <v>241</v>
      </c>
      <c r="B256" s="286" t="s">
        <v>7642</v>
      </c>
      <c r="C256" s="287">
        <v>403</v>
      </c>
      <c r="D256" s="288"/>
      <c r="E256" s="288"/>
      <c r="F256" s="289">
        <v>3197360358</v>
      </c>
      <c r="G256" s="286">
        <v>53001505</v>
      </c>
      <c r="H256" s="286" t="s">
        <v>7643</v>
      </c>
      <c r="I256" s="291"/>
      <c r="J256" s="291"/>
      <c r="K256" s="291"/>
      <c r="L256" s="291"/>
      <c r="M256" s="291"/>
      <c r="N256" s="291"/>
      <c r="O256" s="291"/>
      <c r="P256" s="291"/>
      <c r="Q256" s="291"/>
      <c r="R256" s="291"/>
      <c r="S256" s="291"/>
      <c r="T256" s="291"/>
      <c r="U256" s="291"/>
      <c r="V256" s="291"/>
      <c r="W256" s="291"/>
      <c r="X256" s="291"/>
      <c r="Y256" s="291"/>
      <c r="Z256" s="291"/>
    </row>
    <row r="257" spans="1:26" ht="14">
      <c r="A257" s="286" t="s">
        <v>147</v>
      </c>
      <c r="B257" s="286" t="s">
        <v>7644</v>
      </c>
      <c r="C257" s="287">
        <v>601</v>
      </c>
      <c r="D257" s="288" t="s">
        <v>7645</v>
      </c>
      <c r="E257" s="288" t="s">
        <v>5867</v>
      </c>
      <c r="F257" s="289">
        <v>3114450010</v>
      </c>
      <c r="G257" s="286">
        <v>1019069974</v>
      </c>
      <c r="H257" s="286" t="s">
        <v>7646</v>
      </c>
      <c r="I257" s="290">
        <v>46078</v>
      </c>
      <c r="J257" s="291"/>
      <c r="K257" s="291"/>
      <c r="L257" s="291"/>
      <c r="M257" s="291"/>
      <c r="N257" s="291"/>
      <c r="O257" s="291"/>
      <c r="P257" s="291"/>
      <c r="Q257" s="291"/>
      <c r="R257" s="291"/>
      <c r="S257" s="291"/>
      <c r="T257" s="291"/>
      <c r="U257" s="291"/>
      <c r="V257" s="291"/>
      <c r="W257" s="291"/>
      <c r="X257" s="291"/>
      <c r="Y257" s="291"/>
      <c r="Z257" s="291"/>
    </row>
    <row r="258" spans="1:26" ht="14">
      <c r="A258" s="286" t="s">
        <v>399</v>
      </c>
      <c r="B258" s="286" t="s">
        <v>7647</v>
      </c>
      <c r="C258" s="287">
        <v>701</v>
      </c>
      <c r="D258" s="288"/>
      <c r="E258" s="288"/>
      <c r="F258" s="289">
        <v>3202724475</v>
      </c>
      <c r="G258" s="286">
        <v>39780618</v>
      </c>
      <c r="H258" s="286" t="s">
        <v>7648</v>
      </c>
      <c r="I258" s="291"/>
      <c r="J258" s="291"/>
      <c r="K258" s="291"/>
      <c r="L258" s="291"/>
      <c r="M258" s="291"/>
      <c r="N258" s="291"/>
      <c r="O258" s="291"/>
      <c r="P258" s="291"/>
      <c r="Q258" s="291"/>
      <c r="R258" s="291"/>
      <c r="S258" s="291"/>
      <c r="T258" s="291"/>
      <c r="U258" s="291"/>
      <c r="V258" s="291"/>
      <c r="W258" s="291"/>
      <c r="X258" s="291"/>
      <c r="Y258" s="291"/>
      <c r="Z258" s="291"/>
    </row>
    <row r="259" spans="1:26" ht="14">
      <c r="A259" s="286" t="s">
        <v>7649</v>
      </c>
      <c r="B259" s="286" t="s">
        <v>7650</v>
      </c>
      <c r="C259" s="287" t="s">
        <v>7651</v>
      </c>
      <c r="D259" s="288" t="s">
        <v>7652</v>
      </c>
      <c r="E259" s="288" t="s">
        <v>7653</v>
      </c>
      <c r="F259" s="289">
        <v>3138404794</v>
      </c>
      <c r="G259" s="286">
        <v>1090378252</v>
      </c>
      <c r="H259" s="286" t="s">
        <v>7654</v>
      </c>
      <c r="I259" s="290">
        <v>46078</v>
      </c>
      <c r="J259" s="291"/>
      <c r="K259" s="291"/>
      <c r="L259" s="291"/>
      <c r="M259" s="291"/>
      <c r="N259" s="291"/>
      <c r="O259" s="291"/>
      <c r="P259" s="291"/>
      <c r="Q259" s="291"/>
      <c r="R259" s="291"/>
      <c r="S259" s="291"/>
      <c r="T259" s="291"/>
      <c r="U259" s="291"/>
      <c r="V259" s="291"/>
      <c r="W259" s="291"/>
      <c r="X259" s="291"/>
      <c r="Y259" s="291"/>
      <c r="Z259" s="291"/>
    </row>
    <row r="260" spans="1:26" ht="14">
      <c r="A260" s="286" t="s">
        <v>7655</v>
      </c>
      <c r="B260" s="286" t="s">
        <v>7656</v>
      </c>
      <c r="C260" s="287">
        <v>402</v>
      </c>
      <c r="D260" s="288"/>
      <c r="E260" s="288" t="s">
        <v>5867</v>
      </c>
      <c r="F260" s="289">
        <v>3153488274</v>
      </c>
      <c r="G260" s="286">
        <v>52271161</v>
      </c>
      <c r="H260" s="286" t="s">
        <v>7657</v>
      </c>
      <c r="I260" s="290">
        <v>46078</v>
      </c>
      <c r="J260" s="291"/>
      <c r="K260" s="291"/>
      <c r="L260" s="291"/>
      <c r="M260" s="291"/>
      <c r="N260" s="291"/>
      <c r="O260" s="291"/>
      <c r="P260" s="291"/>
      <c r="Q260" s="291"/>
      <c r="R260" s="291"/>
      <c r="S260" s="291"/>
      <c r="T260" s="291"/>
      <c r="U260" s="291"/>
      <c r="V260" s="291"/>
      <c r="W260" s="291"/>
      <c r="X260" s="291"/>
      <c r="Y260" s="291"/>
      <c r="Z260" s="291"/>
    </row>
    <row r="261" spans="1:26" ht="14">
      <c r="A261" s="286" t="s">
        <v>7658</v>
      </c>
      <c r="B261" s="286" t="s">
        <v>7659</v>
      </c>
      <c r="C261" s="287" t="s">
        <v>5579</v>
      </c>
      <c r="D261" s="288" t="s">
        <v>6565</v>
      </c>
      <c r="E261" s="288" t="s">
        <v>7660</v>
      </c>
      <c r="F261" s="289">
        <v>3114947348</v>
      </c>
      <c r="G261" s="286">
        <v>1020770068</v>
      </c>
      <c r="H261" s="286" t="s">
        <v>7661</v>
      </c>
      <c r="I261" s="290">
        <v>46078</v>
      </c>
      <c r="J261" s="291"/>
      <c r="K261" s="291"/>
      <c r="L261" s="291"/>
      <c r="M261" s="291"/>
      <c r="N261" s="291"/>
      <c r="O261" s="291"/>
      <c r="P261" s="291"/>
      <c r="Q261" s="291"/>
      <c r="R261" s="291"/>
      <c r="S261" s="291"/>
      <c r="T261" s="291"/>
      <c r="U261" s="291"/>
      <c r="V261" s="291"/>
      <c r="W261" s="291"/>
      <c r="X261" s="291"/>
      <c r="Y261" s="291"/>
      <c r="Z261" s="291"/>
    </row>
    <row r="262" spans="1:26" ht="14">
      <c r="A262" s="286" t="s">
        <v>7662</v>
      </c>
      <c r="B262" s="286" t="s">
        <v>7663</v>
      </c>
      <c r="C262" s="287">
        <v>306</v>
      </c>
      <c r="D262" s="288" t="s">
        <v>7664</v>
      </c>
      <c r="E262" s="288"/>
      <c r="F262" s="289">
        <v>3126860630</v>
      </c>
      <c r="G262" s="286">
        <v>1047481110</v>
      </c>
      <c r="H262" s="286" t="s">
        <v>7665</v>
      </c>
      <c r="I262" s="290">
        <v>46078</v>
      </c>
      <c r="J262" s="291"/>
      <c r="K262" s="291"/>
      <c r="L262" s="291"/>
      <c r="M262" s="291"/>
      <c r="N262" s="291"/>
      <c r="O262" s="291"/>
      <c r="P262" s="291"/>
      <c r="Q262" s="291"/>
      <c r="R262" s="291"/>
      <c r="S262" s="291"/>
      <c r="T262" s="291"/>
      <c r="U262" s="291"/>
      <c r="V262" s="291"/>
      <c r="W262" s="291"/>
      <c r="X262" s="291"/>
      <c r="Y262" s="291"/>
      <c r="Z262" s="291"/>
    </row>
    <row r="263" spans="1:26" ht="14">
      <c r="A263" s="286" t="s">
        <v>1931</v>
      </c>
      <c r="B263" s="286" t="s">
        <v>7666</v>
      </c>
      <c r="C263" s="287">
        <v>412</v>
      </c>
      <c r="D263" s="288"/>
      <c r="E263" s="288"/>
      <c r="F263" s="289">
        <v>3115246784</v>
      </c>
      <c r="G263" s="286">
        <v>52331067</v>
      </c>
      <c r="H263" s="286" t="s">
        <v>7667</v>
      </c>
      <c r="I263" s="290">
        <v>46078</v>
      </c>
      <c r="J263" s="291"/>
      <c r="K263" s="291"/>
      <c r="L263" s="291"/>
      <c r="M263" s="291"/>
      <c r="N263" s="291"/>
      <c r="O263" s="291"/>
      <c r="P263" s="291"/>
      <c r="Q263" s="291"/>
      <c r="R263" s="291"/>
      <c r="S263" s="291"/>
      <c r="T263" s="291"/>
      <c r="U263" s="291"/>
      <c r="V263" s="291"/>
      <c r="W263" s="291"/>
      <c r="X263" s="291"/>
      <c r="Y263" s="291"/>
      <c r="Z263" s="291"/>
    </row>
    <row r="264" spans="1:26" ht="14">
      <c r="A264" s="286" t="s">
        <v>174</v>
      </c>
      <c r="B264" s="286" t="s">
        <v>7668</v>
      </c>
      <c r="C264" s="287">
        <v>702</v>
      </c>
      <c r="D264" s="288"/>
      <c r="E264" s="288"/>
      <c r="F264" s="289">
        <v>3208022100</v>
      </c>
      <c r="G264" s="286">
        <v>52704428</v>
      </c>
      <c r="H264" s="286" t="s">
        <v>7669</v>
      </c>
      <c r="I264" s="290">
        <v>46078</v>
      </c>
      <c r="J264" s="291"/>
      <c r="K264" s="291"/>
      <c r="L264" s="291"/>
      <c r="M264" s="291"/>
      <c r="N264" s="291"/>
      <c r="O264" s="291"/>
      <c r="P264" s="291"/>
      <c r="Q264" s="291"/>
      <c r="R264" s="291"/>
      <c r="S264" s="291"/>
      <c r="T264" s="291"/>
      <c r="U264" s="291"/>
      <c r="V264" s="291"/>
      <c r="W264" s="291"/>
      <c r="X264" s="291"/>
      <c r="Y264" s="291"/>
      <c r="Z264" s="291"/>
    </row>
    <row r="265" spans="1:26" ht="14">
      <c r="A265" s="286" t="s">
        <v>170</v>
      </c>
      <c r="B265" s="286" t="s">
        <v>7670</v>
      </c>
      <c r="C265" s="287">
        <v>603</v>
      </c>
      <c r="D265" s="288"/>
      <c r="E265" s="288"/>
      <c r="F265" s="289">
        <v>3102328414</v>
      </c>
      <c r="G265" s="286">
        <v>40934427</v>
      </c>
      <c r="H265" s="286" t="s">
        <v>7671</v>
      </c>
      <c r="I265" s="291"/>
      <c r="J265" s="291"/>
      <c r="K265" s="291"/>
      <c r="L265" s="291"/>
      <c r="M265" s="291"/>
      <c r="N265" s="291"/>
      <c r="O265" s="291"/>
      <c r="P265" s="291"/>
      <c r="Q265" s="291"/>
      <c r="R265" s="291"/>
      <c r="S265" s="291"/>
      <c r="T265" s="291"/>
      <c r="U265" s="291"/>
      <c r="V265" s="291"/>
      <c r="W265" s="291"/>
      <c r="X265" s="291"/>
      <c r="Y265" s="291"/>
      <c r="Z265" s="291"/>
    </row>
    <row r="266" spans="1:26" ht="14">
      <c r="A266" s="286" t="s">
        <v>1367</v>
      </c>
      <c r="B266" s="286" t="s">
        <v>5919</v>
      </c>
      <c r="C266" s="287">
        <v>304</v>
      </c>
      <c r="D266" s="288" t="s">
        <v>7672</v>
      </c>
      <c r="E266" s="288"/>
      <c r="F266" s="289">
        <v>3005974654</v>
      </c>
      <c r="G266" s="286">
        <v>60287309</v>
      </c>
      <c r="H266" s="286" t="s">
        <v>7673</v>
      </c>
      <c r="I266" s="291"/>
      <c r="J266" s="291"/>
      <c r="K266" s="291"/>
      <c r="L266" s="291"/>
      <c r="M266" s="291"/>
      <c r="N266" s="291"/>
      <c r="O266" s="291"/>
      <c r="P266" s="291"/>
      <c r="Q266" s="291"/>
      <c r="R266" s="291"/>
      <c r="S266" s="291"/>
      <c r="T266" s="291"/>
      <c r="U266" s="291"/>
      <c r="V266" s="291"/>
      <c r="W266" s="291"/>
      <c r="X266" s="291"/>
      <c r="Y266" s="291"/>
      <c r="Z266" s="291"/>
    </row>
    <row r="267" spans="1:26" ht="14">
      <c r="A267" s="286" t="s">
        <v>7674</v>
      </c>
      <c r="B267" s="286" t="s">
        <v>7675</v>
      </c>
      <c r="C267" s="287">
        <v>603</v>
      </c>
      <c r="D267" s="288"/>
      <c r="E267" s="288"/>
      <c r="F267" s="289">
        <v>3124424321</v>
      </c>
      <c r="G267" s="286"/>
      <c r="H267" s="286" t="s">
        <v>7676</v>
      </c>
      <c r="I267" s="290">
        <v>46078</v>
      </c>
      <c r="J267" s="291"/>
      <c r="K267" s="291"/>
      <c r="L267" s="291"/>
      <c r="M267" s="291"/>
      <c r="N267" s="291"/>
      <c r="O267" s="291"/>
      <c r="P267" s="291"/>
      <c r="Q267" s="291"/>
      <c r="R267" s="291"/>
      <c r="S267" s="291"/>
      <c r="T267" s="291"/>
      <c r="U267" s="291"/>
      <c r="V267" s="291"/>
      <c r="W267" s="291"/>
      <c r="X267" s="291"/>
      <c r="Y267" s="291"/>
      <c r="Z267" s="291"/>
    </row>
    <row r="268" spans="1:26" ht="14">
      <c r="A268" s="286" t="s">
        <v>109</v>
      </c>
      <c r="B268" s="286" t="s">
        <v>7677</v>
      </c>
      <c r="C268" s="287" t="s">
        <v>7678</v>
      </c>
      <c r="D268" s="288" t="s">
        <v>7679</v>
      </c>
      <c r="E268" s="288"/>
      <c r="F268" s="289">
        <v>3182817017</v>
      </c>
      <c r="G268" s="286">
        <v>39781382</v>
      </c>
      <c r="H268" s="286" t="s">
        <v>7680</v>
      </c>
      <c r="I268" s="290">
        <v>46078</v>
      </c>
      <c r="J268" s="291"/>
      <c r="K268" s="291"/>
      <c r="L268" s="291"/>
      <c r="M268" s="291"/>
      <c r="N268" s="291"/>
      <c r="O268" s="291"/>
      <c r="P268" s="291"/>
      <c r="Q268" s="291"/>
      <c r="R268" s="291"/>
      <c r="S268" s="291"/>
      <c r="T268" s="291"/>
      <c r="U268" s="291"/>
      <c r="V268" s="291"/>
      <c r="W268" s="291"/>
      <c r="X268" s="291"/>
      <c r="Y268" s="291"/>
      <c r="Z268" s="291"/>
    </row>
    <row r="269" spans="1:26" ht="14">
      <c r="A269" s="286" t="s">
        <v>165</v>
      </c>
      <c r="B269" s="286" t="s">
        <v>7681</v>
      </c>
      <c r="C269" s="287">
        <v>1110</v>
      </c>
      <c r="D269" s="288" t="s">
        <v>7682</v>
      </c>
      <c r="E269" s="288"/>
      <c r="F269" s="289">
        <v>3213207133</v>
      </c>
      <c r="G269" s="286">
        <v>24363115</v>
      </c>
      <c r="H269" s="286" t="s">
        <v>7683</v>
      </c>
      <c r="I269" s="291"/>
      <c r="J269" s="291"/>
      <c r="K269" s="291"/>
      <c r="L269" s="291"/>
      <c r="M269" s="291"/>
      <c r="N269" s="291"/>
      <c r="O269" s="291"/>
      <c r="P269" s="291"/>
      <c r="Q269" s="291"/>
      <c r="R269" s="291"/>
      <c r="S269" s="291"/>
      <c r="T269" s="291"/>
      <c r="U269" s="291"/>
      <c r="V269" s="291"/>
      <c r="W269" s="291"/>
      <c r="X269" s="291"/>
      <c r="Y269" s="291"/>
      <c r="Z269" s="291"/>
    </row>
    <row r="270" spans="1:26" ht="14">
      <c r="A270" s="286" t="s">
        <v>7684</v>
      </c>
      <c r="B270" s="286" t="s">
        <v>7685</v>
      </c>
      <c r="C270" s="287">
        <v>203</v>
      </c>
      <c r="D270" s="288" t="s">
        <v>7686</v>
      </c>
      <c r="E270" s="288" t="s">
        <v>7687</v>
      </c>
      <c r="F270" s="289">
        <v>3174337269</v>
      </c>
      <c r="G270" s="286">
        <v>51938841</v>
      </c>
      <c r="H270" s="286" t="s">
        <v>7688</v>
      </c>
      <c r="I270" s="291"/>
      <c r="J270" s="291"/>
      <c r="K270" s="291"/>
      <c r="L270" s="291"/>
      <c r="M270" s="291"/>
      <c r="N270" s="291"/>
      <c r="O270" s="291"/>
      <c r="P270" s="291"/>
      <c r="Q270" s="291"/>
      <c r="R270" s="291"/>
      <c r="S270" s="291"/>
      <c r="T270" s="291"/>
      <c r="U270" s="291"/>
      <c r="V270" s="291"/>
      <c r="W270" s="291"/>
      <c r="X270" s="291"/>
      <c r="Y270" s="291"/>
      <c r="Z270" s="291"/>
    </row>
    <row r="271" spans="1:26" ht="14">
      <c r="A271" s="286" t="s">
        <v>1256</v>
      </c>
      <c r="B271" s="286" t="s">
        <v>7689</v>
      </c>
      <c r="C271" s="287">
        <v>302</v>
      </c>
      <c r="D271" s="288"/>
      <c r="E271" s="288"/>
      <c r="F271" s="289">
        <v>3153921665</v>
      </c>
      <c r="G271" s="286">
        <v>52994702</v>
      </c>
      <c r="H271" s="286" t="s">
        <v>7690</v>
      </c>
      <c r="I271" s="290">
        <v>46078</v>
      </c>
      <c r="J271" s="291"/>
      <c r="K271" s="291"/>
      <c r="L271" s="291"/>
      <c r="M271" s="291"/>
      <c r="N271" s="291"/>
      <c r="O271" s="291"/>
      <c r="P271" s="291"/>
      <c r="Q271" s="291"/>
      <c r="R271" s="291"/>
      <c r="S271" s="291"/>
      <c r="T271" s="291"/>
      <c r="U271" s="291"/>
      <c r="V271" s="291"/>
      <c r="W271" s="291"/>
      <c r="X271" s="291"/>
      <c r="Y271" s="291"/>
      <c r="Z271" s="291"/>
    </row>
    <row r="272" spans="1:26" ht="14">
      <c r="A272" s="286" t="s">
        <v>7691</v>
      </c>
      <c r="B272" s="286" t="s">
        <v>7692</v>
      </c>
      <c r="C272" s="287">
        <v>404</v>
      </c>
      <c r="D272" s="288"/>
      <c r="E272" s="288"/>
      <c r="F272" s="289">
        <v>3003927170</v>
      </c>
      <c r="G272" s="286">
        <v>1018406587</v>
      </c>
      <c r="H272" s="286" t="s">
        <v>7693</v>
      </c>
      <c r="I272" s="290">
        <v>46078</v>
      </c>
      <c r="J272" s="291"/>
      <c r="K272" s="291"/>
      <c r="L272" s="291"/>
      <c r="M272" s="291"/>
      <c r="N272" s="291"/>
      <c r="O272" s="291"/>
      <c r="P272" s="291"/>
      <c r="Q272" s="291"/>
      <c r="R272" s="291"/>
      <c r="S272" s="291"/>
      <c r="T272" s="291"/>
      <c r="U272" s="291"/>
      <c r="V272" s="291"/>
      <c r="W272" s="291"/>
      <c r="X272" s="291"/>
      <c r="Y272" s="291"/>
      <c r="Z272" s="291"/>
    </row>
    <row r="273" spans="1:26" ht="14">
      <c r="A273" s="286" t="s">
        <v>97</v>
      </c>
      <c r="B273" s="286" t="s">
        <v>7694</v>
      </c>
      <c r="C273" s="287">
        <v>802</v>
      </c>
      <c r="D273" s="288"/>
      <c r="E273" s="288"/>
      <c r="F273" s="289">
        <v>3105003755</v>
      </c>
      <c r="G273" s="286">
        <v>43280154</v>
      </c>
      <c r="H273" s="286" t="s">
        <v>7695</v>
      </c>
      <c r="I273" s="291"/>
      <c r="J273" s="291"/>
      <c r="K273" s="291"/>
      <c r="L273" s="291"/>
      <c r="M273" s="291"/>
      <c r="N273" s="291"/>
      <c r="O273" s="291"/>
      <c r="P273" s="291"/>
      <c r="Q273" s="291"/>
      <c r="R273" s="291"/>
      <c r="S273" s="291"/>
      <c r="T273" s="291"/>
      <c r="U273" s="291"/>
      <c r="V273" s="291"/>
      <c r="W273" s="291"/>
      <c r="X273" s="291"/>
      <c r="Y273" s="291"/>
      <c r="Z273" s="291"/>
    </row>
    <row r="274" spans="1:26" ht="14">
      <c r="A274" s="286" t="s">
        <v>7696</v>
      </c>
      <c r="B274" s="286" t="s">
        <v>7697</v>
      </c>
      <c r="C274" s="287">
        <v>208</v>
      </c>
      <c r="D274" s="288" t="s">
        <v>7698</v>
      </c>
      <c r="E274" s="288" t="s">
        <v>5532</v>
      </c>
      <c r="F274" s="289">
        <v>3115379456</v>
      </c>
      <c r="G274" s="286">
        <v>39577593</v>
      </c>
      <c r="H274" s="286" t="s">
        <v>7699</v>
      </c>
      <c r="I274" s="291"/>
      <c r="J274" s="291"/>
      <c r="K274" s="291"/>
      <c r="L274" s="291"/>
      <c r="M274" s="291"/>
      <c r="N274" s="291"/>
      <c r="O274" s="291"/>
      <c r="P274" s="291"/>
      <c r="Q274" s="291"/>
      <c r="R274" s="291"/>
      <c r="S274" s="291"/>
      <c r="T274" s="291"/>
      <c r="U274" s="291"/>
      <c r="V274" s="291"/>
      <c r="W274" s="291"/>
      <c r="X274" s="291"/>
      <c r="Y274" s="291"/>
      <c r="Z274" s="291"/>
    </row>
    <row r="275" spans="1:26" ht="14">
      <c r="A275" s="286" t="s">
        <v>7700</v>
      </c>
      <c r="B275" s="286" t="s">
        <v>7701</v>
      </c>
      <c r="C275" s="287">
        <v>103</v>
      </c>
      <c r="D275" s="288" t="s">
        <v>7702</v>
      </c>
      <c r="E275" s="288"/>
      <c r="F275" s="289">
        <v>3115510246</v>
      </c>
      <c r="G275" s="286">
        <v>1020788749</v>
      </c>
      <c r="H275" s="286" t="s">
        <v>7703</v>
      </c>
      <c r="I275" s="290">
        <v>46078</v>
      </c>
      <c r="J275" s="291"/>
      <c r="K275" s="291"/>
      <c r="L275" s="291"/>
      <c r="M275" s="291"/>
      <c r="N275" s="291"/>
      <c r="O275" s="291"/>
      <c r="P275" s="291"/>
      <c r="Q275" s="291"/>
      <c r="R275" s="291"/>
      <c r="S275" s="291"/>
      <c r="T275" s="291"/>
      <c r="U275" s="291"/>
      <c r="V275" s="291"/>
      <c r="W275" s="291"/>
      <c r="X275" s="291"/>
      <c r="Y275" s="291"/>
      <c r="Z275" s="291"/>
    </row>
    <row r="276" spans="1:26" ht="14">
      <c r="A276" s="286" t="s">
        <v>464</v>
      </c>
      <c r="B276" s="286" t="s">
        <v>7704</v>
      </c>
      <c r="C276" s="287">
        <v>701</v>
      </c>
      <c r="D276" s="288" t="s">
        <v>7705</v>
      </c>
      <c r="E276" s="288"/>
      <c r="F276" s="289">
        <v>3143822058</v>
      </c>
      <c r="G276" s="286">
        <v>52259291</v>
      </c>
      <c r="H276" s="286" t="s">
        <v>7706</v>
      </c>
      <c r="I276" s="290">
        <v>46078</v>
      </c>
      <c r="J276" s="291"/>
      <c r="K276" s="291"/>
      <c r="L276" s="291"/>
      <c r="M276" s="291"/>
      <c r="N276" s="291"/>
      <c r="O276" s="291"/>
      <c r="P276" s="291"/>
      <c r="Q276" s="291"/>
      <c r="R276" s="291"/>
      <c r="S276" s="291"/>
      <c r="T276" s="291"/>
      <c r="U276" s="291"/>
      <c r="V276" s="291"/>
      <c r="W276" s="291"/>
      <c r="X276" s="291"/>
      <c r="Y276" s="291"/>
      <c r="Z276" s="291"/>
    </row>
    <row r="277" spans="1:26" ht="14">
      <c r="A277" s="286" t="s">
        <v>393</v>
      </c>
      <c r="B277" s="286" t="s">
        <v>7707</v>
      </c>
      <c r="C277" s="287">
        <v>303</v>
      </c>
      <c r="D277" s="288"/>
      <c r="E277" s="288" t="s">
        <v>5867</v>
      </c>
      <c r="F277" s="289">
        <v>3158609740</v>
      </c>
      <c r="G277" s="286">
        <v>51688344</v>
      </c>
      <c r="H277" s="286" t="s">
        <v>7708</v>
      </c>
      <c r="I277" s="291"/>
      <c r="J277" s="291"/>
      <c r="K277" s="291"/>
      <c r="L277" s="291"/>
      <c r="M277" s="291"/>
      <c r="N277" s="291"/>
      <c r="O277" s="291"/>
      <c r="P277" s="291"/>
      <c r="Q277" s="291"/>
      <c r="R277" s="291"/>
      <c r="S277" s="291"/>
      <c r="T277" s="291"/>
      <c r="U277" s="291"/>
      <c r="V277" s="291"/>
      <c r="W277" s="291"/>
      <c r="X277" s="291"/>
      <c r="Y277" s="291"/>
      <c r="Z277" s="291"/>
    </row>
    <row r="278" spans="1:26" ht="14">
      <c r="A278" s="286" t="s">
        <v>7709</v>
      </c>
      <c r="B278" s="286" t="s">
        <v>7710</v>
      </c>
      <c r="C278" s="287">
        <v>404</v>
      </c>
      <c r="D278" s="288"/>
      <c r="E278" s="288"/>
      <c r="F278" s="289">
        <v>3218481948</v>
      </c>
      <c r="G278" s="286">
        <v>1039455972</v>
      </c>
      <c r="H278" s="286" t="s">
        <v>7711</v>
      </c>
      <c r="I278" s="290">
        <v>46078</v>
      </c>
      <c r="J278" s="291"/>
      <c r="K278" s="291"/>
      <c r="L278" s="291"/>
      <c r="M278" s="291"/>
      <c r="N278" s="291"/>
      <c r="O278" s="291"/>
      <c r="P278" s="291"/>
      <c r="Q278" s="291"/>
      <c r="R278" s="291"/>
      <c r="S278" s="291"/>
      <c r="T278" s="291"/>
      <c r="U278" s="291"/>
      <c r="V278" s="291"/>
      <c r="W278" s="291"/>
      <c r="X278" s="291"/>
      <c r="Y278" s="291"/>
      <c r="Z278" s="291"/>
    </row>
    <row r="279" spans="1:26" ht="15" customHeight="1">
      <c r="A279" s="286" t="s">
        <v>1058</v>
      </c>
      <c r="B279" s="286" t="s">
        <v>5917</v>
      </c>
      <c r="C279" s="287">
        <v>404</v>
      </c>
      <c r="D279" s="288"/>
      <c r="E279" s="288"/>
      <c r="F279" s="289">
        <v>3102163212</v>
      </c>
      <c r="G279" s="286">
        <v>39681824</v>
      </c>
      <c r="H279" s="286" t="s">
        <v>7712</v>
      </c>
      <c r="I279" s="290">
        <v>46078</v>
      </c>
      <c r="J279" s="291"/>
      <c r="K279" s="291"/>
      <c r="L279" s="291"/>
      <c r="M279" s="291"/>
      <c r="N279" s="291"/>
      <c r="O279" s="291"/>
      <c r="P279" s="291"/>
      <c r="Q279" s="291"/>
      <c r="R279" s="291"/>
      <c r="S279" s="291"/>
      <c r="T279" s="291"/>
      <c r="U279" s="291"/>
      <c r="V279" s="291"/>
      <c r="W279" s="291"/>
      <c r="X279" s="291"/>
      <c r="Y279" s="291"/>
      <c r="Z279" s="291"/>
    </row>
    <row r="280" spans="1:26" ht="14">
      <c r="A280" s="286" t="s">
        <v>50</v>
      </c>
      <c r="B280" s="286" t="s">
        <v>7713</v>
      </c>
      <c r="C280" s="287">
        <v>808</v>
      </c>
      <c r="D280" s="288" t="s">
        <v>7714</v>
      </c>
      <c r="E280" s="288" t="s">
        <v>7715</v>
      </c>
      <c r="F280" s="289">
        <v>3108503287</v>
      </c>
      <c r="G280" s="286">
        <v>1037576459</v>
      </c>
      <c r="H280" s="286" t="s">
        <v>7716</v>
      </c>
      <c r="I280" s="290">
        <v>46078</v>
      </c>
      <c r="J280" s="291"/>
      <c r="K280" s="291"/>
      <c r="L280" s="291"/>
      <c r="M280" s="291"/>
      <c r="N280" s="291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</row>
    <row r="281" spans="1:26" ht="14">
      <c r="A281" s="286" t="s">
        <v>41</v>
      </c>
      <c r="B281" s="286" t="s">
        <v>7717</v>
      </c>
      <c r="C281" s="287">
        <v>1802</v>
      </c>
      <c r="D281" s="288" t="s">
        <v>2733</v>
      </c>
      <c r="E281" s="288"/>
      <c r="F281" s="289">
        <v>3123581224</v>
      </c>
      <c r="G281" s="286" t="s">
        <v>7718</v>
      </c>
      <c r="H281" s="286" t="s">
        <v>7719</v>
      </c>
      <c r="I281" s="290">
        <v>46078</v>
      </c>
      <c r="J281" s="291"/>
      <c r="K281" s="291"/>
      <c r="L281" s="291"/>
      <c r="M281" s="291"/>
      <c r="N281" s="291"/>
      <c r="O281" s="291"/>
      <c r="P281" s="291"/>
      <c r="Q281" s="291"/>
      <c r="R281" s="291"/>
      <c r="S281" s="291"/>
      <c r="T281" s="291"/>
      <c r="U281" s="291"/>
      <c r="V281" s="291"/>
      <c r="W281" s="291"/>
      <c r="X281" s="291"/>
      <c r="Y281" s="291"/>
      <c r="Z281" s="291"/>
    </row>
    <row r="282" spans="1:26" ht="15" customHeight="1">
      <c r="A282" s="286" t="s">
        <v>7720</v>
      </c>
      <c r="B282" s="286" t="s">
        <v>7721</v>
      </c>
      <c r="C282" s="287" t="s">
        <v>7722</v>
      </c>
      <c r="D282" s="288"/>
      <c r="E282" s="288"/>
      <c r="F282" s="289">
        <v>3108626423</v>
      </c>
      <c r="G282" s="286">
        <v>39692110</v>
      </c>
      <c r="H282" s="286" t="s">
        <v>7723</v>
      </c>
      <c r="I282" s="290">
        <v>46078</v>
      </c>
      <c r="J282" s="291"/>
      <c r="K282" s="291"/>
      <c r="L282" s="291"/>
      <c r="M282" s="291"/>
      <c r="N282" s="291"/>
      <c r="O282" s="291"/>
      <c r="P282" s="291"/>
      <c r="Q282" s="291"/>
      <c r="R282" s="291"/>
      <c r="S282" s="291"/>
      <c r="T282" s="291"/>
      <c r="U282" s="291"/>
      <c r="V282" s="291"/>
      <c r="W282" s="291"/>
      <c r="X282" s="291"/>
      <c r="Y282" s="291"/>
      <c r="Z282" s="291"/>
    </row>
    <row r="283" spans="1:26" ht="15" customHeight="1">
      <c r="A283" s="286" t="s">
        <v>387</v>
      </c>
      <c r="B283" s="286" t="s">
        <v>7724</v>
      </c>
      <c r="C283" s="287">
        <v>1003</v>
      </c>
      <c r="D283" s="288"/>
      <c r="E283" s="288"/>
      <c r="F283" s="289">
        <v>3184635866</v>
      </c>
      <c r="G283" s="286">
        <v>52415923</v>
      </c>
      <c r="H283" s="286" t="s">
        <v>7725</v>
      </c>
      <c r="I283" s="291"/>
      <c r="J283" s="291"/>
      <c r="K283" s="291"/>
      <c r="L283" s="291"/>
      <c r="M283" s="291"/>
      <c r="N283" s="291"/>
      <c r="O283" s="291"/>
      <c r="P283" s="291"/>
      <c r="Q283" s="291"/>
      <c r="R283" s="291"/>
      <c r="S283" s="291"/>
      <c r="T283" s="291"/>
      <c r="U283" s="291"/>
      <c r="V283" s="291"/>
      <c r="W283" s="291"/>
      <c r="X283" s="291"/>
      <c r="Y283" s="291"/>
      <c r="Z283" s="291"/>
    </row>
    <row r="284" spans="1:26" ht="15" customHeight="1">
      <c r="A284" s="286" t="s">
        <v>7726</v>
      </c>
      <c r="B284" s="286" t="s">
        <v>7727</v>
      </c>
      <c r="C284" s="287">
        <v>310</v>
      </c>
      <c r="D284" s="288"/>
      <c r="E284" s="288"/>
      <c r="F284" s="289">
        <v>3123105487</v>
      </c>
      <c r="G284" s="286">
        <v>39776091</v>
      </c>
      <c r="H284" s="286" t="s">
        <v>7728</v>
      </c>
      <c r="I284" s="290">
        <v>46078</v>
      </c>
      <c r="J284" s="291"/>
      <c r="K284" s="291"/>
      <c r="L284" s="291"/>
      <c r="M284" s="291"/>
      <c r="N284" s="291"/>
      <c r="O284" s="291"/>
      <c r="P284" s="291"/>
      <c r="Q284" s="291"/>
      <c r="R284" s="291"/>
      <c r="S284" s="291"/>
      <c r="T284" s="291"/>
      <c r="U284" s="291"/>
      <c r="V284" s="291"/>
      <c r="W284" s="291"/>
      <c r="X284" s="291"/>
      <c r="Y284" s="291"/>
      <c r="Z284" s="291"/>
    </row>
    <row r="285" spans="1:26" ht="15" customHeight="1">
      <c r="A285" s="286" t="s">
        <v>7729</v>
      </c>
      <c r="B285" s="286" t="s">
        <v>7730</v>
      </c>
      <c r="C285" s="287">
        <v>601</v>
      </c>
      <c r="D285" s="288"/>
      <c r="E285" s="288"/>
      <c r="F285" s="289">
        <v>3175168747</v>
      </c>
      <c r="G285" s="286">
        <v>1140831449</v>
      </c>
      <c r="H285" s="286" t="s">
        <v>7731</v>
      </c>
      <c r="I285" s="290">
        <v>46078</v>
      </c>
      <c r="J285" s="291"/>
      <c r="K285" s="291"/>
      <c r="L285" s="291"/>
      <c r="M285" s="291"/>
      <c r="N285" s="291"/>
      <c r="O285" s="291"/>
      <c r="P285" s="291"/>
      <c r="Q285" s="291"/>
      <c r="R285" s="291"/>
      <c r="S285" s="291"/>
      <c r="T285" s="291"/>
      <c r="U285" s="291"/>
      <c r="V285" s="291"/>
      <c r="W285" s="291"/>
      <c r="X285" s="291"/>
      <c r="Y285" s="291"/>
      <c r="Z285" s="291"/>
    </row>
    <row r="286" spans="1:26" ht="14">
      <c r="A286" s="286" t="s">
        <v>7732</v>
      </c>
      <c r="B286" s="286" t="s">
        <v>7733</v>
      </c>
      <c r="C286" s="287">
        <v>201</v>
      </c>
      <c r="D286" s="288"/>
      <c r="E286" s="288"/>
      <c r="F286" s="289">
        <v>3158966104</v>
      </c>
      <c r="G286" s="286">
        <v>901119229</v>
      </c>
      <c r="H286" s="286"/>
      <c r="I286" s="290">
        <v>46078</v>
      </c>
      <c r="J286" s="291"/>
      <c r="K286" s="291"/>
      <c r="L286" s="291"/>
      <c r="M286" s="291"/>
      <c r="N286" s="291"/>
      <c r="O286" s="291"/>
      <c r="P286" s="291"/>
      <c r="Q286" s="291"/>
      <c r="R286" s="291"/>
      <c r="S286" s="291"/>
      <c r="T286" s="291"/>
      <c r="U286" s="291"/>
      <c r="V286" s="291"/>
      <c r="W286" s="291"/>
      <c r="X286" s="291"/>
      <c r="Y286" s="291"/>
      <c r="Z286" s="291"/>
    </row>
    <row r="287" spans="1:26" ht="15" customHeight="1">
      <c r="A287" s="286" t="s">
        <v>145</v>
      </c>
      <c r="B287" s="286" t="s">
        <v>7734</v>
      </c>
      <c r="C287" s="287">
        <v>706</v>
      </c>
      <c r="D287" s="288" t="s">
        <v>7735</v>
      </c>
      <c r="E287" s="288"/>
      <c r="F287" s="289">
        <v>3112975414</v>
      </c>
      <c r="G287" s="286">
        <v>1020749625</v>
      </c>
      <c r="H287" s="286" t="s">
        <v>7736</v>
      </c>
      <c r="I287" s="291"/>
      <c r="J287" s="291"/>
      <c r="K287" s="291"/>
      <c r="L287" s="291"/>
      <c r="M287" s="291"/>
      <c r="N287" s="291"/>
      <c r="O287" s="291"/>
      <c r="P287" s="291"/>
      <c r="Q287" s="291"/>
      <c r="R287" s="291"/>
      <c r="S287" s="291"/>
      <c r="T287" s="291"/>
      <c r="U287" s="291"/>
      <c r="V287" s="291"/>
      <c r="W287" s="291"/>
      <c r="X287" s="291"/>
      <c r="Y287" s="291"/>
      <c r="Z287" s="291"/>
    </row>
    <row r="288" spans="1:26" ht="15" customHeight="1">
      <c r="A288" s="286" t="s">
        <v>44</v>
      </c>
      <c r="B288" s="286" t="s">
        <v>7737</v>
      </c>
      <c r="C288" s="287">
        <v>308</v>
      </c>
      <c r="D288" s="288" t="s">
        <v>7738</v>
      </c>
      <c r="E288" s="288" t="s">
        <v>7739</v>
      </c>
      <c r="F288" s="289">
        <v>3103248310</v>
      </c>
      <c r="G288" s="286">
        <v>39778310</v>
      </c>
      <c r="H288" s="286" t="s">
        <v>7740</v>
      </c>
      <c r="I288" s="291"/>
      <c r="J288" s="291"/>
      <c r="K288" s="291"/>
      <c r="L288" s="291"/>
      <c r="M288" s="291"/>
      <c r="N288" s="291"/>
      <c r="O288" s="291"/>
      <c r="P288" s="291"/>
      <c r="Q288" s="291"/>
      <c r="R288" s="291"/>
      <c r="S288" s="291"/>
      <c r="T288" s="291"/>
      <c r="U288" s="291"/>
      <c r="V288" s="291"/>
      <c r="W288" s="291"/>
      <c r="X288" s="291"/>
      <c r="Y288" s="291"/>
      <c r="Z288" s="291"/>
    </row>
    <row r="289" spans="1:26" ht="15" customHeight="1">
      <c r="A289" s="286" t="s">
        <v>251</v>
      </c>
      <c r="B289" s="286" t="s">
        <v>7741</v>
      </c>
      <c r="C289" s="287">
        <v>302</v>
      </c>
      <c r="D289" s="288" t="s">
        <v>4849</v>
      </c>
      <c r="E289" s="288"/>
      <c r="F289" s="289">
        <v>3187114373</v>
      </c>
      <c r="G289" s="286">
        <v>1019066886</v>
      </c>
      <c r="H289" s="286" t="s">
        <v>7742</v>
      </c>
      <c r="I289" s="291"/>
      <c r="J289" s="291"/>
      <c r="K289" s="291"/>
      <c r="L289" s="291"/>
      <c r="M289" s="291"/>
      <c r="N289" s="291"/>
      <c r="O289" s="291"/>
      <c r="P289" s="291"/>
      <c r="Q289" s="291"/>
      <c r="R289" s="291"/>
      <c r="S289" s="291"/>
      <c r="T289" s="291"/>
      <c r="U289" s="291"/>
      <c r="V289" s="291"/>
      <c r="W289" s="291"/>
      <c r="X289" s="291"/>
      <c r="Y289" s="291"/>
      <c r="Z289" s="291"/>
    </row>
    <row r="290" spans="1:26" ht="15" customHeight="1">
      <c r="A290" s="286" t="s">
        <v>7743</v>
      </c>
      <c r="B290" s="286" t="s">
        <v>7744</v>
      </c>
      <c r="C290" s="287" t="s">
        <v>3007</v>
      </c>
      <c r="D290" s="288" t="s">
        <v>7745</v>
      </c>
      <c r="E290" s="288" t="s">
        <v>7746</v>
      </c>
      <c r="F290" s="289">
        <v>3167507779</v>
      </c>
      <c r="G290" s="286">
        <v>51776631</v>
      </c>
      <c r="H290" s="286" t="s">
        <v>7747</v>
      </c>
      <c r="I290" s="290">
        <v>46078</v>
      </c>
      <c r="J290" s="291"/>
      <c r="K290" s="291"/>
      <c r="L290" s="291"/>
      <c r="M290" s="291"/>
      <c r="N290" s="291"/>
      <c r="O290" s="291"/>
      <c r="P290" s="291"/>
      <c r="Q290" s="291"/>
      <c r="R290" s="291"/>
      <c r="S290" s="291"/>
      <c r="T290" s="291"/>
      <c r="U290" s="291"/>
      <c r="V290" s="291"/>
      <c r="W290" s="291"/>
      <c r="X290" s="291"/>
      <c r="Y290" s="291"/>
      <c r="Z290" s="291"/>
    </row>
    <row r="291" spans="1:26" ht="17.25" customHeight="1">
      <c r="A291" s="286" t="s">
        <v>7748</v>
      </c>
      <c r="B291" s="286" t="s">
        <v>7749</v>
      </c>
      <c r="C291" s="287">
        <v>101</v>
      </c>
      <c r="D291" s="288" t="s">
        <v>7750</v>
      </c>
      <c r="E291" s="288"/>
      <c r="F291" s="289">
        <v>3008160098</v>
      </c>
      <c r="G291" s="286">
        <v>26202489</v>
      </c>
      <c r="H291" s="286" t="s">
        <v>7751</v>
      </c>
      <c r="I291" s="291"/>
      <c r="J291" s="291"/>
      <c r="K291" s="291"/>
      <c r="L291" s="291"/>
      <c r="M291" s="291"/>
      <c r="N291" s="29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</row>
    <row r="292" spans="1:26" ht="17.25" customHeight="1">
      <c r="A292" s="286" t="s">
        <v>7752</v>
      </c>
      <c r="B292" s="286" t="s">
        <v>7753</v>
      </c>
      <c r="C292" s="287">
        <v>301</v>
      </c>
      <c r="D292" s="288" t="s">
        <v>7754</v>
      </c>
      <c r="E292" s="322" t="s">
        <v>7404</v>
      </c>
      <c r="F292" s="289">
        <v>3183517959</v>
      </c>
      <c r="G292" s="286">
        <v>39701959</v>
      </c>
      <c r="H292" s="286" t="s">
        <v>7755</v>
      </c>
      <c r="I292" s="290">
        <v>46078</v>
      </c>
      <c r="J292" s="291"/>
      <c r="K292" s="291"/>
      <c r="L292" s="291"/>
      <c r="M292" s="291"/>
      <c r="N292" s="291"/>
      <c r="O292" s="291"/>
      <c r="P292" s="291"/>
      <c r="Q292" s="291"/>
      <c r="R292" s="291"/>
      <c r="S292" s="291"/>
      <c r="T292" s="291"/>
      <c r="U292" s="291"/>
      <c r="V292" s="291"/>
      <c r="W292" s="291"/>
      <c r="X292" s="291"/>
      <c r="Y292" s="291"/>
      <c r="Z292" s="291"/>
    </row>
    <row r="293" spans="1:26" ht="14">
      <c r="A293" s="286" t="s">
        <v>156</v>
      </c>
      <c r="B293" s="286" t="s">
        <v>7756</v>
      </c>
      <c r="C293" s="287">
        <v>301</v>
      </c>
      <c r="D293" s="288" t="s">
        <v>2967</v>
      </c>
      <c r="E293" s="288"/>
      <c r="F293" s="289">
        <v>3133539505</v>
      </c>
      <c r="G293" s="286">
        <v>1018444518</v>
      </c>
      <c r="H293" s="286" t="s">
        <v>7757</v>
      </c>
      <c r="I293" s="291"/>
      <c r="J293" s="291"/>
      <c r="K293" s="291"/>
      <c r="L293" s="291"/>
      <c r="M293" s="291"/>
      <c r="N293" s="291"/>
      <c r="O293" s="291"/>
      <c r="P293" s="291"/>
      <c r="Q293" s="291"/>
      <c r="R293" s="291"/>
      <c r="S293" s="291"/>
      <c r="T293" s="291"/>
      <c r="U293" s="291"/>
      <c r="V293" s="291"/>
      <c r="W293" s="291"/>
      <c r="X293" s="291"/>
      <c r="Y293" s="291"/>
      <c r="Z293" s="291"/>
    </row>
    <row r="294" spans="1:26" ht="14">
      <c r="A294" s="286" t="s">
        <v>1292</v>
      </c>
      <c r="B294" s="288" t="s">
        <v>7758</v>
      </c>
      <c r="C294" s="287" t="s">
        <v>7759</v>
      </c>
      <c r="D294" s="288" t="s">
        <v>7760</v>
      </c>
      <c r="E294" s="288"/>
      <c r="F294" s="289">
        <v>3016571874</v>
      </c>
      <c r="G294" s="286">
        <v>1020725702</v>
      </c>
      <c r="H294" s="286" t="s">
        <v>7761</v>
      </c>
      <c r="I294" s="290">
        <v>46071</v>
      </c>
      <c r="J294" s="291"/>
      <c r="K294" s="291"/>
      <c r="L294" s="291"/>
      <c r="M294" s="291"/>
      <c r="N294" s="291"/>
      <c r="O294" s="291"/>
      <c r="P294" s="291"/>
      <c r="Q294" s="291"/>
      <c r="R294" s="291"/>
      <c r="S294" s="291"/>
      <c r="T294" s="291"/>
      <c r="U294" s="291"/>
      <c r="V294" s="291"/>
      <c r="W294" s="291"/>
      <c r="X294" s="291"/>
      <c r="Y294" s="291"/>
      <c r="Z294" s="291"/>
    </row>
    <row r="295" spans="1:26" ht="14">
      <c r="A295" s="286" t="s">
        <v>1565</v>
      </c>
      <c r="B295" s="286" t="s">
        <v>7762</v>
      </c>
      <c r="C295" s="287">
        <v>708</v>
      </c>
      <c r="D295" s="288" t="s">
        <v>7763</v>
      </c>
      <c r="E295" s="288"/>
      <c r="F295" s="289">
        <v>3194259782</v>
      </c>
      <c r="G295" s="286">
        <v>42076749</v>
      </c>
      <c r="H295" s="286" t="s">
        <v>7764</v>
      </c>
      <c r="I295" s="291"/>
      <c r="J295" s="291"/>
      <c r="K295" s="291"/>
      <c r="L295" s="291"/>
      <c r="M295" s="291"/>
      <c r="N295" s="291"/>
      <c r="O295" s="291"/>
      <c r="P295" s="291"/>
      <c r="Q295" s="291"/>
      <c r="R295" s="291"/>
      <c r="S295" s="291"/>
      <c r="T295" s="291"/>
      <c r="U295" s="291"/>
      <c r="V295" s="291"/>
      <c r="W295" s="291"/>
      <c r="X295" s="291"/>
      <c r="Y295" s="291"/>
      <c r="Z295" s="291"/>
    </row>
    <row r="296" spans="1:26" ht="14">
      <c r="A296" s="286" t="s">
        <v>440</v>
      </c>
      <c r="B296" s="286" t="s">
        <v>7765</v>
      </c>
      <c r="C296" s="287">
        <v>207</v>
      </c>
      <c r="D296" s="288"/>
      <c r="E296" s="288"/>
      <c r="F296" s="289">
        <v>3114750593</v>
      </c>
      <c r="G296" s="286">
        <v>80091611</v>
      </c>
      <c r="H296" s="286" t="s">
        <v>7766</v>
      </c>
      <c r="I296" s="291"/>
      <c r="J296" s="291"/>
      <c r="K296" s="291"/>
      <c r="L296" s="291"/>
      <c r="M296" s="291"/>
      <c r="N296" s="291"/>
      <c r="O296" s="291"/>
      <c r="P296" s="291"/>
      <c r="Q296" s="291"/>
      <c r="R296" s="291"/>
      <c r="S296" s="291"/>
      <c r="T296" s="291"/>
      <c r="U296" s="291"/>
      <c r="V296" s="291"/>
      <c r="W296" s="291"/>
      <c r="X296" s="291"/>
      <c r="Y296" s="291"/>
      <c r="Z296" s="291"/>
    </row>
    <row r="297" spans="1:26" ht="14.25" customHeight="1">
      <c r="A297" s="286" t="s">
        <v>7767</v>
      </c>
      <c r="B297" s="286" t="s">
        <v>7768</v>
      </c>
      <c r="C297" s="287">
        <v>302</v>
      </c>
      <c r="D297" s="288"/>
      <c r="E297" s="288"/>
      <c r="F297" s="289">
        <v>3017548696</v>
      </c>
      <c r="G297" s="286">
        <v>37080782</v>
      </c>
      <c r="H297" s="286" t="s">
        <v>7769</v>
      </c>
      <c r="I297" s="290">
        <v>46079</v>
      </c>
      <c r="J297" s="291"/>
      <c r="K297" s="291"/>
      <c r="L297" s="291"/>
      <c r="M297" s="291"/>
      <c r="N297" s="291"/>
      <c r="O297" s="291"/>
      <c r="P297" s="291"/>
      <c r="Q297" s="291"/>
      <c r="R297" s="291"/>
      <c r="S297" s="291"/>
      <c r="T297" s="291"/>
      <c r="U297" s="291"/>
      <c r="V297" s="291"/>
      <c r="W297" s="291"/>
      <c r="X297" s="291"/>
      <c r="Y297" s="291"/>
      <c r="Z297" s="291"/>
    </row>
    <row r="298" spans="1:26" ht="14">
      <c r="A298" s="286" t="s">
        <v>515</v>
      </c>
      <c r="B298" s="286" t="s">
        <v>7770</v>
      </c>
      <c r="C298" s="287">
        <v>701</v>
      </c>
      <c r="D298" s="288" t="s">
        <v>6884</v>
      </c>
      <c r="E298" s="288"/>
      <c r="F298" s="289">
        <v>3107694230</v>
      </c>
      <c r="G298" s="286">
        <v>41727615</v>
      </c>
      <c r="H298" s="286" t="s">
        <v>7771</v>
      </c>
      <c r="I298" s="290">
        <v>46079</v>
      </c>
      <c r="J298" s="291"/>
      <c r="K298" s="291"/>
      <c r="L298" s="291"/>
      <c r="M298" s="291"/>
      <c r="N298" s="291"/>
      <c r="O298" s="291"/>
      <c r="P298" s="291"/>
      <c r="Q298" s="291"/>
      <c r="R298" s="291"/>
      <c r="S298" s="291"/>
      <c r="T298" s="291"/>
      <c r="U298" s="291"/>
      <c r="V298" s="291"/>
      <c r="W298" s="291"/>
      <c r="X298" s="291"/>
      <c r="Y298" s="291"/>
      <c r="Z298" s="291"/>
    </row>
    <row r="299" spans="1:26" ht="14">
      <c r="A299" s="286" t="s">
        <v>1288</v>
      </c>
      <c r="B299" s="286" t="s">
        <v>7772</v>
      </c>
      <c r="C299" s="287">
        <v>401</v>
      </c>
      <c r="D299" s="288"/>
      <c r="E299" s="288"/>
      <c r="F299" s="289">
        <v>3102092247</v>
      </c>
      <c r="G299" s="286">
        <v>17169244</v>
      </c>
      <c r="H299" s="286" t="s">
        <v>7773</v>
      </c>
      <c r="I299" s="290">
        <v>46071</v>
      </c>
      <c r="J299" s="291"/>
      <c r="K299" s="291"/>
      <c r="L299" s="291"/>
      <c r="M299" s="291"/>
      <c r="N299" s="291"/>
      <c r="O299" s="291"/>
      <c r="P299" s="291"/>
      <c r="Q299" s="291"/>
      <c r="R299" s="291"/>
      <c r="S299" s="291"/>
      <c r="T299" s="291"/>
      <c r="U299" s="291"/>
      <c r="V299" s="291"/>
      <c r="W299" s="291"/>
      <c r="X299" s="291"/>
      <c r="Y299" s="291"/>
      <c r="Z299" s="291"/>
    </row>
    <row r="300" spans="1:26" ht="14">
      <c r="A300" s="286" t="s">
        <v>54</v>
      </c>
      <c r="B300" s="286" t="s">
        <v>7774</v>
      </c>
      <c r="C300" s="287">
        <v>423</v>
      </c>
      <c r="D300" s="288" t="s">
        <v>7775</v>
      </c>
      <c r="E300" s="288" t="s">
        <v>7776</v>
      </c>
      <c r="F300" s="289">
        <v>3115131016</v>
      </c>
      <c r="G300" s="286">
        <v>80231537</v>
      </c>
      <c r="H300" s="286" t="s">
        <v>7777</v>
      </c>
      <c r="I300" s="290">
        <v>46079</v>
      </c>
      <c r="J300" s="291"/>
      <c r="K300" s="291"/>
      <c r="L300" s="291"/>
      <c r="M300" s="291"/>
      <c r="N300" s="291"/>
      <c r="O300" s="291"/>
      <c r="P300" s="291"/>
      <c r="Q300" s="291"/>
      <c r="R300" s="291"/>
      <c r="S300" s="291"/>
      <c r="T300" s="291"/>
      <c r="U300" s="291"/>
      <c r="V300" s="291"/>
      <c r="W300" s="291"/>
      <c r="X300" s="291"/>
      <c r="Y300" s="291"/>
      <c r="Z300" s="291"/>
    </row>
    <row r="301" spans="1:26" ht="14">
      <c r="A301" s="286" t="s">
        <v>7778</v>
      </c>
      <c r="B301" s="286" t="s">
        <v>7779</v>
      </c>
      <c r="C301" s="287">
        <v>301</v>
      </c>
      <c r="D301" s="288"/>
      <c r="E301" s="288"/>
      <c r="F301" s="289">
        <v>3002036214</v>
      </c>
      <c r="G301" s="286">
        <v>51551177</v>
      </c>
      <c r="H301" s="286" t="s">
        <v>7780</v>
      </c>
      <c r="I301" s="290">
        <v>46079</v>
      </c>
      <c r="J301" s="291"/>
      <c r="K301" s="291"/>
      <c r="L301" s="291"/>
      <c r="M301" s="291"/>
      <c r="N301" s="291"/>
      <c r="O301" s="291"/>
      <c r="P301" s="291"/>
      <c r="Q301" s="291"/>
      <c r="R301" s="291"/>
      <c r="S301" s="291"/>
      <c r="T301" s="291"/>
      <c r="U301" s="291"/>
      <c r="V301" s="291"/>
      <c r="W301" s="291"/>
      <c r="X301" s="291"/>
      <c r="Y301" s="291"/>
      <c r="Z301" s="291"/>
    </row>
    <row r="302" spans="1:26" ht="14">
      <c r="A302" s="286" t="s">
        <v>7781</v>
      </c>
      <c r="B302" s="286" t="s">
        <v>7782</v>
      </c>
      <c r="C302" s="287">
        <v>603</v>
      </c>
      <c r="D302" s="288" t="s">
        <v>7783</v>
      </c>
      <c r="E302" s="288"/>
      <c r="F302" s="289">
        <v>3214929079</v>
      </c>
      <c r="G302" s="286">
        <v>53905535</v>
      </c>
      <c r="H302" s="286" t="s">
        <v>7784</v>
      </c>
      <c r="I302" s="290">
        <v>46079</v>
      </c>
      <c r="J302" s="291"/>
      <c r="K302" s="291"/>
      <c r="L302" s="291"/>
      <c r="M302" s="291"/>
      <c r="N302" s="291"/>
      <c r="O302" s="291"/>
      <c r="P302" s="291"/>
      <c r="Q302" s="291"/>
      <c r="R302" s="291"/>
      <c r="S302" s="291"/>
      <c r="T302" s="291"/>
      <c r="U302" s="291"/>
      <c r="V302" s="291"/>
      <c r="W302" s="291"/>
      <c r="X302" s="291"/>
      <c r="Y302" s="291"/>
      <c r="Z302" s="291"/>
    </row>
    <row r="303" spans="1:26" ht="14">
      <c r="A303" s="286" t="s">
        <v>7785</v>
      </c>
      <c r="B303" s="286" t="s">
        <v>7786</v>
      </c>
      <c r="C303" s="287">
        <v>603</v>
      </c>
      <c r="D303" s="288" t="s">
        <v>7787</v>
      </c>
      <c r="E303" s="288"/>
      <c r="F303" s="289">
        <v>3172136721</v>
      </c>
      <c r="G303" s="286">
        <v>1130606495</v>
      </c>
      <c r="H303" s="286" t="s">
        <v>7788</v>
      </c>
      <c r="I303" s="290">
        <v>46079</v>
      </c>
      <c r="J303" s="291"/>
      <c r="K303" s="291"/>
      <c r="L303" s="291"/>
      <c r="M303" s="291"/>
      <c r="N303" s="291"/>
      <c r="O303" s="291"/>
      <c r="P303" s="291"/>
      <c r="Q303" s="291"/>
      <c r="R303" s="291"/>
      <c r="S303" s="291"/>
      <c r="T303" s="291"/>
      <c r="U303" s="291"/>
      <c r="V303" s="291"/>
      <c r="W303" s="291"/>
      <c r="X303" s="291"/>
      <c r="Y303" s="291"/>
      <c r="Z303" s="291"/>
    </row>
    <row r="304" spans="1:26" ht="14">
      <c r="A304" s="286" t="s">
        <v>112</v>
      </c>
      <c r="B304" s="286" t="s">
        <v>7789</v>
      </c>
      <c r="C304" s="287">
        <v>302</v>
      </c>
      <c r="D304" s="288" t="s">
        <v>7790</v>
      </c>
      <c r="E304" s="288" t="s">
        <v>5867</v>
      </c>
      <c r="F304" s="289">
        <v>3102123110</v>
      </c>
      <c r="G304" s="286">
        <v>51649395</v>
      </c>
      <c r="H304" s="286" t="s">
        <v>7791</v>
      </c>
      <c r="I304" s="291"/>
      <c r="J304" s="291"/>
      <c r="K304" s="291"/>
      <c r="L304" s="291"/>
      <c r="M304" s="291"/>
      <c r="N304" s="291"/>
      <c r="O304" s="291"/>
      <c r="P304" s="291"/>
      <c r="Q304" s="291"/>
      <c r="R304" s="291"/>
      <c r="S304" s="291"/>
      <c r="T304" s="291"/>
      <c r="U304" s="291"/>
      <c r="V304" s="291"/>
      <c r="W304" s="291"/>
      <c r="X304" s="291"/>
      <c r="Y304" s="291"/>
      <c r="Z304" s="291"/>
    </row>
    <row r="305" spans="1:26" ht="14">
      <c r="A305" s="286" t="s">
        <v>172</v>
      </c>
      <c r="B305" s="286" t="s">
        <v>7792</v>
      </c>
      <c r="C305" s="287">
        <v>601</v>
      </c>
      <c r="D305" s="288"/>
      <c r="E305" s="288"/>
      <c r="F305" s="289">
        <v>3115226017</v>
      </c>
      <c r="G305" s="286">
        <v>52993731</v>
      </c>
      <c r="H305" s="286" t="s">
        <v>7793</v>
      </c>
      <c r="I305" s="291"/>
      <c r="J305" s="291"/>
      <c r="K305" s="291"/>
      <c r="L305" s="291"/>
      <c r="M305" s="291"/>
      <c r="N305" s="291"/>
      <c r="O305" s="291"/>
      <c r="P305" s="291"/>
      <c r="Q305" s="291"/>
      <c r="R305" s="291"/>
      <c r="S305" s="291"/>
      <c r="T305" s="291"/>
      <c r="U305" s="291"/>
      <c r="V305" s="291"/>
      <c r="W305" s="291"/>
      <c r="X305" s="291"/>
      <c r="Y305" s="291"/>
      <c r="Z305" s="291"/>
    </row>
    <row r="306" spans="1:26" ht="14">
      <c r="A306" s="286" t="s">
        <v>7794</v>
      </c>
      <c r="B306" s="286" t="s">
        <v>7795</v>
      </c>
      <c r="C306" s="287">
        <v>408</v>
      </c>
      <c r="D306" s="288"/>
      <c r="E306" s="288"/>
      <c r="F306" s="289">
        <v>3102414833</v>
      </c>
      <c r="G306" s="286">
        <v>52269206</v>
      </c>
      <c r="H306" s="286" t="s">
        <v>7796</v>
      </c>
      <c r="I306" s="290">
        <v>46079</v>
      </c>
      <c r="J306" s="291"/>
      <c r="K306" s="291"/>
      <c r="L306" s="291"/>
      <c r="M306" s="291"/>
      <c r="N306" s="291"/>
      <c r="O306" s="291"/>
      <c r="P306" s="291"/>
      <c r="Q306" s="291"/>
      <c r="R306" s="291"/>
      <c r="S306" s="291"/>
      <c r="T306" s="291"/>
      <c r="U306" s="291"/>
      <c r="V306" s="291"/>
      <c r="W306" s="291"/>
      <c r="X306" s="291"/>
      <c r="Y306" s="291"/>
      <c r="Z306" s="291"/>
    </row>
    <row r="307" spans="1:26" ht="14">
      <c r="A307" s="286" t="s">
        <v>7797</v>
      </c>
      <c r="B307" s="286" t="s">
        <v>7798</v>
      </c>
      <c r="C307" s="287">
        <v>706</v>
      </c>
      <c r="D307" s="288" t="s">
        <v>7799</v>
      </c>
      <c r="E307" s="288" t="s">
        <v>2914</v>
      </c>
      <c r="F307" s="289">
        <v>3167541815</v>
      </c>
      <c r="G307" s="286">
        <v>16756397</v>
      </c>
      <c r="H307" s="286" t="s">
        <v>7800</v>
      </c>
      <c r="I307" s="291"/>
      <c r="J307" s="291"/>
      <c r="K307" s="291"/>
      <c r="L307" s="291"/>
      <c r="M307" s="291"/>
      <c r="N307" s="291"/>
      <c r="O307" s="291"/>
      <c r="P307" s="291"/>
      <c r="Q307" s="291"/>
      <c r="R307" s="291"/>
      <c r="S307" s="291"/>
      <c r="T307" s="291"/>
      <c r="U307" s="291"/>
      <c r="V307" s="291"/>
      <c r="W307" s="291"/>
      <c r="X307" s="291"/>
      <c r="Y307" s="291"/>
      <c r="Z307" s="291"/>
    </row>
    <row r="308" spans="1:26" ht="20.25" customHeight="1">
      <c r="A308" s="286" t="s">
        <v>149</v>
      </c>
      <c r="B308" s="286" t="s">
        <v>7801</v>
      </c>
      <c r="C308" s="287">
        <v>302</v>
      </c>
      <c r="D308" s="288" t="s">
        <v>7802</v>
      </c>
      <c r="E308" s="288"/>
      <c r="F308" s="289">
        <v>3158935193</v>
      </c>
      <c r="G308" s="286">
        <v>1014225237</v>
      </c>
      <c r="H308" s="286" t="s">
        <v>7803</v>
      </c>
      <c r="I308" s="290">
        <v>46079</v>
      </c>
      <c r="J308" s="291"/>
      <c r="K308" s="291"/>
      <c r="L308" s="291"/>
      <c r="M308" s="291"/>
      <c r="N308" s="291"/>
      <c r="O308" s="291"/>
      <c r="P308" s="291"/>
      <c r="Q308" s="291"/>
      <c r="R308" s="291"/>
      <c r="S308" s="291"/>
      <c r="T308" s="291"/>
      <c r="U308" s="291"/>
      <c r="V308" s="291"/>
      <c r="W308" s="291"/>
      <c r="X308" s="291"/>
      <c r="Y308" s="291"/>
      <c r="Z308" s="291"/>
    </row>
    <row r="309" spans="1:26" ht="14">
      <c r="A309" s="286" t="s">
        <v>7804</v>
      </c>
      <c r="B309" s="286" t="s">
        <v>7805</v>
      </c>
      <c r="C309" s="287">
        <v>405</v>
      </c>
      <c r="D309" s="288" t="s">
        <v>2772</v>
      </c>
      <c r="E309" s="288"/>
      <c r="F309" s="289">
        <v>3158656262</v>
      </c>
      <c r="G309" s="286">
        <v>39791439</v>
      </c>
      <c r="H309" s="286" t="s">
        <v>7806</v>
      </c>
      <c r="I309" s="290">
        <v>46079</v>
      </c>
      <c r="J309" s="291"/>
      <c r="K309" s="291"/>
      <c r="L309" s="291"/>
      <c r="M309" s="291"/>
      <c r="N309" s="291"/>
      <c r="O309" s="291"/>
      <c r="P309" s="291"/>
      <c r="Q309" s="291"/>
      <c r="R309" s="291"/>
      <c r="S309" s="291"/>
      <c r="T309" s="291"/>
      <c r="U309" s="291"/>
      <c r="V309" s="291"/>
      <c r="W309" s="291"/>
      <c r="X309" s="291"/>
      <c r="Y309" s="291"/>
      <c r="Z309" s="291"/>
    </row>
    <row r="310" spans="1:26" ht="19.5" customHeight="1">
      <c r="A310" s="286" t="s">
        <v>48</v>
      </c>
      <c r="B310" s="286" t="s">
        <v>7807</v>
      </c>
      <c r="C310" s="287">
        <v>116</v>
      </c>
      <c r="D310" s="288" t="s">
        <v>7808</v>
      </c>
      <c r="E310" s="288"/>
      <c r="F310" s="289">
        <v>3208406158</v>
      </c>
      <c r="G310" s="286">
        <v>52646076</v>
      </c>
      <c r="H310" s="286" t="s">
        <v>7809</v>
      </c>
      <c r="I310" s="290">
        <v>46079</v>
      </c>
      <c r="J310" s="291"/>
      <c r="K310" s="291"/>
      <c r="L310" s="291"/>
      <c r="M310" s="291"/>
      <c r="N310" s="291"/>
      <c r="O310" s="291"/>
      <c r="P310" s="291"/>
      <c r="Q310" s="291"/>
      <c r="R310" s="291"/>
      <c r="S310" s="291"/>
      <c r="T310" s="291"/>
      <c r="U310" s="291"/>
      <c r="V310" s="291"/>
      <c r="W310" s="291"/>
      <c r="X310" s="291"/>
      <c r="Y310" s="291"/>
      <c r="Z310" s="291"/>
    </row>
    <row r="311" spans="1:26" ht="13.5" customHeight="1">
      <c r="A311" s="286" t="s">
        <v>7810</v>
      </c>
      <c r="B311" s="286" t="s">
        <v>7811</v>
      </c>
      <c r="C311" s="287">
        <v>904</v>
      </c>
      <c r="D311" s="288" t="s">
        <v>7812</v>
      </c>
      <c r="E311" s="288"/>
      <c r="F311" s="289">
        <v>3016432192</v>
      </c>
      <c r="G311" s="286">
        <v>52715423</v>
      </c>
      <c r="H311" s="286" t="s">
        <v>7813</v>
      </c>
      <c r="I311" s="290">
        <v>46079</v>
      </c>
      <c r="J311" s="291"/>
      <c r="K311" s="291"/>
      <c r="L311" s="291"/>
      <c r="M311" s="291"/>
      <c r="N311" s="291"/>
      <c r="O311" s="291"/>
      <c r="P311" s="291"/>
      <c r="Q311" s="291"/>
      <c r="R311" s="291"/>
      <c r="S311" s="291"/>
      <c r="T311" s="291"/>
      <c r="U311" s="291"/>
      <c r="V311" s="291"/>
      <c r="W311" s="291"/>
      <c r="X311" s="291"/>
      <c r="Y311" s="291"/>
      <c r="Z311" s="291"/>
    </row>
    <row r="312" spans="1:26" ht="14">
      <c r="A312" s="286" t="s">
        <v>7814</v>
      </c>
      <c r="B312" s="286" t="s">
        <v>7815</v>
      </c>
      <c r="C312" s="287">
        <v>703</v>
      </c>
      <c r="D312" s="288" t="s">
        <v>7816</v>
      </c>
      <c r="E312" s="288"/>
      <c r="F312" s="289">
        <v>3102375604</v>
      </c>
      <c r="G312" s="286">
        <v>1030542412</v>
      </c>
      <c r="H312" s="286" t="s">
        <v>7817</v>
      </c>
      <c r="I312" s="290">
        <v>46071</v>
      </c>
      <c r="J312" s="291"/>
      <c r="K312" s="291"/>
      <c r="L312" s="291"/>
      <c r="M312" s="291"/>
      <c r="N312" s="291"/>
      <c r="O312" s="291"/>
      <c r="P312" s="291"/>
      <c r="Q312" s="291"/>
      <c r="R312" s="291"/>
      <c r="S312" s="291"/>
      <c r="T312" s="291"/>
      <c r="U312" s="291"/>
      <c r="V312" s="291"/>
      <c r="W312" s="291"/>
      <c r="X312" s="291"/>
      <c r="Y312" s="291"/>
      <c r="Z312" s="291"/>
    </row>
    <row r="313" spans="1:26" ht="14">
      <c r="A313" s="286" t="s">
        <v>7818</v>
      </c>
      <c r="B313" s="286" t="s">
        <v>7819</v>
      </c>
      <c r="C313" s="287"/>
      <c r="D313" s="288" t="s">
        <v>7820</v>
      </c>
      <c r="E313" s="288"/>
      <c r="F313" s="289">
        <v>3182851643</v>
      </c>
      <c r="G313" s="286">
        <v>52696738</v>
      </c>
      <c r="H313" s="286" t="s">
        <v>7821</v>
      </c>
      <c r="I313" s="290">
        <v>46079</v>
      </c>
      <c r="J313" s="291"/>
      <c r="K313" s="291"/>
      <c r="L313" s="291"/>
      <c r="M313" s="291"/>
      <c r="N313" s="291"/>
      <c r="O313" s="291"/>
      <c r="P313" s="291"/>
      <c r="Q313" s="291"/>
      <c r="R313" s="291"/>
      <c r="S313" s="291"/>
      <c r="T313" s="291"/>
      <c r="U313" s="291"/>
      <c r="V313" s="291"/>
      <c r="W313" s="291"/>
      <c r="X313" s="291"/>
      <c r="Y313" s="291"/>
      <c r="Z313" s="291"/>
    </row>
    <row r="314" spans="1:26" ht="14">
      <c r="A314" s="286" t="s">
        <v>1540</v>
      </c>
      <c r="B314" s="286" t="s">
        <v>7822</v>
      </c>
      <c r="C314" s="287">
        <v>601</v>
      </c>
      <c r="D314" s="288"/>
      <c r="E314" s="288"/>
      <c r="F314" s="289">
        <v>3006200880</v>
      </c>
      <c r="G314" s="286">
        <v>32206390</v>
      </c>
      <c r="H314" s="286" t="s">
        <v>7823</v>
      </c>
      <c r="I314" s="290">
        <v>46079</v>
      </c>
      <c r="J314" s="291"/>
      <c r="K314" s="291"/>
      <c r="L314" s="291"/>
      <c r="M314" s="291"/>
      <c r="N314" s="291"/>
      <c r="O314" s="291"/>
      <c r="P314" s="291"/>
      <c r="Q314" s="291"/>
      <c r="R314" s="291"/>
      <c r="S314" s="291"/>
      <c r="T314" s="291"/>
      <c r="U314" s="291"/>
      <c r="V314" s="291"/>
      <c r="W314" s="291"/>
      <c r="X314" s="291"/>
      <c r="Y314" s="291"/>
      <c r="Z314" s="291"/>
    </row>
    <row r="315" spans="1:26" ht="14">
      <c r="A315" s="286" t="s">
        <v>8</v>
      </c>
      <c r="B315" s="286" t="s">
        <v>7824</v>
      </c>
      <c r="C315" s="287">
        <v>404</v>
      </c>
      <c r="D315" s="288" t="s">
        <v>7825</v>
      </c>
      <c r="E315" s="288"/>
      <c r="F315" s="289">
        <v>3212009574</v>
      </c>
      <c r="G315" s="286">
        <v>39690880</v>
      </c>
      <c r="H315" s="286" t="s">
        <v>7826</v>
      </c>
      <c r="I315" s="291"/>
      <c r="J315" s="291"/>
      <c r="K315" s="291"/>
      <c r="L315" s="291"/>
      <c r="M315" s="291"/>
      <c r="N315" s="291"/>
      <c r="O315" s="291"/>
      <c r="P315" s="291"/>
      <c r="Q315" s="291"/>
      <c r="R315" s="291"/>
      <c r="S315" s="291"/>
      <c r="T315" s="291"/>
      <c r="U315" s="291"/>
      <c r="V315" s="291"/>
      <c r="W315" s="291"/>
      <c r="X315" s="291"/>
      <c r="Y315" s="291"/>
      <c r="Z315" s="291"/>
    </row>
    <row r="316" spans="1:26" ht="14">
      <c r="A316" s="286" t="s">
        <v>7827</v>
      </c>
      <c r="B316" s="286" t="s">
        <v>7828</v>
      </c>
      <c r="C316" s="287">
        <v>201</v>
      </c>
      <c r="D316" s="288" t="s">
        <v>7829</v>
      </c>
      <c r="E316" s="288" t="s">
        <v>6014</v>
      </c>
      <c r="F316" s="289">
        <v>3143302997</v>
      </c>
      <c r="G316" s="286">
        <v>52897880</v>
      </c>
      <c r="H316" s="286" t="s">
        <v>7830</v>
      </c>
      <c r="I316" s="290">
        <v>46079</v>
      </c>
      <c r="J316" s="291"/>
      <c r="K316" s="291"/>
      <c r="L316" s="291"/>
      <c r="M316" s="291"/>
      <c r="N316" s="291"/>
      <c r="O316" s="291"/>
      <c r="P316" s="291"/>
      <c r="Q316" s="291"/>
      <c r="R316" s="291"/>
      <c r="S316" s="291"/>
      <c r="T316" s="291"/>
      <c r="U316" s="291"/>
      <c r="V316" s="291"/>
      <c r="W316" s="291"/>
      <c r="X316" s="291"/>
      <c r="Y316" s="291"/>
      <c r="Z316" s="291"/>
    </row>
    <row r="317" spans="1:26" ht="18" customHeight="1">
      <c r="A317" s="286" t="s">
        <v>7831</v>
      </c>
      <c r="B317" s="286" t="s">
        <v>7832</v>
      </c>
      <c r="C317" s="287">
        <v>304</v>
      </c>
      <c r="D317" s="288"/>
      <c r="E317" s="288"/>
      <c r="F317" s="289">
        <v>3125850078</v>
      </c>
      <c r="G317" s="286">
        <v>39775433</v>
      </c>
      <c r="H317" s="286" t="s">
        <v>7833</v>
      </c>
      <c r="I317" s="291"/>
      <c r="J317" s="291"/>
      <c r="K317" s="291"/>
      <c r="L317" s="291"/>
      <c r="M317" s="291"/>
      <c r="N317" s="291"/>
      <c r="O317" s="291"/>
      <c r="P317" s="291"/>
      <c r="Q317" s="291"/>
      <c r="R317" s="291"/>
      <c r="S317" s="291"/>
      <c r="T317" s="291"/>
      <c r="U317" s="291"/>
      <c r="V317" s="291"/>
      <c r="W317" s="291"/>
      <c r="X317" s="291"/>
      <c r="Y317" s="291"/>
      <c r="Z317" s="291"/>
    </row>
    <row r="318" spans="1:26" ht="14">
      <c r="A318" s="286" t="s">
        <v>124</v>
      </c>
      <c r="B318" s="286" t="s">
        <v>7834</v>
      </c>
      <c r="C318" s="287">
        <v>1002</v>
      </c>
      <c r="D318" s="288"/>
      <c r="E318" s="288" t="s">
        <v>7835</v>
      </c>
      <c r="F318" s="289">
        <v>3144459050</v>
      </c>
      <c r="G318" s="286">
        <v>1013651564</v>
      </c>
      <c r="H318" s="286" t="s">
        <v>7836</v>
      </c>
      <c r="I318" s="291"/>
      <c r="J318" s="291"/>
      <c r="K318" s="291"/>
      <c r="L318" s="291"/>
      <c r="M318" s="291"/>
      <c r="N318" s="291"/>
      <c r="O318" s="291"/>
      <c r="P318" s="291"/>
      <c r="Q318" s="291"/>
      <c r="R318" s="291"/>
      <c r="S318" s="291"/>
      <c r="T318" s="291"/>
      <c r="U318" s="291"/>
      <c r="V318" s="291"/>
      <c r="W318" s="291"/>
      <c r="X318" s="291"/>
      <c r="Y318" s="291"/>
      <c r="Z318" s="291"/>
    </row>
    <row r="319" spans="1:26" ht="14">
      <c r="A319" s="286" t="s">
        <v>7837</v>
      </c>
      <c r="B319" s="286" t="s">
        <v>7838</v>
      </c>
      <c r="C319" s="287">
        <v>403</v>
      </c>
      <c r="D319" s="325" t="s">
        <v>7839</v>
      </c>
      <c r="E319" s="288"/>
      <c r="F319" s="289">
        <v>3507435400</v>
      </c>
      <c r="G319" s="286">
        <v>1019102910</v>
      </c>
      <c r="H319" s="286" t="s">
        <v>7840</v>
      </c>
      <c r="I319" s="290">
        <v>46079</v>
      </c>
      <c r="J319" s="291"/>
      <c r="K319" s="291"/>
      <c r="L319" s="291"/>
      <c r="M319" s="291"/>
      <c r="N319" s="291"/>
      <c r="O319" s="291"/>
      <c r="P319" s="291"/>
      <c r="Q319" s="291"/>
      <c r="R319" s="291"/>
      <c r="S319" s="291"/>
      <c r="T319" s="291"/>
      <c r="U319" s="291"/>
      <c r="V319" s="291"/>
      <c r="W319" s="291"/>
      <c r="X319" s="291"/>
      <c r="Y319" s="291"/>
      <c r="Z319" s="291"/>
    </row>
    <row r="320" spans="1:26" ht="14">
      <c r="A320" s="286" t="s">
        <v>80</v>
      </c>
      <c r="B320" s="286" t="s">
        <v>7841</v>
      </c>
      <c r="C320" s="287">
        <v>404</v>
      </c>
      <c r="D320" s="288" t="s">
        <v>7842</v>
      </c>
      <c r="E320" s="288"/>
      <c r="F320" s="289">
        <v>3113001308</v>
      </c>
      <c r="G320" s="286">
        <v>1020781275</v>
      </c>
      <c r="H320" s="286" t="s">
        <v>7843</v>
      </c>
      <c r="I320" s="290">
        <v>46079</v>
      </c>
      <c r="J320" s="291"/>
      <c r="K320" s="291"/>
      <c r="L320" s="291"/>
      <c r="M320" s="291"/>
      <c r="N320" s="291"/>
      <c r="O320" s="291"/>
      <c r="P320" s="291"/>
      <c r="Q320" s="291"/>
      <c r="R320" s="291"/>
      <c r="S320" s="291"/>
      <c r="T320" s="291"/>
      <c r="U320" s="291"/>
      <c r="V320" s="291"/>
      <c r="W320" s="291"/>
      <c r="X320" s="291"/>
      <c r="Y320" s="291"/>
      <c r="Z320" s="291"/>
    </row>
    <row r="321" spans="1:26" ht="14">
      <c r="A321" s="286" t="s">
        <v>95</v>
      </c>
      <c r="B321" s="286" t="s">
        <v>7844</v>
      </c>
      <c r="C321" s="287">
        <v>401</v>
      </c>
      <c r="D321" s="288"/>
      <c r="E321" s="288"/>
      <c r="F321" s="289">
        <v>3134969313</v>
      </c>
      <c r="G321" s="286">
        <v>1018487383</v>
      </c>
      <c r="H321" s="286" t="s">
        <v>7845</v>
      </c>
      <c r="I321" s="290">
        <v>46079</v>
      </c>
      <c r="J321" s="291"/>
      <c r="K321" s="291"/>
      <c r="L321" s="291"/>
      <c r="M321" s="291"/>
      <c r="N321" s="291"/>
      <c r="O321" s="291"/>
      <c r="P321" s="291"/>
      <c r="Q321" s="291"/>
      <c r="R321" s="291"/>
      <c r="S321" s="291"/>
      <c r="T321" s="291"/>
      <c r="U321" s="291"/>
      <c r="V321" s="291"/>
      <c r="W321" s="291"/>
      <c r="X321" s="291"/>
      <c r="Y321" s="291"/>
      <c r="Z321" s="291"/>
    </row>
    <row r="322" spans="1:26" ht="14">
      <c r="A322" s="286" t="s">
        <v>7846</v>
      </c>
      <c r="B322" s="286" t="s">
        <v>7847</v>
      </c>
      <c r="C322" s="287" t="s">
        <v>4156</v>
      </c>
      <c r="D322" s="288" t="s">
        <v>7848</v>
      </c>
      <c r="E322" s="288"/>
      <c r="F322" s="289">
        <v>3138079949</v>
      </c>
      <c r="G322" s="286">
        <v>52386083</v>
      </c>
      <c r="H322" s="286" t="s">
        <v>7849</v>
      </c>
      <c r="I322" s="290">
        <v>46079</v>
      </c>
      <c r="J322" s="291"/>
      <c r="K322" s="291"/>
      <c r="L322" s="291"/>
      <c r="M322" s="291"/>
      <c r="N322" s="291"/>
      <c r="O322" s="291"/>
      <c r="P322" s="291"/>
      <c r="Q322" s="291"/>
      <c r="R322" s="291"/>
      <c r="S322" s="291"/>
      <c r="T322" s="291"/>
      <c r="U322" s="291"/>
      <c r="V322" s="291"/>
      <c r="W322" s="291"/>
      <c r="X322" s="291"/>
      <c r="Y322" s="291"/>
      <c r="Z322" s="291"/>
    </row>
    <row r="323" spans="1:26" ht="14">
      <c r="A323" s="286" t="s">
        <v>94</v>
      </c>
      <c r="B323" s="286" t="s">
        <v>7850</v>
      </c>
      <c r="C323" s="287">
        <v>204</v>
      </c>
      <c r="D323" s="288"/>
      <c r="E323" s="288"/>
      <c r="F323" s="289">
        <v>3132136371</v>
      </c>
      <c r="G323" s="286">
        <v>35466597</v>
      </c>
      <c r="H323" s="286" t="s">
        <v>7851</v>
      </c>
      <c r="I323" s="290">
        <v>46079</v>
      </c>
      <c r="J323" s="291"/>
      <c r="K323" s="291"/>
      <c r="L323" s="291"/>
      <c r="M323" s="291"/>
      <c r="N323" s="291"/>
      <c r="O323" s="291"/>
      <c r="P323" s="291"/>
      <c r="Q323" s="291"/>
      <c r="R323" s="291"/>
      <c r="S323" s="291"/>
      <c r="T323" s="291"/>
      <c r="U323" s="291"/>
      <c r="V323" s="291"/>
      <c r="W323" s="291"/>
      <c r="X323" s="291"/>
      <c r="Y323" s="291"/>
      <c r="Z323" s="291"/>
    </row>
    <row r="324" spans="1:26" ht="14">
      <c r="A324" s="286" t="s">
        <v>7852</v>
      </c>
      <c r="B324" s="286" t="s">
        <v>4223</v>
      </c>
      <c r="C324" s="287">
        <v>505</v>
      </c>
      <c r="D324" s="288" t="s">
        <v>7853</v>
      </c>
      <c r="E324" s="288"/>
      <c r="F324" s="289">
        <v>3153350772</v>
      </c>
      <c r="G324" s="286">
        <v>39783552</v>
      </c>
      <c r="H324" s="286"/>
      <c r="I324" s="290">
        <v>46079</v>
      </c>
      <c r="J324" s="291"/>
      <c r="K324" s="291"/>
      <c r="L324" s="291"/>
      <c r="M324" s="291"/>
      <c r="N324" s="291"/>
      <c r="O324" s="291"/>
      <c r="P324" s="291"/>
      <c r="Q324" s="291"/>
      <c r="R324" s="291"/>
      <c r="S324" s="291"/>
      <c r="T324" s="291"/>
      <c r="U324" s="291"/>
      <c r="V324" s="291"/>
      <c r="W324" s="291"/>
      <c r="X324" s="291"/>
      <c r="Y324" s="291"/>
      <c r="Z324" s="291"/>
    </row>
    <row r="325" spans="1:26" ht="14">
      <c r="A325" s="286" t="s">
        <v>884</v>
      </c>
      <c r="B325" s="286" t="s">
        <v>7854</v>
      </c>
      <c r="C325" s="287">
        <v>201</v>
      </c>
      <c r="D325" s="288"/>
      <c r="E325" s="288"/>
      <c r="F325" s="289">
        <v>3158722344</v>
      </c>
      <c r="G325" s="286">
        <v>52996080</v>
      </c>
      <c r="H325" s="286" t="s">
        <v>7855</v>
      </c>
      <c r="I325" s="291"/>
      <c r="J325" s="291"/>
      <c r="K325" s="291"/>
      <c r="L325" s="291"/>
      <c r="M325" s="291"/>
      <c r="N325" s="291"/>
      <c r="O325" s="291"/>
      <c r="P325" s="291"/>
      <c r="Q325" s="291"/>
      <c r="R325" s="291"/>
      <c r="S325" s="291"/>
      <c r="T325" s="291"/>
      <c r="U325" s="291"/>
      <c r="V325" s="291"/>
      <c r="W325" s="291"/>
      <c r="X325" s="291"/>
      <c r="Y325" s="291"/>
      <c r="Z325" s="291"/>
    </row>
    <row r="326" spans="1:26" ht="14">
      <c r="A326" s="286" t="s">
        <v>7856</v>
      </c>
      <c r="B326" s="286" t="s">
        <v>7857</v>
      </c>
      <c r="C326" s="287">
        <v>301</v>
      </c>
      <c r="D326" s="288" t="s">
        <v>7858</v>
      </c>
      <c r="E326" s="288" t="s">
        <v>7859</v>
      </c>
      <c r="F326" s="289">
        <v>3002176772</v>
      </c>
      <c r="G326" s="286">
        <v>52021917</v>
      </c>
      <c r="H326" s="286" t="s">
        <v>7860</v>
      </c>
      <c r="I326" s="290">
        <v>46079</v>
      </c>
      <c r="J326" s="291"/>
      <c r="K326" s="291"/>
      <c r="L326" s="291"/>
      <c r="M326" s="291"/>
      <c r="N326" s="291"/>
      <c r="O326" s="291"/>
      <c r="P326" s="291"/>
      <c r="Q326" s="291"/>
      <c r="R326" s="291"/>
      <c r="S326" s="291"/>
      <c r="T326" s="291"/>
      <c r="U326" s="291"/>
      <c r="V326" s="291"/>
      <c r="W326" s="291"/>
      <c r="X326" s="291"/>
      <c r="Y326" s="291"/>
      <c r="Z326" s="291"/>
    </row>
    <row r="327" spans="1:26" ht="14">
      <c r="A327" s="286" t="s">
        <v>66</v>
      </c>
      <c r="B327" s="286" t="s">
        <v>7861</v>
      </c>
      <c r="C327" s="287"/>
      <c r="D327" s="288"/>
      <c r="E327" s="288"/>
      <c r="F327" s="289">
        <v>3168701146</v>
      </c>
      <c r="G327" s="286">
        <v>1015405728</v>
      </c>
      <c r="H327" s="286" t="s">
        <v>7862</v>
      </c>
      <c r="I327" s="290">
        <v>46079</v>
      </c>
      <c r="J327" s="291"/>
      <c r="K327" s="291"/>
      <c r="L327" s="291"/>
      <c r="M327" s="291"/>
      <c r="N327" s="291"/>
      <c r="O327" s="291"/>
      <c r="P327" s="291"/>
      <c r="Q327" s="291"/>
      <c r="R327" s="291"/>
      <c r="S327" s="291"/>
      <c r="T327" s="291"/>
      <c r="U327" s="291"/>
      <c r="V327" s="291"/>
      <c r="W327" s="291"/>
      <c r="X327" s="291"/>
      <c r="Y327" s="291"/>
      <c r="Z327" s="291"/>
    </row>
    <row r="328" spans="1:26" ht="14">
      <c r="A328" s="286" t="s">
        <v>7863</v>
      </c>
      <c r="B328" s="286" t="s">
        <v>7864</v>
      </c>
      <c r="C328" s="287">
        <v>1301</v>
      </c>
      <c r="D328" s="288" t="s">
        <v>7865</v>
      </c>
      <c r="E328" s="288" t="s">
        <v>7866</v>
      </c>
      <c r="F328" s="289">
        <v>3108189935</v>
      </c>
      <c r="G328" s="286">
        <v>52206041</v>
      </c>
      <c r="H328" s="286" t="s">
        <v>7867</v>
      </c>
      <c r="I328" s="291"/>
      <c r="J328" s="291"/>
      <c r="K328" s="291"/>
      <c r="L328" s="291"/>
      <c r="M328" s="291"/>
      <c r="N328" s="291"/>
      <c r="O328" s="291"/>
      <c r="P328" s="291"/>
      <c r="Q328" s="291"/>
      <c r="R328" s="291"/>
      <c r="S328" s="291"/>
      <c r="T328" s="291"/>
      <c r="U328" s="291"/>
      <c r="V328" s="291"/>
      <c r="W328" s="291"/>
      <c r="X328" s="291"/>
      <c r="Y328" s="291"/>
      <c r="Z328" s="291"/>
    </row>
    <row r="329" spans="1:26" ht="14">
      <c r="A329" s="286" t="s">
        <v>7868</v>
      </c>
      <c r="B329" s="286" t="s">
        <v>7869</v>
      </c>
      <c r="C329" s="287">
        <v>502</v>
      </c>
      <c r="D329" s="288" t="s">
        <v>3811</v>
      </c>
      <c r="E329" s="286"/>
      <c r="F329" s="289">
        <v>3175121488</v>
      </c>
      <c r="G329" s="286">
        <v>52994614</v>
      </c>
      <c r="H329" s="286" t="s">
        <v>7870</v>
      </c>
      <c r="I329" s="290">
        <v>46079</v>
      </c>
      <c r="J329" s="291"/>
      <c r="K329" s="291"/>
      <c r="L329" s="291"/>
      <c r="M329" s="291"/>
      <c r="N329" s="291"/>
      <c r="O329" s="291"/>
      <c r="P329" s="291"/>
      <c r="Q329" s="291"/>
      <c r="R329" s="291"/>
      <c r="S329" s="291"/>
      <c r="T329" s="291"/>
      <c r="U329" s="291"/>
      <c r="V329" s="291"/>
      <c r="W329" s="291"/>
      <c r="X329" s="291"/>
      <c r="Y329" s="291"/>
      <c r="Z329" s="291"/>
    </row>
    <row r="330" spans="1:26" ht="21" customHeight="1">
      <c r="A330" s="286" t="s">
        <v>7871</v>
      </c>
      <c r="B330" s="286" t="s">
        <v>7872</v>
      </c>
      <c r="C330" s="287">
        <v>302</v>
      </c>
      <c r="D330" s="288"/>
      <c r="E330" s="288"/>
      <c r="F330" s="289">
        <v>3133571052</v>
      </c>
      <c r="G330" s="286">
        <v>1018487336</v>
      </c>
      <c r="H330" s="286" t="s">
        <v>7873</v>
      </c>
      <c r="I330" s="290">
        <v>46079</v>
      </c>
      <c r="J330" s="291"/>
      <c r="K330" s="291"/>
      <c r="L330" s="291"/>
      <c r="M330" s="291"/>
      <c r="N330" s="291"/>
      <c r="O330" s="291"/>
      <c r="P330" s="291"/>
      <c r="Q330" s="291"/>
      <c r="R330" s="291"/>
      <c r="S330" s="291"/>
      <c r="T330" s="291"/>
      <c r="U330" s="291"/>
      <c r="V330" s="291"/>
      <c r="W330" s="291"/>
      <c r="X330" s="291"/>
      <c r="Y330" s="291"/>
      <c r="Z330" s="291"/>
    </row>
    <row r="331" spans="1:26" ht="14">
      <c r="A331" s="286" t="s">
        <v>7874</v>
      </c>
      <c r="B331" s="286" t="s">
        <v>5036</v>
      </c>
      <c r="C331" s="287">
        <v>502</v>
      </c>
      <c r="D331" s="288" t="s">
        <v>7875</v>
      </c>
      <c r="E331" s="288"/>
      <c r="F331" s="289">
        <v>3017197553</v>
      </c>
      <c r="G331" s="286">
        <v>1032421686</v>
      </c>
      <c r="H331" s="286" t="s">
        <v>7876</v>
      </c>
      <c r="I331" s="291"/>
      <c r="J331" s="291"/>
      <c r="K331" s="291"/>
      <c r="L331" s="291"/>
      <c r="M331" s="291"/>
      <c r="N331" s="291"/>
      <c r="O331" s="291"/>
      <c r="P331" s="291"/>
      <c r="Q331" s="291"/>
      <c r="R331" s="291"/>
      <c r="S331" s="291"/>
      <c r="T331" s="291"/>
      <c r="U331" s="291"/>
      <c r="V331" s="291"/>
      <c r="W331" s="291"/>
      <c r="X331" s="291"/>
      <c r="Y331" s="291"/>
      <c r="Z331" s="291"/>
    </row>
    <row r="332" spans="1:26" ht="21.75" customHeight="1">
      <c r="A332" s="286" t="s">
        <v>7877</v>
      </c>
      <c r="B332" s="286" t="s">
        <v>7878</v>
      </c>
      <c r="C332" s="287">
        <v>802</v>
      </c>
      <c r="D332" s="288" t="s">
        <v>7879</v>
      </c>
      <c r="E332" s="288"/>
      <c r="F332" s="289">
        <v>3106963357</v>
      </c>
      <c r="G332" s="286">
        <v>35461427</v>
      </c>
      <c r="H332" s="286" t="s">
        <v>7880</v>
      </c>
      <c r="I332" s="290">
        <v>46079</v>
      </c>
      <c r="J332" s="291"/>
      <c r="K332" s="291"/>
      <c r="L332" s="291"/>
      <c r="M332" s="291"/>
      <c r="N332" s="291"/>
      <c r="O332" s="291"/>
      <c r="P332" s="291"/>
      <c r="Q332" s="291"/>
      <c r="R332" s="291"/>
      <c r="S332" s="291"/>
      <c r="T332" s="291"/>
      <c r="U332" s="291"/>
      <c r="V332" s="291"/>
      <c r="W332" s="291"/>
      <c r="X332" s="291"/>
      <c r="Y332" s="291"/>
      <c r="Z332" s="291"/>
    </row>
    <row r="333" spans="1:26" ht="14">
      <c r="A333" s="286" t="s">
        <v>28</v>
      </c>
      <c r="B333" s="286" t="s">
        <v>7881</v>
      </c>
      <c r="C333" s="287">
        <v>401</v>
      </c>
      <c r="D333" s="288"/>
      <c r="E333" s="288"/>
      <c r="F333" s="289">
        <v>3142958194</v>
      </c>
      <c r="G333" s="286">
        <v>35456283</v>
      </c>
      <c r="H333" s="286" t="s">
        <v>7882</v>
      </c>
      <c r="I333" s="291"/>
      <c r="J333" s="291"/>
      <c r="K333" s="291"/>
      <c r="L333" s="291"/>
      <c r="M333" s="291"/>
      <c r="N333" s="291"/>
      <c r="O333" s="291"/>
      <c r="P333" s="291"/>
      <c r="Q333" s="291"/>
      <c r="R333" s="291"/>
      <c r="S333" s="291"/>
      <c r="T333" s="291"/>
      <c r="U333" s="291"/>
      <c r="V333" s="291"/>
      <c r="W333" s="291"/>
      <c r="X333" s="291"/>
      <c r="Y333" s="291"/>
      <c r="Z333" s="291"/>
    </row>
    <row r="334" spans="1:26" ht="14">
      <c r="A334" s="286" t="s">
        <v>57</v>
      </c>
      <c r="B334" s="286" t="s">
        <v>7883</v>
      </c>
      <c r="C334" s="287">
        <v>702</v>
      </c>
      <c r="D334" s="288" t="s">
        <v>3931</v>
      </c>
      <c r="E334" s="288"/>
      <c r="F334" s="289">
        <v>3134246516</v>
      </c>
      <c r="G334" s="286">
        <v>38256868</v>
      </c>
      <c r="H334" s="286" t="s">
        <v>7884</v>
      </c>
      <c r="I334" s="291"/>
      <c r="J334" s="291"/>
      <c r="K334" s="291"/>
      <c r="L334" s="291"/>
      <c r="M334" s="291"/>
      <c r="N334" s="291"/>
      <c r="O334" s="291"/>
      <c r="P334" s="291"/>
      <c r="Q334" s="291"/>
      <c r="R334" s="291"/>
      <c r="S334" s="291"/>
      <c r="T334" s="291"/>
      <c r="U334" s="291"/>
      <c r="V334" s="291"/>
      <c r="W334" s="291"/>
      <c r="X334" s="291"/>
      <c r="Y334" s="291"/>
      <c r="Z334" s="291"/>
    </row>
    <row r="335" spans="1:26" ht="14">
      <c r="A335" s="286" t="s">
        <v>741</v>
      </c>
      <c r="B335" s="286" t="s">
        <v>7885</v>
      </c>
      <c r="C335" s="287">
        <v>203</v>
      </c>
      <c r="D335" s="288"/>
      <c r="E335" s="288"/>
      <c r="F335" s="289">
        <v>3012354848</v>
      </c>
      <c r="G335" s="286">
        <v>1020742572</v>
      </c>
      <c r="H335" s="286" t="s">
        <v>7886</v>
      </c>
      <c r="I335" s="290">
        <v>45689</v>
      </c>
      <c r="J335" s="291"/>
      <c r="K335" s="291"/>
      <c r="L335" s="291"/>
      <c r="M335" s="291"/>
      <c r="N335" s="291"/>
      <c r="O335" s="291"/>
      <c r="P335" s="291"/>
      <c r="Q335" s="291"/>
      <c r="R335" s="291"/>
      <c r="S335" s="291"/>
      <c r="T335" s="291"/>
      <c r="U335" s="291"/>
      <c r="V335" s="291"/>
      <c r="W335" s="291"/>
      <c r="X335" s="291"/>
      <c r="Y335" s="291"/>
      <c r="Z335" s="291"/>
    </row>
    <row r="336" spans="1:26" ht="14">
      <c r="A336" s="286" t="s">
        <v>7887</v>
      </c>
      <c r="B336" s="286" t="s">
        <v>5263</v>
      </c>
      <c r="C336" s="287">
        <v>702</v>
      </c>
      <c r="D336" s="288"/>
      <c r="E336" s="288"/>
      <c r="F336" s="289">
        <v>3102203112</v>
      </c>
      <c r="G336" s="286"/>
      <c r="H336" s="286" t="s">
        <v>7888</v>
      </c>
      <c r="I336" s="290">
        <v>46079</v>
      </c>
      <c r="J336" s="291"/>
      <c r="K336" s="291"/>
      <c r="L336" s="291"/>
      <c r="M336" s="291"/>
      <c r="N336" s="291"/>
      <c r="O336" s="291"/>
      <c r="P336" s="291"/>
      <c r="Q336" s="291"/>
      <c r="R336" s="291"/>
      <c r="S336" s="291"/>
      <c r="T336" s="291"/>
      <c r="U336" s="291"/>
      <c r="V336" s="291"/>
      <c r="W336" s="291"/>
      <c r="X336" s="291"/>
      <c r="Y336" s="291"/>
      <c r="Z336" s="291"/>
    </row>
    <row r="337" spans="1:26" ht="14">
      <c r="A337" s="286" t="s">
        <v>2620</v>
      </c>
      <c r="B337" s="286" t="s">
        <v>7889</v>
      </c>
      <c r="C337" s="287">
        <v>301</v>
      </c>
      <c r="D337" s="288"/>
      <c r="E337" s="288"/>
      <c r="F337" s="289">
        <v>3102239353</v>
      </c>
      <c r="G337" s="286">
        <v>39686072</v>
      </c>
      <c r="H337" s="286" t="s">
        <v>7890</v>
      </c>
      <c r="I337" s="291"/>
      <c r="J337" s="291"/>
      <c r="K337" s="291"/>
      <c r="L337" s="291"/>
      <c r="M337" s="291"/>
      <c r="N337" s="291"/>
      <c r="O337" s="291"/>
      <c r="P337" s="291"/>
      <c r="Q337" s="291"/>
      <c r="R337" s="291"/>
      <c r="S337" s="291"/>
      <c r="T337" s="291"/>
      <c r="U337" s="291"/>
      <c r="V337" s="291"/>
      <c r="W337" s="291"/>
      <c r="X337" s="291"/>
      <c r="Y337" s="291"/>
      <c r="Z337" s="291"/>
    </row>
    <row r="338" spans="1:26" ht="14">
      <c r="A338" s="286" t="s">
        <v>7891</v>
      </c>
      <c r="B338" s="286" t="s">
        <v>7892</v>
      </c>
      <c r="C338" s="287">
        <v>302</v>
      </c>
      <c r="D338" s="288"/>
      <c r="E338" s="288"/>
      <c r="F338" s="289">
        <v>3185896105</v>
      </c>
      <c r="G338" s="286">
        <v>21070680</v>
      </c>
      <c r="H338" s="286" t="s">
        <v>7893</v>
      </c>
      <c r="I338" s="290">
        <v>46079</v>
      </c>
      <c r="J338" s="291"/>
      <c r="K338" s="291"/>
      <c r="L338" s="291"/>
      <c r="M338" s="291"/>
      <c r="N338" s="291"/>
      <c r="O338" s="291"/>
      <c r="P338" s="291"/>
      <c r="Q338" s="291"/>
      <c r="R338" s="291"/>
      <c r="S338" s="291"/>
      <c r="T338" s="291"/>
      <c r="U338" s="291"/>
      <c r="V338" s="291"/>
      <c r="W338" s="291"/>
      <c r="X338" s="291"/>
      <c r="Y338" s="291"/>
      <c r="Z338" s="291"/>
    </row>
    <row r="339" spans="1:26" ht="14">
      <c r="A339" s="286" t="s">
        <v>7894</v>
      </c>
      <c r="B339" s="286" t="s">
        <v>7895</v>
      </c>
      <c r="C339" s="287">
        <v>302</v>
      </c>
      <c r="D339" s="288"/>
      <c r="E339" s="288"/>
      <c r="F339" s="289">
        <v>3108662893</v>
      </c>
      <c r="G339" s="286">
        <v>39688637</v>
      </c>
      <c r="H339" s="286" t="s">
        <v>7896</v>
      </c>
      <c r="I339" s="290">
        <v>46079</v>
      </c>
      <c r="J339" s="291"/>
      <c r="K339" s="291"/>
      <c r="L339" s="291"/>
      <c r="M339" s="291"/>
      <c r="N339" s="291"/>
      <c r="O339" s="291"/>
      <c r="P339" s="291"/>
      <c r="Q339" s="291"/>
      <c r="R339" s="291"/>
      <c r="S339" s="291"/>
      <c r="T339" s="291"/>
      <c r="U339" s="291"/>
      <c r="V339" s="291"/>
      <c r="W339" s="291"/>
      <c r="X339" s="291"/>
      <c r="Y339" s="291"/>
      <c r="Z339" s="291"/>
    </row>
    <row r="340" spans="1:26" ht="18.75" customHeight="1">
      <c r="A340" s="286" t="s">
        <v>1375</v>
      </c>
      <c r="B340" s="286" t="s">
        <v>7897</v>
      </c>
      <c r="C340" s="287">
        <v>703</v>
      </c>
      <c r="D340" s="288" t="s">
        <v>7898</v>
      </c>
      <c r="E340" s="288"/>
      <c r="F340" s="289">
        <v>3164633814</v>
      </c>
      <c r="G340" s="286">
        <v>1020736669</v>
      </c>
      <c r="H340" s="286" t="s">
        <v>7899</v>
      </c>
      <c r="I340" s="291"/>
      <c r="J340" s="291"/>
      <c r="K340" s="291"/>
      <c r="L340" s="291"/>
      <c r="M340" s="291"/>
      <c r="N340" s="291"/>
      <c r="O340" s="291"/>
      <c r="P340" s="291"/>
      <c r="Q340" s="291"/>
      <c r="R340" s="291"/>
      <c r="S340" s="291"/>
      <c r="T340" s="291"/>
      <c r="U340" s="291"/>
      <c r="V340" s="291"/>
      <c r="W340" s="291"/>
      <c r="X340" s="291"/>
      <c r="Y340" s="291"/>
      <c r="Z340" s="291"/>
    </row>
    <row r="341" spans="1:26" ht="14">
      <c r="A341" s="286" t="s">
        <v>7900</v>
      </c>
      <c r="B341" s="286" t="s">
        <v>7901</v>
      </c>
      <c r="C341" s="287">
        <v>501</v>
      </c>
      <c r="D341" s="288" t="s">
        <v>7902</v>
      </c>
      <c r="E341" s="288" t="s">
        <v>7903</v>
      </c>
      <c r="F341" s="289">
        <v>3132089708</v>
      </c>
      <c r="G341" s="286">
        <v>21070902</v>
      </c>
      <c r="H341" s="286" t="s">
        <v>7904</v>
      </c>
      <c r="I341" s="290">
        <v>46079</v>
      </c>
      <c r="J341" s="291"/>
      <c r="K341" s="291"/>
      <c r="L341" s="291"/>
      <c r="M341" s="291"/>
      <c r="N341" s="291"/>
      <c r="O341" s="291"/>
      <c r="P341" s="291"/>
      <c r="Q341" s="291"/>
      <c r="R341" s="291"/>
      <c r="S341" s="291"/>
      <c r="T341" s="291"/>
      <c r="U341" s="291"/>
      <c r="V341" s="291"/>
      <c r="W341" s="291"/>
      <c r="X341" s="291"/>
      <c r="Y341" s="291"/>
      <c r="Z341" s="291"/>
    </row>
    <row r="342" spans="1:26" ht="14">
      <c r="A342" s="286" t="s">
        <v>7905</v>
      </c>
      <c r="B342" s="286" t="s">
        <v>7906</v>
      </c>
      <c r="C342" s="287">
        <v>401</v>
      </c>
      <c r="D342" s="288"/>
      <c r="E342" s="288"/>
      <c r="F342" s="289">
        <v>3206798079</v>
      </c>
      <c r="G342" s="298">
        <v>1070010822</v>
      </c>
      <c r="H342" s="286" t="s">
        <v>7907</v>
      </c>
      <c r="I342" s="291"/>
      <c r="J342" s="291"/>
      <c r="K342" s="291"/>
      <c r="L342" s="291"/>
      <c r="M342" s="291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</row>
    <row r="343" spans="1:26" ht="14">
      <c r="A343" s="286" t="s">
        <v>352</v>
      </c>
      <c r="B343" s="286" t="s">
        <v>7908</v>
      </c>
      <c r="C343" s="287">
        <v>604</v>
      </c>
      <c r="D343" s="288"/>
      <c r="E343" s="288"/>
      <c r="F343" s="289">
        <v>3102131792</v>
      </c>
      <c r="G343" s="286">
        <v>39681704</v>
      </c>
      <c r="H343" s="286" t="s">
        <v>7909</v>
      </c>
      <c r="I343" s="291"/>
      <c r="J343" s="291"/>
      <c r="K343" s="291"/>
      <c r="L343" s="291"/>
      <c r="M343" s="291"/>
      <c r="N343" s="291"/>
      <c r="O343" s="291"/>
      <c r="P343" s="291"/>
      <c r="Q343" s="291"/>
      <c r="R343" s="291"/>
      <c r="S343" s="291"/>
      <c r="T343" s="291"/>
      <c r="U343" s="291"/>
      <c r="V343" s="291"/>
      <c r="W343" s="291"/>
      <c r="X343" s="291"/>
      <c r="Y343" s="291"/>
      <c r="Z343" s="291"/>
    </row>
    <row r="344" spans="1:26" ht="14">
      <c r="A344" s="286" t="s">
        <v>356</v>
      </c>
      <c r="B344" s="286" t="s">
        <v>7910</v>
      </c>
      <c r="C344" s="287">
        <v>302</v>
      </c>
      <c r="D344" s="288" t="s">
        <v>7911</v>
      </c>
      <c r="E344" s="288"/>
      <c r="F344" s="289">
        <v>3164148459</v>
      </c>
      <c r="G344" s="286">
        <v>1020753244</v>
      </c>
      <c r="H344" s="286" t="s">
        <v>7912</v>
      </c>
      <c r="I344" s="291"/>
      <c r="J344" s="291"/>
      <c r="K344" s="291"/>
      <c r="L344" s="291"/>
      <c r="M344" s="291"/>
      <c r="N344" s="291"/>
      <c r="O344" s="291"/>
      <c r="P344" s="291"/>
      <c r="Q344" s="291"/>
      <c r="R344" s="291"/>
      <c r="S344" s="291"/>
      <c r="T344" s="291"/>
      <c r="U344" s="291"/>
      <c r="V344" s="291"/>
      <c r="W344" s="291"/>
      <c r="X344" s="291"/>
      <c r="Y344" s="291"/>
      <c r="Z344" s="291"/>
    </row>
    <row r="345" spans="1:26" ht="14">
      <c r="A345" s="286" t="s">
        <v>7913</v>
      </c>
      <c r="B345" s="286" t="s">
        <v>7914</v>
      </c>
      <c r="C345" s="287" t="s">
        <v>7915</v>
      </c>
      <c r="D345" s="288"/>
      <c r="E345" s="288"/>
      <c r="F345" s="289">
        <v>3103049806</v>
      </c>
      <c r="G345" s="286">
        <v>51720138</v>
      </c>
      <c r="H345" s="286" t="s">
        <v>7916</v>
      </c>
      <c r="I345" s="290">
        <v>46079</v>
      </c>
      <c r="J345" s="291"/>
      <c r="K345" s="291"/>
      <c r="L345" s="291"/>
      <c r="M345" s="291"/>
      <c r="N345" s="291"/>
      <c r="O345" s="291"/>
      <c r="P345" s="291"/>
      <c r="Q345" s="291"/>
      <c r="R345" s="291"/>
      <c r="S345" s="291"/>
      <c r="T345" s="291"/>
      <c r="U345" s="291"/>
      <c r="V345" s="291"/>
      <c r="W345" s="291"/>
      <c r="X345" s="291"/>
      <c r="Y345" s="291"/>
      <c r="Z345" s="291"/>
    </row>
    <row r="346" spans="1:26" ht="14">
      <c r="A346" s="286" t="s">
        <v>126</v>
      </c>
      <c r="B346" s="286" t="s">
        <v>7917</v>
      </c>
      <c r="C346" s="287">
        <v>203</v>
      </c>
      <c r="D346" s="288" t="s">
        <v>7918</v>
      </c>
      <c r="E346" s="288"/>
      <c r="F346" s="289">
        <v>3185498977</v>
      </c>
      <c r="G346" s="286">
        <v>1129579312</v>
      </c>
      <c r="H346" s="286" t="s">
        <v>7919</v>
      </c>
      <c r="I346" s="291"/>
      <c r="J346" s="291"/>
      <c r="K346" s="291"/>
      <c r="L346" s="291"/>
      <c r="M346" s="291"/>
      <c r="N346" s="291"/>
      <c r="O346" s="291"/>
      <c r="P346" s="291"/>
      <c r="Q346" s="291"/>
      <c r="R346" s="291"/>
      <c r="S346" s="291"/>
      <c r="T346" s="291"/>
      <c r="U346" s="291"/>
      <c r="V346" s="291"/>
      <c r="W346" s="291"/>
      <c r="X346" s="291"/>
      <c r="Y346" s="291"/>
      <c r="Z346" s="291"/>
    </row>
    <row r="347" spans="1:26" ht="14">
      <c r="A347" s="286" t="s">
        <v>7920</v>
      </c>
      <c r="B347" s="286" t="s">
        <v>7921</v>
      </c>
      <c r="C347" s="287">
        <v>604</v>
      </c>
      <c r="D347" s="288" t="s">
        <v>7922</v>
      </c>
      <c r="E347" s="288"/>
      <c r="F347" s="289">
        <v>3176366872</v>
      </c>
      <c r="G347" s="286">
        <v>1075258362</v>
      </c>
      <c r="H347" s="286" t="s">
        <v>7923</v>
      </c>
      <c r="I347" s="290">
        <v>46079</v>
      </c>
      <c r="J347" s="291"/>
      <c r="K347" s="291"/>
      <c r="L347" s="291"/>
      <c r="M347" s="291"/>
      <c r="N347" s="291"/>
      <c r="O347" s="291"/>
      <c r="P347" s="291"/>
      <c r="Q347" s="291"/>
      <c r="R347" s="291"/>
      <c r="S347" s="291"/>
      <c r="T347" s="291"/>
      <c r="U347" s="291"/>
      <c r="V347" s="291"/>
      <c r="W347" s="291"/>
      <c r="X347" s="291"/>
      <c r="Y347" s="291"/>
      <c r="Z347" s="291"/>
    </row>
    <row r="348" spans="1:26" ht="14">
      <c r="A348" s="286" t="s">
        <v>7924</v>
      </c>
      <c r="B348" s="286" t="s">
        <v>7925</v>
      </c>
      <c r="C348" s="287"/>
      <c r="D348" s="288" t="s">
        <v>7926</v>
      </c>
      <c r="E348" s="288" t="s">
        <v>7189</v>
      </c>
      <c r="F348" s="289">
        <v>3108564967</v>
      </c>
      <c r="G348" s="286">
        <v>1020749141</v>
      </c>
      <c r="H348" s="286" t="s">
        <v>7927</v>
      </c>
      <c r="I348" s="290">
        <v>46079</v>
      </c>
      <c r="J348" s="291"/>
      <c r="K348" s="291"/>
      <c r="L348" s="291"/>
      <c r="M348" s="291"/>
      <c r="N348" s="291"/>
      <c r="O348" s="291"/>
      <c r="P348" s="291"/>
      <c r="Q348" s="291"/>
      <c r="R348" s="291"/>
      <c r="S348" s="291"/>
      <c r="T348" s="291"/>
      <c r="U348" s="291"/>
      <c r="V348" s="291"/>
      <c r="W348" s="291"/>
      <c r="X348" s="291"/>
      <c r="Y348" s="291"/>
      <c r="Z348" s="291"/>
    </row>
    <row r="349" spans="1:26" ht="21.75" customHeight="1">
      <c r="A349" s="286" t="s">
        <v>7928</v>
      </c>
      <c r="B349" s="286" t="s">
        <v>7929</v>
      </c>
      <c r="C349" s="287">
        <v>504</v>
      </c>
      <c r="D349" s="288"/>
      <c r="E349" s="288"/>
      <c r="F349" s="289">
        <v>3208384964</v>
      </c>
      <c r="G349" s="286">
        <v>22493600</v>
      </c>
      <c r="H349" s="286" t="s">
        <v>7930</v>
      </c>
      <c r="I349" s="290">
        <v>46079</v>
      </c>
      <c r="J349" s="291"/>
      <c r="K349" s="291"/>
      <c r="L349" s="291"/>
      <c r="M349" s="291"/>
      <c r="N349" s="291"/>
      <c r="O349" s="291"/>
      <c r="P349" s="291"/>
      <c r="Q349" s="291"/>
      <c r="R349" s="291"/>
      <c r="S349" s="291"/>
      <c r="T349" s="291"/>
      <c r="U349" s="291"/>
      <c r="V349" s="291"/>
      <c r="W349" s="291"/>
      <c r="X349" s="291"/>
      <c r="Y349" s="291"/>
      <c r="Z349" s="291"/>
    </row>
    <row r="350" spans="1:26" ht="14">
      <c r="A350" s="286" t="s">
        <v>7931</v>
      </c>
      <c r="B350" s="286" t="s">
        <v>4471</v>
      </c>
      <c r="C350" s="287">
        <v>301</v>
      </c>
      <c r="D350" s="288"/>
      <c r="E350" s="288"/>
      <c r="F350" s="289">
        <v>3177059436</v>
      </c>
      <c r="G350" s="286">
        <v>52865953</v>
      </c>
      <c r="H350" s="286" t="s">
        <v>7932</v>
      </c>
      <c r="I350" s="290">
        <v>46079</v>
      </c>
      <c r="J350" s="291"/>
      <c r="K350" s="291"/>
      <c r="L350" s="291"/>
      <c r="M350" s="291"/>
      <c r="N350" s="291"/>
      <c r="O350" s="291"/>
      <c r="P350" s="291"/>
      <c r="Q350" s="291"/>
      <c r="R350" s="291"/>
      <c r="S350" s="291"/>
      <c r="T350" s="291"/>
      <c r="U350" s="291"/>
      <c r="V350" s="291"/>
      <c r="W350" s="291"/>
      <c r="X350" s="291"/>
      <c r="Y350" s="291"/>
      <c r="Z350" s="291"/>
    </row>
    <row r="351" spans="1:26" ht="14">
      <c r="A351" s="286" t="s">
        <v>117</v>
      </c>
      <c r="B351" s="286" t="s">
        <v>7933</v>
      </c>
      <c r="C351" s="287">
        <v>101</v>
      </c>
      <c r="D351" s="288" t="s">
        <v>7934</v>
      </c>
      <c r="E351" s="288"/>
      <c r="F351" s="289">
        <v>3165256753</v>
      </c>
      <c r="G351" s="286">
        <v>1020761035</v>
      </c>
      <c r="H351" s="286" t="s">
        <v>7935</v>
      </c>
      <c r="I351" s="291"/>
      <c r="J351" s="291"/>
      <c r="K351" s="291"/>
      <c r="L351" s="291"/>
      <c r="M351" s="291"/>
      <c r="N351" s="291"/>
      <c r="O351" s="291"/>
      <c r="P351" s="291"/>
      <c r="Q351" s="291"/>
      <c r="R351" s="291"/>
      <c r="S351" s="291"/>
      <c r="T351" s="291"/>
      <c r="U351" s="291"/>
      <c r="V351" s="291"/>
      <c r="W351" s="291"/>
      <c r="X351" s="291"/>
      <c r="Y351" s="291"/>
      <c r="Z351" s="291"/>
    </row>
    <row r="352" spans="1:26" ht="14">
      <c r="A352" s="286" t="s">
        <v>7936</v>
      </c>
      <c r="B352" s="286" t="s">
        <v>7937</v>
      </c>
      <c r="C352" s="287">
        <v>301</v>
      </c>
      <c r="D352" s="288" t="s">
        <v>7938</v>
      </c>
      <c r="E352" s="288"/>
      <c r="F352" s="289">
        <v>3124422041</v>
      </c>
      <c r="G352" s="286">
        <v>52692865</v>
      </c>
      <c r="H352" s="286" t="s">
        <v>7939</v>
      </c>
      <c r="I352" s="290">
        <v>46079</v>
      </c>
      <c r="J352" s="291"/>
      <c r="K352" s="291"/>
      <c r="L352" s="291"/>
      <c r="M352" s="291"/>
      <c r="N352" s="291"/>
      <c r="O352" s="291"/>
      <c r="P352" s="291"/>
      <c r="Q352" s="291"/>
      <c r="R352" s="291"/>
      <c r="S352" s="291"/>
      <c r="T352" s="291"/>
      <c r="U352" s="291"/>
      <c r="V352" s="291"/>
      <c r="W352" s="291"/>
      <c r="X352" s="291"/>
      <c r="Y352" s="291"/>
      <c r="Z352" s="291"/>
    </row>
    <row r="353" spans="1:26" ht="14">
      <c r="A353" s="286" t="s">
        <v>2381</v>
      </c>
      <c r="B353" s="286" t="s">
        <v>7940</v>
      </c>
      <c r="C353" s="287">
        <v>314</v>
      </c>
      <c r="D353" s="288" t="s">
        <v>7941</v>
      </c>
      <c r="E353" s="288" t="s">
        <v>7808</v>
      </c>
      <c r="F353" s="289">
        <v>3125832885</v>
      </c>
      <c r="G353" s="286"/>
      <c r="H353" s="286" t="s">
        <v>7942</v>
      </c>
      <c r="I353" s="290">
        <v>46079</v>
      </c>
      <c r="J353" s="291"/>
      <c r="K353" s="291"/>
      <c r="L353" s="291"/>
      <c r="M353" s="291"/>
      <c r="N353" s="291"/>
      <c r="O353" s="291"/>
      <c r="P353" s="291"/>
      <c r="Q353" s="291"/>
      <c r="R353" s="291"/>
      <c r="S353" s="291"/>
      <c r="T353" s="291"/>
      <c r="U353" s="291"/>
      <c r="V353" s="291"/>
      <c r="W353" s="291"/>
      <c r="X353" s="291"/>
      <c r="Y353" s="291"/>
      <c r="Z353" s="291"/>
    </row>
    <row r="354" spans="1:26" ht="14">
      <c r="A354" s="286" t="s">
        <v>87</v>
      </c>
      <c r="B354" s="286" t="s">
        <v>7943</v>
      </c>
      <c r="C354" s="287">
        <v>901</v>
      </c>
      <c r="D354" s="288"/>
      <c r="E354" s="288"/>
      <c r="F354" s="289">
        <v>3143700283</v>
      </c>
      <c r="G354" s="286">
        <v>52536864</v>
      </c>
      <c r="H354" s="286" t="s">
        <v>7944</v>
      </c>
      <c r="I354" s="291"/>
      <c r="J354" s="291"/>
      <c r="K354" s="291"/>
      <c r="L354" s="291"/>
      <c r="M354" s="291"/>
      <c r="N354" s="291"/>
      <c r="O354" s="291"/>
      <c r="P354" s="291"/>
      <c r="Q354" s="291"/>
      <c r="R354" s="291"/>
      <c r="S354" s="291"/>
      <c r="T354" s="291"/>
      <c r="U354" s="291"/>
      <c r="V354" s="291"/>
      <c r="W354" s="291"/>
      <c r="X354" s="291"/>
      <c r="Y354" s="291"/>
      <c r="Z354" s="291"/>
    </row>
    <row r="355" spans="1:26" ht="14">
      <c r="A355" s="286" t="s">
        <v>7945</v>
      </c>
      <c r="B355" s="286" t="s">
        <v>7946</v>
      </c>
      <c r="C355" s="287">
        <v>416</v>
      </c>
      <c r="D355" s="288" t="s">
        <v>7947</v>
      </c>
      <c r="E355" s="288"/>
      <c r="F355" s="289">
        <v>3138282474</v>
      </c>
      <c r="G355" s="286">
        <v>39773341</v>
      </c>
      <c r="H355" s="286" t="s">
        <v>7948</v>
      </c>
      <c r="I355" s="290">
        <v>46079</v>
      </c>
      <c r="J355" s="291"/>
      <c r="K355" s="291"/>
      <c r="L355" s="291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</row>
    <row r="356" spans="1:26" ht="14">
      <c r="A356" s="286" t="s">
        <v>60</v>
      </c>
      <c r="B356" s="286" t="s">
        <v>7949</v>
      </c>
      <c r="C356" s="287">
        <v>601</v>
      </c>
      <c r="D356" s="288"/>
      <c r="E356" s="288"/>
      <c r="F356" s="289">
        <v>3138159236</v>
      </c>
      <c r="G356" s="286">
        <v>1032360205</v>
      </c>
      <c r="H356" s="286" t="s">
        <v>7950</v>
      </c>
      <c r="I356" s="291"/>
      <c r="J356" s="291"/>
      <c r="K356" s="291"/>
      <c r="L356" s="291"/>
      <c r="M356" s="291"/>
      <c r="N356" s="291"/>
      <c r="O356" s="291"/>
      <c r="P356" s="291"/>
      <c r="Q356" s="291"/>
      <c r="R356" s="291"/>
      <c r="S356" s="291"/>
      <c r="T356" s="291"/>
      <c r="U356" s="291"/>
      <c r="V356" s="291"/>
      <c r="W356" s="291"/>
      <c r="X356" s="291"/>
      <c r="Y356" s="291"/>
      <c r="Z356" s="291"/>
    </row>
    <row r="357" spans="1:26" ht="14">
      <c r="A357" s="286" t="s">
        <v>7951</v>
      </c>
      <c r="B357" s="286" t="s">
        <v>7952</v>
      </c>
      <c r="C357" s="287">
        <v>1035</v>
      </c>
      <c r="D357" s="288" t="s">
        <v>7953</v>
      </c>
      <c r="E357" s="288"/>
      <c r="F357" s="289">
        <v>3209024490</v>
      </c>
      <c r="G357" s="286">
        <v>1130623738</v>
      </c>
      <c r="H357" s="286" t="s">
        <v>7954</v>
      </c>
      <c r="I357" s="290">
        <v>46079</v>
      </c>
      <c r="J357" s="291"/>
      <c r="K357" s="291"/>
      <c r="L357" s="291"/>
      <c r="M357" s="291"/>
      <c r="N357" s="291"/>
      <c r="O357" s="291"/>
      <c r="P357" s="291"/>
      <c r="Q357" s="291"/>
      <c r="R357" s="291"/>
      <c r="S357" s="291"/>
      <c r="T357" s="291"/>
      <c r="U357" s="291"/>
      <c r="V357" s="291"/>
      <c r="W357" s="291"/>
      <c r="X357" s="291"/>
      <c r="Y357" s="291"/>
      <c r="Z357" s="291"/>
    </row>
    <row r="358" spans="1:26" ht="14">
      <c r="A358" s="286" t="s">
        <v>7955</v>
      </c>
      <c r="B358" s="286" t="s">
        <v>7956</v>
      </c>
      <c r="C358" s="287">
        <v>407</v>
      </c>
      <c r="D358" s="288" t="s">
        <v>7957</v>
      </c>
      <c r="E358" s="288"/>
      <c r="F358" s="289">
        <v>3105728152</v>
      </c>
      <c r="G358" s="286">
        <v>64548669</v>
      </c>
      <c r="H358" s="286" t="s">
        <v>7958</v>
      </c>
      <c r="I358" s="290">
        <v>46079</v>
      </c>
      <c r="J358" s="291"/>
      <c r="K358" s="291"/>
      <c r="L358" s="291"/>
      <c r="M358" s="291"/>
      <c r="N358" s="291"/>
      <c r="O358" s="291"/>
      <c r="P358" s="291"/>
      <c r="Q358" s="291"/>
      <c r="R358" s="291"/>
      <c r="S358" s="291"/>
      <c r="T358" s="291"/>
      <c r="U358" s="291"/>
      <c r="V358" s="291"/>
      <c r="W358" s="291"/>
      <c r="X358" s="291"/>
      <c r="Y358" s="291"/>
      <c r="Z358" s="291"/>
    </row>
    <row r="359" spans="1:26" ht="14">
      <c r="A359" s="286" t="s">
        <v>7959</v>
      </c>
      <c r="B359" s="286" t="s">
        <v>7960</v>
      </c>
      <c r="C359" s="287">
        <v>513</v>
      </c>
      <c r="D359" s="288"/>
      <c r="E359" s="288"/>
      <c r="F359" s="289">
        <v>3012229440</v>
      </c>
      <c r="G359" s="286">
        <v>57463588</v>
      </c>
      <c r="H359" s="286" t="s">
        <v>7961</v>
      </c>
      <c r="I359" s="290">
        <v>46079</v>
      </c>
      <c r="J359" s="291"/>
      <c r="K359" s="291"/>
      <c r="L359" s="291"/>
      <c r="M359" s="291"/>
      <c r="N359" s="291"/>
      <c r="O359" s="291"/>
      <c r="P359" s="291"/>
      <c r="Q359" s="291"/>
      <c r="R359" s="291"/>
      <c r="S359" s="291"/>
      <c r="T359" s="291"/>
      <c r="U359" s="291"/>
      <c r="V359" s="291"/>
      <c r="W359" s="291"/>
      <c r="X359" s="291"/>
      <c r="Y359" s="291"/>
      <c r="Z359" s="291"/>
    </row>
    <row r="360" spans="1:26" ht="14">
      <c r="A360" s="286" t="s">
        <v>7962</v>
      </c>
      <c r="B360" s="286" t="s">
        <v>7963</v>
      </c>
      <c r="C360" s="287"/>
      <c r="D360" s="288"/>
      <c r="E360" s="288"/>
      <c r="F360" s="289">
        <v>3106998689</v>
      </c>
      <c r="G360" s="286">
        <v>1020726294</v>
      </c>
      <c r="H360" s="286" t="s">
        <v>7964</v>
      </c>
      <c r="I360" s="290">
        <v>46079</v>
      </c>
      <c r="J360" s="291"/>
      <c r="K360" s="291"/>
      <c r="L360" s="291"/>
      <c r="M360" s="291"/>
      <c r="N360" s="291"/>
      <c r="O360" s="291"/>
      <c r="P360" s="291"/>
      <c r="Q360" s="291"/>
      <c r="R360" s="291"/>
      <c r="S360" s="291"/>
      <c r="T360" s="291"/>
      <c r="U360" s="291"/>
      <c r="V360" s="291"/>
      <c r="W360" s="291"/>
      <c r="X360" s="291"/>
      <c r="Y360" s="291"/>
      <c r="Z360" s="291"/>
    </row>
    <row r="361" spans="1:26" ht="14">
      <c r="A361" s="286" t="s">
        <v>7965</v>
      </c>
      <c r="B361" s="286" t="s">
        <v>7966</v>
      </c>
      <c r="C361" s="287">
        <v>201</v>
      </c>
      <c r="D361" s="288" t="s">
        <v>7967</v>
      </c>
      <c r="E361" s="288"/>
      <c r="F361" s="289">
        <v>3168309475</v>
      </c>
      <c r="G361" s="286">
        <v>60305842</v>
      </c>
      <c r="H361" s="286" t="s">
        <v>7968</v>
      </c>
      <c r="I361" s="291"/>
      <c r="J361" s="291"/>
      <c r="K361" s="291"/>
      <c r="L361" s="291"/>
      <c r="M361" s="291"/>
      <c r="N361" s="291"/>
      <c r="O361" s="291"/>
      <c r="P361" s="291"/>
      <c r="Q361" s="291"/>
      <c r="R361" s="291"/>
      <c r="S361" s="291"/>
      <c r="T361" s="291"/>
      <c r="U361" s="291"/>
      <c r="V361" s="291"/>
      <c r="W361" s="291"/>
      <c r="X361" s="291"/>
      <c r="Y361" s="291"/>
      <c r="Z361" s="291"/>
    </row>
    <row r="362" spans="1:26" ht="14">
      <c r="A362" s="286" t="s">
        <v>478</v>
      </c>
      <c r="B362" s="286" t="s">
        <v>7969</v>
      </c>
      <c r="C362" s="287">
        <v>1507</v>
      </c>
      <c r="D362" s="288" t="s">
        <v>7970</v>
      </c>
      <c r="E362" s="288"/>
      <c r="F362" s="289">
        <v>3142353966</v>
      </c>
      <c r="G362" s="286">
        <v>1019072350</v>
      </c>
      <c r="H362" s="286" t="s">
        <v>7971</v>
      </c>
      <c r="I362" s="291"/>
      <c r="J362" s="291"/>
      <c r="K362" s="291"/>
      <c r="L362" s="291"/>
      <c r="M362" s="291"/>
      <c r="N362" s="291"/>
      <c r="O362" s="291"/>
      <c r="P362" s="291"/>
      <c r="Q362" s="291"/>
      <c r="R362" s="291"/>
      <c r="S362" s="291"/>
      <c r="T362" s="291"/>
      <c r="U362" s="291"/>
      <c r="V362" s="291"/>
      <c r="W362" s="291"/>
      <c r="X362" s="291"/>
      <c r="Y362" s="291"/>
      <c r="Z362" s="291"/>
    </row>
    <row r="363" spans="1:26" ht="23.25" customHeight="1">
      <c r="A363" s="286" t="s">
        <v>49</v>
      </c>
      <c r="B363" s="286" t="s">
        <v>7972</v>
      </c>
      <c r="C363" s="287">
        <v>108</v>
      </c>
      <c r="D363" s="288" t="s">
        <v>7973</v>
      </c>
      <c r="E363" s="288"/>
      <c r="F363" s="289">
        <v>3002120172</v>
      </c>
      <c r="G363" s="286">
        <v>51778332</v>
      </c>
      <c r="H363" s="286" t="s">
        <v>7974</v>
      </c>
      <c r="I363" s="291"/>
      <c r="J363" s="291"/>
      <c r="K363" s="291"/>
      <c r="L363" s="291"/>
      <c r="M363" s="291"/>
      <c r="N363" s="291"/>
      <c r="O363" s="291"/>
      <c r="P363" s="291"/>
      <c r="Q363" s="291"/>
      <c r="R363" s="291"/>
      <c r="S363" s="291"/>
      <c r="T363" s="291"/>
      <c r="U363" s="291"/>
      <c r="V363" s="291"/>
      <c r="W363" s="291"/>
      <c r="X363" s="291"/>
      <c r="Y363" s="291"/>
      <c r="Z363" s="291"/>
    </row>
    <row r="364" spans="1:26" ht="14">
      <c r="A364" s="286" t="s">
        <v>7975</v>
      </c>
      <c r="B364" s="286" t="s">
        <v>7976</v>
      </c>
      <c r="C364" s="287">
        <v>402</v>
      </c>
      <c r="D364" s="288"/>
      <c r="E364" s="288"/>
      <c r="F364" s="289">
        <v>3013790274</v>
      </c>
      <c r="G364" s="286">
        <v>1013599961</v>
      </c>
      <c r="H364" s="286" t="s">
        <v>7977</v>
      </c>
      <c r="I364" s="290">
        <v>46079</v>
      </c>
      <c r="J364" s="291"/>
      <c r="K364" s="291"/>
      <c r="L364" s="291"/>
      <c r="M364" s="291"/>
      <c r="N364" s="291"/>
      <c r="O364" s="291"/>
      <c r="P364" s="291"/>
      <c r="Q364" s="291"/>
      <c r="R364" s="291"/>
      <c r="S364" s="291"/>
      <c r="T364" s="291"/>
      <c r="U364" s="291"/>
      <c r="V364" s="291"/>
      <c r="W364" s="291"/>
      <c r="X364" s="291"/>
      <c r="Y364" s="291"/>
      <c r="Z364" s="291"/>
    </row>
    <row r="365" spans="1:26" ht="14">
      <c r="A365" s="286" t="s">
        <v>7978</v>
      </c>
      <c r="B365" s="286" t="s">
        <v>7979</v>
      </c>
      <c r="C365" s="287">
        <v>404</v>
      </c>
      <c r="D365" s="288" t="s">
        <v>7980</v>
      </c>
      <c r="E365" s="288"/>
      <c r="F365" s="289">
        <v>3186198743</v>
      </c>
      <c r="G365" s="286">
        <v>52866376</v>
      </c>
      <c r="H365" s="286" t="s">
        <v>7981</v>
      </c>
      <c r="I365" s="290">
        <v>46079</v>
      </c>
      <c r="J365" s="291"/>
      <c r="K365" s="291"/>
      <c r="L365" s="291"/>
      <c r="M365" s="291"/>
      <c r="N365" s="291"/>
      <c r="O365" s="291"/>
      <c r="P365" s="291"/>
      <c r="Q365" s="291"/>
      <c r="R365" s="291"/>
      <c r="S365" s="291"/>
      <c r="T365" s="291"/>
      <c r="U365" s="291"/>
      <c r="V365" s="291"/>
      <c r="W365" s="291"/>
      <c r="X365" s="291"/>
      <c r="Y365" s="291"/>
      <c r="Z365" s="291"/>
    </row>
    <row r="366" spans="1:26" ht="18.75" customHeight="1">
      <c r="A366" s="286" t="s">
        <v>7982</v>
      </c>
      <c r="B366" s="286" t="s">
        <v>6144</v>
      </c>
      <c r="C366" s="287">
        <v>1103</v>
      </c>
      <c r="D366" s="288" t="s">
        <v>7983</v>
      </c>
      <c r="E366" s="288" t="s">
        <v>5867</v>
      </c>
      <c r="F366" s="289">
        <v>3158816196</v>
      </c>
      <c r="G366" s="286">
        <v>32761730</v>
      </c>
      <c r="H366" s="286" t="s">
        <v>7984</v>
      </c>
      <c r="I366" s="290">
        <v>46079</v>
      </c>
      <c r="J366" s="291"/>
      <c r="K366" s="291"/>
      <c r="L366" s="291"/>
      <c r="M366" s="291"/>
      <c r="N366" s="291"/>
      <c r="O366" s="291"/>
      <c r="P366" s="291"/>
      <c r="Q366" s="291"/>
      <c r="R366" s="291"/>
      <c r="S366" s="291"/>
      <c r="T366" s="291"/>
      <c r="U366" s="291"/>
      <c r="V366" s="291"/>
      <c r="W366" s="291"/>
      <c r="X366" s="291"/>
      <c r="Y366" s="291"/>
      <c r="Z366" s="291"/>
    </row>
    <row r="367" spans="1:26" ht="14">
      <c r="A367" s="286" t="s">
        <v>2260</v>
      </c>
      <c r="B367" s="286" t="s">
        <v>7985</v>
      </c>
      <c r="C367" s="287">
        <v>401</v>
      </c>
      <c r="D367" s="288" t="s">
        <v>7986</v>
      </c>
      <c r="E367" s="288"/>
      <c r="F367" s="289">
        <v>3102908260</v>
      </c>
      <c r="G367" s="286">
        <v>39775005</v>
      </c>
      <c r="H367" s="286" t="s">
        <v>7987</v>
      </c>
      <c r="I367" s="290">
        <v>46079</v>
      </c>
      <c r="J367" s="291"/>
      <c r="K367" s="291"/>
      <c r="L367" s="291"/>
      <c r="M367" s="291"/>
      <c r="N367" s="291"/>
      <c r="O367" s="291"/>
      <c r="P367" s="291"/>
      <c r="Q367" s="291"/>
      <c r="R367" s="291"/>
      <c r="S367" s="291"/>
      <c r="T367" s="291"/>
      <c r="U367" s="291"/>
      <c r="V367" s="291"/>
      <c r="W367" s="291"/>
      <c r="X367" s="291"/>
      <c r="Y367" s="291"/>
      <c r="Z367" s="291"/>
    </row>
    <row r="368" spans="1:26" ht="14">
      <c r="A368" s="286" t="s">
        <v>7988</v>
      </c>
      <c r="B368" s="286" t="s">
        <v>7989</v>
      </c>
      <c r="C368" s="287">
        <v>302</v>
      </c>
      <c r="D368" s="288" t="s">
        <v>7990</v>
      </c>
      <c r="E368" s="288">
        <v>3192137196</v>
      </c>
      <c r="F368" s="289">
        <v>3103051962</v>
      </c>
      <c r="G368" s="286">
        <v>41506278</v>
      </c>
      <c r="H368" s="286" t="s">
        <v>7991</v>
      </c>
      <c r="I368" s="290">
        <v>46079</v>
      </c>
      <c r="J368" s="291"/>
      <c r="K368" s="291"/>
      <c r="L368" s="291"/>
      <c r="M368" s="291"/>
      <c r="N368" s="291"/>
      <c r="O368" s="291"/>
      <c r="P368" s="291"/>
      <c r="Q368" s="291"/>
      <c r="R368" s="291"/>
      <c r="S368" s="291"/>
      <c r="T368" s="291"/>
      <c r="U368" s="291"/>
      <c r="V368" s="291"/>
      <c r="W368" s="291"/>
      <c r="X368" s="291"/>
      <c r="Y368" s="291"/>
      <c r="Z368" s="291"/>
    </row>
    <row r="369" spans="1:26" ht="14">
      <c r="A369" s="286" t="s">
        <v>7992</v>
      </c>
      <c r="B369" s="286" t="s">
        <v>7993</v>
      </c>
      <c r="C369" s="287">
        <v>405</v>
      </c>
      <c r="D369" s="288"/>
      <c r="E369" s="288"/>
      <c r="F369" s="289">
        <v>3138868766</v>
      </c>
      <c r="G369" s="286">
        <v>35467235</v>
      </c>
      <c r="H369" s="286" t="s">
        <v>7994</v>
      </c>
      <c r="I369" s="291"/>
      <c r="J369" s="291"/>
      <c r="K369" s="291"/>
      <c r="L369" s="291"/>
      <c r="M369" s="291"/>
      <c r="N369" s="291"/>
      <c r="O369" s="291"/>
      <c r="P369" s="291"/>
      <c r="Q369" s="291"/>
      <c r="R369" s="291"/>
      <c r="S369" s="291"/>
      <c r="T369" s="291"/>
      <c r="U369" s="291"/>
      <c r="V369" s="291"/>
      <c r="W369" s="291"/>
      <c r="X369" s="291"/>
      <c r="Y369" s="291"/>
      <c r="Z369" s="291"/>
    </row>
    <row r="370" spans="1:26" ht="14">
      <c r="A370" s="286" t="s">
        <v>7995</v>
      </c>
      <c r="B370" s="286" t="s">
        <v>7996</v>
      </c>
      <c r="C370" s="287">
        <v>511</v>
      </c>
      <c r="D370" s="288"/>
      <c r="E370" s="288"/>
      <c r="F370" s="289">
        <v>3167941409</v>
      </c>
      <c r="G370" s="286">
        <v>1013624823</v>
      </c>
      <c r="H370" s="286" t="s">
        <v>7997</v>
      </c>
      <c r="I370" s="291"/>
      <c r="J370" s="291"/>
      <c r="K370" s="291"/>
      <c r="L370" s="291"/>
      <c r="M370" s="291"/>
      <c r="N370" s="291"/>
      <c r="O370" s="291"/>
      <c r="P370" s="291"/>
      <c r="Q370" s="291"/>
      <c r="R370" s="291"/>
      <c r="S370" s="291"/>
      <c r="T370" s="291"/>
      <c r="U370" s="291"/>
      <c r="V370" s="291"/>
      <c r="W370" s="291"/>
      <c r="X370" s="291"/>
      <c r="Y370" s="291"/>
      <c r="Z370" s="291"/>
    </row>
    <row r="371" spans="1:26" ht="14">
      <c r="A371" s="286" t="s">
        <v>1934</v>
      </c>
      <c r="B371" s="286" t="s">
        <v>7998</v>
      </c>
      <c r="C371" s="287">
        <v>506</v>
      </c>
      <c r="D371" s="288"/>
      <c r="E371" s="288"/>
      <c r="F371" s="289">
        <v>3203722225</v>
      </c>
      <c r="G371" s="286">
        <v>40049685</v>
      </c>
      <c r="H371" s="286" t="s">
        <v>7999</v>
      </c>
      <c r="I371" s="291"/>
      <c r="J371" s="291"/>
      <c r="K371" s="291"/>
      <c r="L371" s="291"/>
      <c r="M371" s="291"/>
      <c r="N371" s="291"/>
      <c r="O371" s="291"/>
      <c r="P371" s="291"/>
      <c r="Q371" s="291"/>
      <c r="R371" s="291"/>
      <c r="S371" s="291"/>
      <c r="T371" s="291"/>
      <c r="U371" s="291"/>
      <c r="V371" s="291"/>
      <c r="W371" s="291"/>
      <c r="X371" s="291"/>
      <c r="Y371" s="291"/>
      <c r="Z371" s="291"/>
    </row>
    <row r="372" spans="1:26" ht="14">
      <c r="A372" s="286" t="s">
        <v>235</v>
      </c>
      <c r="B372" s="286" t="s">
        <v>8000</v>
      </c>
      <c r="C372" s="287">
        <v>104</v>
      </c>
      <c r="D372" s="288" t="s">
        <v>8001</v>
      </c>
      <c r="E372" s="288"/>
      <c r="F372" s="289">
        <v>3104782761</v>
      </c>
      <c r="G372" s="286">
        <v>1022365814</v>
      </c>
      <c r="H372" s="286" t="s">
        <v>8002</v>
      </c>
      <c r="I372" s="290">
        <v>46079</v>
      </c>
      <c r="J372" s="291"/>
      <c r="K372" s="291"/>
      <c r="L372" s="291"/>
      <c r="M372" s="291"/>
      <c r="N372" s="291"/>
      <c r="O372" s="291"/>
      <c r="P372" s="291"/>
      <c r="Q372" s="291"/>
      <c r="R372" s="291"/>
      <c r="S372" s="291"/>
      <c r="T372" s="291"/>
      <c r="U372" s="291"/>
      <c r="V372" s="291"/>
      <c r="W372" s="291"/>
      <c r="X372" s="291"/>
      <c r="Y372" s="291"/>
      <c r="Z372" s="291"/>
    </row>
    <row r="373" spans="1:26" ht="20.25" customHeight="1">
      <c r="A373" s="286" t="s">
        <v>8003</v>
      </c>
      <c r="B373" s="286" t="s">
        <v>8004</v>
      </c>
      <c r="C373" s="287">
        <v>102</v>
      </c>
      <c r="D373" s="288"/>
      <c r="E373" s="288"/>
      <c r="F373" s="289">
        <v>3156754826</v>
      </c>
      <c r="G373" s="286">
        <v>41598985</v>
      </c>
      <c r="H373" s="286" t="s">
        <v>8005</v>
      </c>
      <c r="I373" s="290">
        <v>46079</v>
      </c>
      <c r="J373" s="291"/>
      <c r="K373" s="291"/>
      <c r="L373" s="291"/>
      <c r="M373" s="291"/>
      <c r="N373" s="291"/>
      <c r="O373" s="291"/>
      <c r="P373" s="291"/>
      <c r="Q373" s="291"/>
      <c r="R373" s="291"/>
      <c r="S373" s="291"/>
      <c r="T373" s="291"/>
      <c r="U373" s="291"/>
      <c r="V373" s="291"/>
      <c r="W373" s="291"/>
      <c r="X373" s="291"/>
      <c r="Y373" s="291"/>
      <c r="Z373" s="291"/>
    </row>
    <row r="374" spans="1:26" ht="14">
      <c r="A374" s="286" t="s">
        <v>8006</v>
      </c>
      <c r="B374" s="286" t="s">
        <v>8007</v>
      </c>
      <c r="C374" s="287">
        <v>405</v>
      </c>
      <c r="D374" s="288"/>
      <c r="E374" s="288"/>
      <c r="F374" s="289">
        <v>3112025951</v>
      </c>
      <c r="G374" s="286">
        <v>1032375630</v>
      </c>
      <c r="H374" s="286" t="s">
        <v>8008</v>
      </c>
      <c r="I374" s="290">
        <v>46079</v>
      </c>
      <c r="J374" s="291"/>
      <c r="K374" s="291"/>
      <c r="L374" s="291"/>
      <c r="M374" s="291"/>
      <c r="N374" s="291"/>
      <c r="O374" s="291"/>
      <c r="P374" s="291"/>
      <c r="Q374" s="291"/>
      <c r="R374" s="291"/>
      <c r="S374" s="291"/>
      <c r="T374" s="291"/>
      <c r="U374" s="291"/>
      <c r="V374" s="291"/>
      <c r="W374" s="291"/>
      <c r="X374" s="291"/>
      <c r="Y374" s="291"/>
      <c r="Z374" s="291"/>
    </row>
    <row r="375" spans="1:26" ht="19.5" customHeight="1">
      <c r="A375" s="286" t="s">
        <v>8009</v>
      </c>
      <c r="B375" s="286" t="s">
        <v>8010</v>
      </c>
      <c r="C375" s="287">
        <v>1005</v>
      </c>
      <c r="D375" s="288" t="s">
        <v>2733</v>
      </c>
      <c r="E375" s="288"/>
      <c r="F375" s="289">
        <v>3006526421</v>
      </c>
      <c r="G375" s="286">
        <v>3006526421</v>
      </c>
      <c r="H375" s="326" t="s">
        <v>8011</v>
      </c>
      <c r="I375" s="290">
        <v>46079</v>
      </c>
      <c r="J375" s="327"/>
      <c r="K375" s="327"/>
      <c r="L375" s="327"/>
      <c r="M375" s="327"/>
      <c r="N375" s="327"/>
      <c r="O375" s="327"/>
      <c r="P375" s="327"/>
      <c r="Q375" s="327"/>
      <c r="R375" s="327"/>
      <c r="S375" s="327"/>
      <c r="T375" s="327"/>
      <c r="U375" s="327"/>
      <c r="V375" s="327"/>
      <c r="W375" s="327"/>
      <c r="X375" s="327"/>
      <c r="Y375" s="327"/>
      <c r="Z375" s="327"/>
    </row>
    <row r="376" spans="1:26" ht="14">
      <c r="A376" s="286" t="s">
        <v>8012</v>
      </c>
      <c r="B376" s="286" t="s">
        <v>8013</v>
      </c>
      <c r="C376" s="287">
        <v>102</v>
      </c>
      <c r="D376" s="288"/>
      <c r="E376" s="288"/>
      <c r="F376" s="289">
        <v>3144120029</v>
      </c>
      <c r="G376" s="286">
        <v>41728046</v>
      </c>
      <c r="H376" s="286" t="s">
        <v>8014</v>
      </c>
      <c r="I376" s="290">
        <v>46079</v>
      </c>
      <c r="J376" s="291"/>
      <c r="K376" s="291"/>
      <c r="L376" s="291"/>
      <c r="M376" s="291"/>
      <c r="N376" s="291"/>
      <c r="O376" s="291"/>
      <c r="P376" s="291"/>
      <c r="Q376" s="291"/>
      <c r="R376" s="291"/>
      <c r="S376" s="291"/>
      <c r="T376" s="291"/>
      <c r="U376" s="291"/>
      <c r="V376" s="291"/>
      <c r="W376" s="291"/>
      <c r="X376" s="291"/>
      <c r="Y376" s="291"/>
      <c r="Z376" s="291"/>
    </row>
    <row r="377" spans="1:26" ht="14">
      <c r="A377" s="286" t="s">
        <v>381</v>
      </c>
      <c r="B377" s="286" t="s">
        <v>8015</v>
      </c>
      <c r="C377" s="287">
        <v>404</v>
      </c>
      <c r="D377" s="288"/>
      <c r="E377" s="288"/>
      <c r="F377" s="289">
        <v>3043860221</v>
      </c>
      <c r="G377" s="313">
        <v>52387480</v>
      </c>
      <c r="H377" s="286" t="s">
        <v>8016</v>
      </c>
      <c r="I377" s="291"/>
      <c r="J377" s="291"/>
      <c r="K377" s="291"/>
      <c r="L377" s="291"/>
      <c r="M377" s="291"/>
      <c r="N377" s="291"/>
      <c r="O377" s="291"/>
      <c r="P377" s="291"/>
      <c r="Q377" s="291"/>
      <c r="R377" s="291"/>
      <c r="S377" s="291"/>
      <c r="T377" s="291"/>
      <c r="U377" s="291"/>
      <c r="V377" s="291"/>
      <c r="W377" s="291"/>
      <c r="X377" s="291"/>
      <c r="Y377" s="291"/>
      <c r="Z377" s="291"/>
    </row>
    <row r="378" spans="1:26" ht="14">
      <c r="A378" s="286" t="s">
        <v>8017</v>
      </c>
      <c r="B378" s="286" t="s">
        <v>8018</v>
      </c>
      <c r="C378" s="287">
        <v>904</v>
      </c>
      <c r="D378" s="288"/>
      <c r="E378" s="288"/>
      <c r="F378" s="289">
        <v>3178652551</v>
      </c>
      <c r="G378" s="286">
        <v>1027403219</v>
      </c>
      <c r="H378" s="286" t="s">
        <v>8019</v>
      </c>
      <c r="I378" s="290">
        <v>46054</v>
      </c>
      <c r="J378" s="291"/>
      <c r="K378" s="291"/>
      <c r="L378" s="291"/>
      <c r="M378" s="291"/>
      <c r="N378" s="291"/>
      <c r="O378" s="291"/>
      <c r="P378" s="291"/>
      <c r="Q378" s="291"/>
      <c r="R378" s="291"/>
      <c r="S378" s="291"/>
      <c r="T378" s="291"/>
      <c r="U378" s="291"/>
      <c r="V378" s="291"/>
      <c r="W378" s="291"/>
      <c r="X378" s="291"/>
      <c r="Y378" s="291"/>
      <c r="Z378" s="291"/>
    </row>
    <row r="379" spans="1:26" ht="14">
      <c r="A379" s="286" t="s">
        <v>8020</v>
      </c>
      <c r="B379" s="286" t="s">
        <v>8021</v>
      </c>
      <c r="C379" s="287">
        <v>209</v>
      </c>
      <c r="D379" s="288"/>
      <c r="E379" s="288"/>
      <c r="F379" s="289">
        <v>3153571504</v>
      </c>
      <c r="G379" s="286">
        <v>21070637</v>
      </c>
      <c r="H379" s="286" t="s">
        <v>8022</v>
      </c>
      <c r="I379" s="290">
        <v>46079</v>
      </c>
      <c r="J379" s="291"/>
      <c r="K379" s="291"/>
      <c r="L379" s="291"/>
      <c r="M379" s="291"/>
      <c r="N379" s="291"/>
      <c r="O379" s="291"/>
      <c r="P379" s="291"/>
      <c r="Q379" s="291"/>
      <c r="R379" s="291"/>
      <c r="S379" s="291"/>
      <c r="T379" s="291"/>
      <c r="U379" s="291"/>
      <c r="V379" s="291"/>
      <c r="W379" s="291"/>
      <c r="X379" s="291"/>
      <c r="Y379" s="291"/>
      <c r="Z379" s="291"/>
    </row>
    <row r="380" spans="1:26" ht="14">
      <c r="A380" s="286" t="s">
        <v>1191</v>
      </c>
      <c r="B380" s="286" t="s">
        <v>8023</v>
      </c>
      <c r="C380" s="287">
        <v>402</v>
      </c>
      <c r="D380" s="288"/>
      <c r="E380" s="288"/>
      <c r="F380" s="289">
        <v>3123518376</v>
      </c>
      <c r="G380" s="286">
        <v>52159713</v>
      </c>
      <c r="H380" s="286" t="s">
        <v>8024</v>
      </c>
      <c r="I380" s="291"/>
      <c r="J380" s="291"/>
      <c r="K380" s="291"/>
      <c r="L380" s="291"/>
      <c r="M380" s="291"/>
      <c r="N380" s="291"/>
      <c r="O380" s="291"/>
      <c r="P380" s="291"/>
      <c r="Q380" s="291"/>
      <c r="R380" s="291"/>
      <c r="S380" s="291"/>
      <c r="T380" s="291"/>
      <c r="U380" s="291"/>
      <c r="V380" s="291"/>
      <c r="W380" s="291"/>
      <c r="X380" s="291"/>
      <c r="Y380" s="291"/>
      <c r="Z380" s="291"/>
    </row>
    <row r="381" spans="1:26" ht="14">
      <c r="A381" s="286" t="s">
        <v>8025</v>
      </c>
      <c r="B381" s="286" t="s">
        <v>8026</v>
      </c>
      <c r="C381" s="287">
        <v>303</v>
      </c>
      <c r="D381" s="288"/>
      <c r="E381" s="288"/>
      <c r="F381" s="289">
        <v>3043651161</v>
      </c>
      <c r="G381" s="286">
        <v>1032383569</v>
      </c>
      <c r="H381" s="286" t="s">
        <v>8027</v>
      </c>
      <c r="I381" s="290">
        <v>46079</v>
      </c>
      <c r="J381" s="291"/>
      <c r="K381" s="291"/>
      <c r="L381" s="291"/>
      <c r="M381" s="291"/>
      <c r="N381" s="291"/>
      <c r="O381" s="291"/>
      <c r="P381" s="291"/>
      <c r="Q381" s="291"/>
      <c r="R381" s="291"/>
      <c r="S381" s="291"/>
      <c r="T381" s="291"/>
      <c r="U381" s="291"/>
      <c r="V381" s="291"/>
      <c r="W381" s="291"/>
      <c r="X381" s="291"/>
      <c r="Y381" s="291"/>
      <c r="Z381" s="291"/>
    </row>
    <row r="382" spans="1:26" ht="14">
      <c r="A382" s="286" t="s">
        <v>530</v>
      </c>
      <c r="B382" s="286" t="s">
        <v>8028</v>
      </c>
      <c r="C382" s="287" t="s">
        <v>3070</v>
      </c>
      <c r="D382" s="288"/>
      <c r="E382" s="288"/>
      <c r="F382" s="289">
        <v>3158489484</v>
      </c>
      <c r="G382" s="286">
        <v>39694119</v>
      </c>
      <c r="H382" s="286" t="s">
        <v>8029</v>
      </c>
      <c r="I382" s="291"/>
      <c r="J382" s="291"/>
      <c r="K382" s="291"/>
      <c r="L382" s="291"/>
      <c r="M382" s="291"/>
      <c r="N382" s="291"/>
      <c r="O382" s="291"/>
      <c r="P382" s="291"/>
      <c r="Q382" s="291"/>
      <c r="R382" s="291"/>
      <c r="S382" s="291"/>
      <c r="T382" s="291"/>
      <c r="U382" s="291"/>
      <c r="V382" s="291"/>
      <c r="W382" s="291"/>
      <c r="X382" s="291"/>
      <c r="Y382" s="291"/>
      <c r="Z382" s="291"/>
    </row>
    <row r="383" spans="1:26" ht="14">
      <c r="A383" s="286" t="s">
        <v>127</v>
      </c>
      <c r="B383" s="286" t="s">
        <v>8030</v>
      </c>
      <c r="C383" s="287">
        <v>402</v>
      </c>
      <c r="D383" s="288"/>
      <c r="E383" s="288"/>
      <c r="F383" s="289">
        <v>3204900538</v>
      </c>
      <c r="G383" s="286">
        <v>39688117</v>
      </c>
      <c r="H383" s="286" t="s">
        <v>8031</v>
      </c>
      <c r="I383" s="291"/>
      <c r="J383" s="291"/>
      <c r="K383" s="291"/>
      <c r="L383" s="291"/>
      <c r="M383" s="291"/>
      <c r="N383" s="291"/>
      <c r="O383" s="291"/>
      <c r="P383" s="291"/>
      <c r="Q383" s="291"/>
      <c r="R383" s="291"/>
      <c r="S383" s="291"/>
      <c r="T383" s="291"/>
      <c r="U383" s="291"/>
      <c r="V383" s="291"/>
      <c r="W383" s="291"/>
      <c r="X383" s="291"/>
      <c r="Y383" s="291"/>
      <c r="Z383" s="291"/>
    </row>
    <row r="384" spans="1:26" ht="14">
      <c r="A384" s="286" t="s">
        <v>8032</v>
      </c>
      <c r="B384" s="286" t="s">
        <v>8033</v>
      </c>
      <c r="C384" s="287">
        <v>202</v>
      </c>
      <c r="D384" s="288"/>
      <c r="E384" s="288"/>
      <c r="F384" s="289">
        <v>3212337640</v>
      </c>
      <c r="G384" s="286">
        <v>20743688</v>
      </c>
      <c r="H384" s="286" t="s">
        <v>8034</v>
      </c>
      <c r="I384" s="290">
        <v>46079</v>
      </c>
      <c r="J384" s="291"/>
      <c r="K384" s="291"/>
      <c r="L384" s="291"/>
      <c r="M384" s="291"/>
      <c r="N384" s="291"/>
      <c r="O384" s="291"/>
      <c r="P384" s="291"/>
      <c r="Q384" s="291"/>
      <c r="R384" s="291"/>
      <c r="S384" s="291"/>
      <c r="T384" s="291"/>
      <c r="U384" s="291"/>
      <c r="V384" s="291"/>
      <c r="W384" s="291"/>
      <c r="X384" s="291"/>
      <c r="Y384" s="291"/>
      <c r="Z384" s="291"/>
    </row>
    <row r="385" spans="1:26" ht="14">
      <c r="A385" s="286" t="s">
        <v>8035</v>
      </c>
      <c r="B385" s="286" t="s">
        <v>8036</v>
      </c>
      <c r="C385" s="287">
        <v>404</v>
      </c>
      <c r="D385" s="288" t="s">
        <v>8037</v>
      </c>
      <c r="E385" s="288"/>
      <c r="F385" s="289">
        <v>3102121215</v>
      </c>
      <c r="G385" s="286">
        <v>43073264</v>
      </c>
      <c r="H385" s="286" t="s">
        <v>8038</v>
      </c>
      <c r="I385" s="290">
        <v>46079</v>
      </c>
      <c r="J385" s="291"/>
      <c r="K385" s="291"/>
      <c r="L385" s="291"/>
      <c r="M385" s="291"/>
      <c r="N385" s="291"/>
      <c r="O385" s="291"/>
      <c r="P385" s="291"/>
      <c r="Q385" s="291"/>
      <c r="R385" s="291"/>
      <c r="S385" s="291"/>
      <c r="T385" s="291"/>
      <c r="U385" s="291"/>
      <c r="V385" s="291"/>
      <c r="W385" s="291"/>
      <c r="X385" s="291"/>
      <c r="Y385" s="291"/>
      <c r="Z385" s="291"/>
    </row>
    <row r="386" spans="1:26" ht="22.5" customHeight="1">
      <c r="A386" s="286" t="s">
        <v>8039</v>
      </c>
      <c r="B386" s="286" t="s">
        <v>8040</v>
      </c>
      <c r="C386" s="287" t="s">
        <v>8041</v>
      </c>
      <c r="D386" s="288" t="s">
        <v>8042</v>
      </c>
      <c r="E386" s="288">
        <v>3123274286</v>
      </c>
      <c r="F386" s="289">
        <v>3163611197</v>
      </c>
      <c r="G386" s="286">
        <v>1144031989</v>
      </c>
      <c r="H386" s="286" t="s">
        <v>8043</v>
      </c>
      <c r="I386" s="290">
        <v>46079</v>
      </c>
      <c r="J386" s="291"/>
      <c r="K386" s="291"/>
      <c r="L386" s="291"/>
      <c r="M386" s="291"/>
      <c r="N386" s="291"/>
      <c r="O386" s="291"/>
      <c r="P386" s="291"/>
      <c r="Q386" s="291"/>
      <c r="R386" s="291"/>
      <c r="S386" s="291"/>
      <c r="T386" s="291"/>
      <c r="U386" s="291"/>
      <c r="V386" s="291"/>
      <c r="W386" s="291"/>
      <c r="X386" s="291"/>
      <c r="Y386" s="291"/>
      <c r="Z386" s="291"/>
    </row>
    <row r="387" spans="1:26" ht="14">
      <c r="A387" s="286" t="s">
        <v>8044</v>
      </c>
      <c r="B387" s="286" t="s">
        <v>7878</v>
      </c>
      <c r="C387" s="287">
        <v>302</v>
      </c>
      <c r="D387" s="288" t="s">
        <v>8045</v>
      </c>
      <c r="E387" s="288" t="s">
        <v>8046</v>
      </c>
      <c r="F387" s="289">
        <v>3202755226</v>
      </c>
      <c r="G387" s="286">
        <v>52031989</v>
      </c>
      <c r="H387" s="286" t="s">
        <v>8047</v>
      </c>
      <c r="I387" s="290">
        <v>46079</v>
      </c>
      <c r="J387" s="291"/>
      <c r="K387" s="291"/>
      <c r="L387" s="291"/>
      <c r="M387" s="291"/>
      <c r="N387" s="291"/>
      <c r="O387" s="291"/>
      <c r="P387" s="291"/>
      <c r="Q387" s="291"/>
      <c r="R387" s="291"/>
      <c r="S387" s="291"/>
      <c r="T387" s="291"/>
      <c r="U387" s="291"/>
      <c r="V387" s="291"/>
      <c r="W387" s="291"/>
      <c r="X387" s="291"/>
      <c r="Y387" s="291"/>
      <c r="Z387" s="291"/>
    </row>
    <row r="388" spans="1:26" ht="14">
      <c r="A388" s="286" t="s">
        <v>8048</v>
      </c>
      <c r="B388" s="286" t="s">
        <v>8049</v>
      </c>
      <c r="C388" s="287">
        <v>107</v>
      </c>
      <c r="D388" s="288"/>
      <c r="E388" s="288"/>
      <c r="F388" s="289">
        <v>3212092905</v>
      </c>
      <c r="G388" s="286">
        <v>52703345</v>
      </c>
      <c r="H388" s="286" t="s">
        <v>8050</v>
      </c>
      <c r="I388" s="290">
        <v>46079</v>
      </c>
      <c r="J388" s="291"/>
      <c r="K388" s="291"/>
      <c r="L388" s="291"/>
      <c r="M388" s="291"/>
      <c r="N388" s="291"/>
      <c r="O388" s="291"/>
      <c r="P388" s="291"/>
      <c r="Q388" s="291"/>
      <c r="R388" s="291"/>
      <c r="S388" s="291"/>
      <c r="T388" s="291"/>
      <c r="U388" s="291"/>
      <c r="V388" s="291"/>
      <c r="W388" s="291"/>
      <c r="X388" s="291"/>
      <c r="Y388" s="291"/>
      <c r="Z388" s="291"/>
    </row>
    <row r="389" spans="1:26" ht="14">
      <c r="A389" s="286" t="s">
        <v>51</v>
      </c>
      <c r="B389" s="286" t="s">
        <v>8051</v>
      </c>
      <c r="C389" s="287" t="s">
        <v>8052</v>
      </c>
      <c r="D389" s="288"/>
      <c r="E389" s="288"/>
      <c r="F389" s="289">
        <v>3125884183</v>
      </c>
      <c r="G389" s="286">
        <v>1032417160</v>
      </c>
      <c r="H389" s="286" t="s">
        <v>8053</v>
      </c>
      <c r="I389" s="290">
        <v>46079</v>
      </c>
      <c r="J389" s="291"/>
      <c r="K389" s="291"/>
      <c r="L389" s="291"/>
      <c r="M389" s="291"/>
      <c r="N389" s="291"/>
      <c r="O389" s="291"/>
      <c r="P389" s="291"/>
      <c r="Q389" s="291"/>
      <c r="R389" s="291"/>
      <c r="S389" s="291"/>
      <c r="T389" s="291"/>
      <c r="U389" s="291"/>
      <c r="V389" s="291"/>
      <c r="W389" s="291"/>
      <c r="X389" s="291"/>
      <c r="Y389" s="291"/>
      <c r="Z389" s="291"/>
    </row>
    <row r="390" spans="1:26" ht="14">
      <c r="A390" s="286" t="s">
        <v>309</v>
      </c>
      <c r="B390" s="286" t="s">
        <v>8054</v>
      </c>
      <c r="C390" s="287">
        <v>303</v>
      </c>
      <c r="D390" s="288" t="s">
        <v>8055</v>
      </c>
      <c r="E390" s="288"/>
      <c r="F390" s="289">
        <v>3102270021</v>
      </c>
      <c r="G390" s="286">
        <v>39784772</v>
      </c>
      <c r="H390" s="286" t="s">
        <v>8056</v>
      </c>
      <c r="I390" s="291"/>
      <c r="J390" s="291"/>
      <c r="K390" s="291"/>
      <c r="L390" s="291"/>
      <c r="M390" s="291"/>
      <c r="N390" s="291"/>
      <c r="O390" s="291"/>
      <c r="P390" s="291"/>
      <c r="Q390" s="291"/>
      <c r="R390" s="291"/>
      <c r="S390" s="291"/>
      <c r="T390" s="291"/>
      <c r="U390" s="291"/>
      <c r="V390" s="291"/>
      <c r="W390" s="291"/>
      <c r="X390" s="291"/>
      <c r="Y390" s="291"/>
      <c r="Z390" s="291"/>
    </row>
    <row r="391" spans="1:26" ht="14">
      <c r="A391" s="286" t="s">
        <v>8057</v>
      </c>
      <c r="B391" s="286" t="s">
        <v>8058</v>
      </c>
      <c r="C391" s="287">
        <v>602</v>
      </c>
      <c r="D391" s="288"/>
      <c r="E391" s="288"/>
      <c r="F391" s="289">
        <v>3006801248</v>
      </c>
      <c r="G391" s="286">
        <v>52852383</v>
      </c>
      <c r="H391" s="286" t="s">
        <v>8059</v>
      </c>
      <c r="I391" s="290">
        <v>46079</v>
      </c>
      <c r="J391" s="291"/>
      <c r="K391" s="291"/>
      <c r="L391" s="291"/>
      <c r="M391" s="291"/>
      <c r="N391" s="291"/>
      <c r="O391" s="291"/>
      <c r="P391" s="291"/>
      <c r="Q391" s="291"/>
      <c r="R391" s="291"/>
      <c r="S391" s="291"/>
      <c r="T391" s="291"/>
      <c r="U391" s="291"/>
      <c r="V391" s="291"/>
      <c r="W391" s="291"/>
      <c r="X391" s="291"/>
      <c r="Y391" s="291"/>
      <c r="Z391" s="291"/>
    </row>
    <row r="392" spans="1:26" ht="14">
      <c r="A392" s="286" t="s">
        <v>8060</v>
      </c>
      <c r="B392" s="286" t="s">
        <v>8061</v>
      </c>
      <c r="C392" s="287">
        <v>202</v>
      </c>
      <c r="D392" s="288"/>
      <c r="E392" s="288"/>
      <c r="F392" s="289">
        <v>3153443261</v>
      </c>
      <c r="G392" s="286">
        <v>39695515</v>
      </c>
      <c r="H392" s="286" t="s">
        <v>8062</v>
      </c>
      <c r="I392" s="291"/>
      <c r="J392" s="291"/>
      <c r="K392" s="291"/>
      <c r="L392" s="291"/>
      <c r="M392" s="291"/>
      <c r="N392" s="291"/>
      <c r="O392" s="291"/>
      <c r="P392" s="291"/>
      <c r="Q392" s="291"/>
      <c r="R392" s="291"/>
      <c r="S392" s="291"/>
      <c r="T392" s="291"/>
      <c r="U392" s="291"/>
      <c r="V392" s="291"/>
      <c r="W392" s="291"/>
      <c r="X392" s="291"/>
      <c r="Y392" s="291"/>
      <c r="Z392" s="291"/>
    </row>
    <row r="393" spans="1:26" ht="14">
      <c r="A393" s="286" t="s">
        <v>8063</v>
      </c>
      <c r="B393" s="286" t="s">
        <v>3971</v>
      </c>
      <c r="C393" s="287">
        <v>1204</v>
      </c>
      <c r="D393" s="288" t="s">
        <v>2949</v>
      </c>
      <c r="E393" s="288"/>
      <c r="F393" s="289">
        <v>3212083213</v>
      </c>
      <c r="G393" s="286">
        <v>52032888</v>
      </c>
      <c r="H393" s="286" t="s">
        <v>8064</v>
      </c>
      <c r="I393" s="290">
        <v>46079</v>
      </c>
      <c r="J393" s="291"/>
      <c r="K393" s="291"/>
      <c r="L393" s="291"/>
      <c r="M393" s="291"/>
      <c r="N393" s="291"/>
      <c r="O393" s="291"/>
      <c r="P393" s="291"/>
      <c r="Q393" s="291"/>
      <c r="R393" s="291"/>
      <c r="S393" s="291"/>
      <c r="T393" s="291"/>
      <c r="U393" s="291"/>
      <c r="V393" s="291"/>
      <c r="W393" s="291"/>
      <c r="X393" s="291"/>
      <c r="Y393" s="291"/>
      <c r="Z393" s="291"/>
    </row>
    <row r="394" spans="1:26" ht="14">
      <c r="A394" s="286" t="s">
        <v>8065</v>
      </c>
      <c r="B394" s="286" t="s">
        <v>8066</v>
      </c>
      <c r="C394" s="287">
        <v>95</v>
      </c>
      <c r="D394" s="288" t="s">
        <v>3007</v>
      </c>
      <c r="E394" s="288"/>
      <c r="F394" s="289">
        <v>3118659826</v>
      </c>
      <c r="G394" s="286">
        <v>28532737</v>
      </c>
      <c r="H394" s="286" t="s">
        <v>8067</v>
      </c>
      <c r="I394" s="290">
        <v>46079</v>
      </c>
      <c r="J394" s="291"/>
      <c r="K394" s="291"/>
      <c r="L394" s="291"/>
      <c r="M394" s="291"/>
      <c r="N394" s="291"/>
      <c r="O394" s="291"/>
      <c r="P394" s="291"/>
      <c r="Q394" s="291"/>
      <c r="R394" s="291"/>
      <c r="S394" s="291"/>
      <c r="T394" s="291"/>
      <c r="U394" s="291"/>
      <c r="V394" s="291"/>
      <c r="W394" s="291"/>
      <c r="X394" s="291"/>
      <c r="Y394" s="291"/>
      <c r="Z394" s="291"/>
    </row>
    <row r="395" spans="1:26" ht="16.5" customHeight="1">
      <c r="A395" s="286" t="s">
        <v>559</v>
      </c>
      <c r="B395" s="286" t="s">
        <v>8068</v>
      </c>
      <c r="C395" s="287">
        <v>102</v>
      </c>
      <c r="D395" s="288" t="s">
        <v>8069</v>
      </c>
      <c r="E395" s="288">
        <v>3186823741</v>
      </c>
      <c r="F395" s="289">
        <v>3186923741</v>
      </c>
      <c r="G395" s="286">
        <v>39688589</v>
      </c>
      <c r="H395" s="286" t="s">
        <v>8070</v>
      </c>
      <c r="I395" s="291"/>
      <c r="J395" s="291"/>
      <c r="K395" s="291"/>
      <c r="L395" s="291"/>
      <c r="M395" s="291"/>
      <c r="N395" s="291"/>
      <c r="O395" s="291"/>
      <c r="P395" s="291"/>
      <c r="Q395" s="291"/>
      <c r="R395" s="291"/>
      <c r="S395" s="291"/>
      <c r="T395" s="291"/>
      <c r="U395" s="291"/>
      <c r="V395" s="291"/>
      <c r="W395" s="291"/>
      <c r="X395" s="291"/>
      <c r="Y395" s="291"/>
      <c r="Z395" s="291"/>
    </row>
    <row r="396" spans="1:26" ht="14">
      <c r="A396" s="304" t="s">
        <v>11</v>
      </c>
      <c r="B396" s="286" t="s">
        <v>8071</v>
      </c>
      <c r="C396" s="287">
        <v>201</v>
      </c>
      <c r="D396" s="288"/>
      <c r="E396" s="288"/>
      <c r="F396" s="289">
        <v>3108634319</v>
      </c>
      <c r="G396" s="286">
        <v>37313377</v>
      </c>
      <c r="H396" s="286" t="s">
        <v>8072</v>
      </c>
      <c r="I396" s="291"/>
      <c r="J396" s="291"/>
      <c r="K396" s="291"/>
      <c r="L396" s="291"/>
      <c r="M396" s="291"/>
      <c r="N396" s="291"/>
      <c r="O396" s="291"/>
      <c r="P396" s="291"/>
      <c r="Q396" s="291"/>
      <c r="R396" s="291"/>
      <c r="S396" s="291"/>
      <c r="T396" s="291"/>
      <c r="U396" s="291"/>
      <c r="V396" s="291"/>
      <c r="W396" s="291"/>
      <c r="X396" s="291"/>
      <c r="Y396" s="291"/>
      <c r="Z396" s="291"/>
    </row>
    <row r="397" spans="1:26" ht="14">
      <c r="A397" s="286" t="s">
        <v>523</v>
      </c>
      <c r="B397" s="286" t="s">
        <v>8073</v>
      </c>
      <c r="C397" s="287">
        <v>504</v>
      </c>
      <c r="D397" s="288"/>
      <c r="E397" s="288"/>
      <c r="F397" s="289">
        <v>3002160865</v>
      </c>
      <c r="G397" s="286">
        <v>52155866</v>
      </c>
      <c r="H397" s="286" t="s">
        <v>8074</v>
      </c>
      <c r="I397" s="290">
        <v>46079</v>
      </c>
      <c r="J397" s="291"/>
      <c r="K397" s="291"/>
      <c r="L397" s="291"/>
      <c r="M397" s="291"/>
      <c r="N397" s="291"/>
      <c r="O397" s="291"/>
      <c r="P397" s="291"/>
      <c r="Q397" s="291"/>
      <c r="R397" s="291"/>
      <c r="S397" s="291"/>
      <c r="T397" s="291"/>
      <c r="U397" s="291"/>
      <c r="V397" s="291"/>
      <c r="W397" s="291"/>
      <c r="X397" s="291"/>
      <c r="Y397" s="291"/>
      <c r="Z397" s="291"/>
    </row>
    <row r="398" spans="1:26" ht="14">
      <c r="A398" s="286" t="s">
        <v>88</v>
      </c>
      <c r="B398" s="286" t="s">
        <v>8075</v>
      </c>
      <c r="C398" s="287" t="s">
        <v>4952</v>
      </c>
      <c r="D398" s="288"/>
      <c r="E398" s="288"/>
      <c r="F398" s="289">
        <v>3152538532</v>
      </c>
      <c r="G398" s="286">
        <v>34554335</v>
      </c>
      <c r="H398" s="286" t="s">
        <v>8076</v>
      </c>
      <c r="I398" s="290">
        <v>46079</v>
      </c>
      <c r="J398" s="291"/>
      <c r="K398" s="291"/>
      <c r="L398" s="291"/>
      <c r="M398" s="291"/>
      <c r="N398" s="291"/>
      <c r="O398" s="291"/>
      <c r="P398" s="291"/>
      <c r="Q398" s="291"/>
      <c r="R398" s="291"/>
      <c r="S398" s="291"/>
      <c r="T398" s="291"/>
      <c r="U398" s="291"/>
      <c r="V398" s="291"/>
      <c r="W398" s="291"/>
      <c r="X398" s="291"/>
      <c r="Y398" s="291"/>
      <c r="Z398" s="291"/>
    </row>
    <row r="399" spans="1:26" ht="14">
      <c r="A399" s="286" t="s">
        <v>105</v>
      </c>
      <c r="B399" s="286" t="s">
        <v>8077</v>
      </c>
      <c r="C399" s="287" t="s">
        <v>8078</v>
      </c>
      <c r="D399" s="288" t="s">
        <v>8079</v>
      </c>
      <c r="E399" s="288"/>
      <c r="F399" s="289">
        <v>3176563502</v>
      </c>
      <c r="G399" s="286">
        <v>39625679</v>
      </c>
      <c r="H399" s="286" t="s">
        <v>8080</v>
      </c>
      <c r="I399" s="291"/>
      <c r="J399" s="291"/>
      <c r="K399" s="291"/>
      <c r="L399" s="291"/>
      <c r="M399" s="291"/>
      <c r="N399" s="291"/>
      <c r="O399" s="291"/>
      <c r="P399" s="291"/>
      <c r="Q399" s="291"/>
      <c r="R399" s="291"/>
      <c r="S399" s="291"/>
      <c r="T399" s="291"/>
      <c r="U399" s="291"/>
      <c r="V399" s="291"/>
      <c r="W399" s="291"/>
      <c r="X399" s="291"/>
      <c r="Y399" s="291"/>
      <c r="Z399" s="291"/>
    </row>
    <row r="400" spans="1:26" ht="14">
      <c r="A400" s="286" t="s">
        <v>78</v>
      </c>
      <c r="B400" s="286" t="s">
        <v>4233</v>
      </c>
      <c r="C400" s="287">
        <v>303</v>
      </c>
      <c r="D400" s="288" t="s">
        <v>8081</v>
      </c>
      <c r="E400" s="288" t="s">
        <v>8082</v>
      </c>
      <c r="F400" s="289">
        <v>3167410108</v>
      </c>
      <c r="G400" s="289">
        <v>51733013</v>
      </c>
      <c r="H400" s="289" t="s">
        <v>8083</v>
      </c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</row>
    <row r="401" spans="1:26" ht="14">
      <c r="A401" s="286" t="s">
        <v>167</v>
      </c>
      <c r="B401" s="286" t="s">
        <v>8084</v>
      </c>
      <c r="C401" s="287">
        <v>517</v>
      </c>
      <c r="D401" s="288" t="s">
        <v>8085</v>
      </c>
      <c r="E401" s="288"/>
      <c r="F401" s="289">
        <v>3142890632</v>
      </c>
      <c r="G401" s="286">
        <v>1010165579</v>
      </c>
      <c r="H401" s="286" t="s">
        <v>8086</v>
      </c>
      <c r="I401" s="290">
        <v>46079</v>
      </c>
      <c r="J401" s="291"/>
      <c r="K401" s="291"/>
      <c r="L401" s="291"/>
      <c r="M401" s="291"/>
      <c r="N401" s="291"/>
      <c r="O401" s="291"/>
      <c r="P401" s="291"/>
      <c r="Q401" s="291"/>
      <c r="R401" s="291"/>
      <c r="S401" s="291"/>
      <c r="T401" s="291"/>
      <c r="U401" s="291"/>
      <c r="V401" s="291"/>
      <c r="W401" s="291"/>
      <c r="X401" s="291"/>
      <c r="Y401" s="291"/>
      <c r="Z401" s="291"/>
    </row>
    <row r="402" spans="1:26" ht="14">
      <c r="A402" s="286" t="s">
        <v>8087</v>
      </c>
      <c r="B402" s="286" t="s">
        <v>2741</v>
      </c>
      <c r="C402" s="287">
        <v>903</v>
      </c>
      <c r="D402" s="288" t="s">
        <v>2742</v>
      </c>
      <c r="E402" s="288" t="s">
        <v>8088</v>
      </c>
      <c r="F402" s="289">
        <v>3115615485</v>
      </c>
      <c r="G402" s="286" t="s">
        <v>8089</v>
      </c>
      <c r="H402" s="286" t="s">
        <v>8090</v>
      </c>
      <c r="I402" s="290">
        <v>46079</v>
      </c>
      <c r="J402" s="291"/>
      <c r="K402" s="291"/>
      <c r="L402" s="291"/>
      <c r="M402" s="291"/>
      <c r="N402" s="291"/>
      <c r="O402" s="291"/>
      <c r="P402" s="291"/>
      <c r="Q402" s="291"/>
      <c r="R402" s="291"/>
      <c r="S402" s="291"/>
      <c r="T402" s="291"/>
      <c r="U402" s="291"/>
      <c r="V402" s="291"/>
      <c r="W402" s="291"/>
      <c r="X402" s="291"/>
      <c r="Y402" s="291"/>
      <c r="Z402" s="291"/>
    </row>
    <row r="403" spans="1:26" ht="14">
      <c r="A403" s="286" t="s">
        <v>140</v>
      </c>
      <c r="B403" s="286" t="s">
        <v>8091</v>
      </c>
      <c r="C403" s="287">
        <v>502</v>
      </c>
      <c r="D403" s="288"/>
      <c r="E403" s="288"/>
      <c r="F403" s="289">
        <v>3143343866</v>
      </c>
      <c r="G403" s="286">
        <v>17971535</v>
      </c>
      <c r="H403" s="286" t="s">
        <v>8092</v>
      </c>
      <c r="I403" s="291"/>
      <c r="J403" s="291"/>
      <c r="K403" s="291"/>
      <c r="L403" s="291"/>
      <c r="M403" s="291"/>
      <c r="N403" s="291"/>
      <c r="O403" s="291"/>
      <c r="P403" s="291"/>
      <c r="Q403" s="291"/>
      <c r="R403" s="291"/>
      <c r="S403" s="291"/>
      <c r="T403" s="291"/>
      <c r="U403" s="291"/>
      <c r="V403" s="291"/>
      <c r="W403" s="291"/>
      <c r="X403" s="291"/>
      <c r="Y403" s="291"/>
      <c r="Z403" s="291"/>
    </row>
    <row r="404" spans="1:26" ht="14">
      <c r="A404" s="286" t="s">
        <v>8093</v>
      </c>
      <c r="B404" s="286" t="s">
        <v>8094</v>
      </c>
      <c r="C404" s="287"/>
      <c r="D404" s="288" t="s">
        <v>8095</v>
      </c>
      <c r="E404" s="288"/>
      <c r="F404" s="289">
        <v>3204850078</v>
      </c>
      <c r="G404" s="286">
        <v>52422883</v>
      </c>
      <c r="H404" s="286" t="s">
        <v>8096</v>
      </c>
      <c r="I404" s="290">
        <v>46079</v>
      </c>
      <c r="J404" s="291"/>
      <c r="K404" s="291"/>
      <c r="L404" s="291"/>
      <c r="M404" s="291"/>
      <c r="N404" s="291"/>
      <c r="O404" s="291"/>
      <c r="P404" s="291"/>
      <c r="Q404" s="291"/>
      <c r="R404" s="291"/>
      <c r="S404" s="291"/>
      <c r="T404" s="291"/>
      <c r="U404" s="291"/>
      <c r="V404" s="291"/>
      <c r="W404" s="291"/>
      <c r="X404" s="291"/>
      <c r="Y404" s="291"/>
      <c r="Z404" s="291"/>
    </row>
    <row r="405" spans="1:26" ht="14">
      <c r="A405" s="286" t="s">
        <v>8097</v>
      </c>
      <c r="B405" s="286" t="s">
        <v>8098</v>
      </c>
      <c r="C405" s="287">
        <v>301</v>
      </c>
      <c r="D405" s="288" t="s">
        <v>8099</v>
      </c>
      <c r="E405" s="288"/>
      <c r="F405" s="289">
        <v>3102391236</v>
      </c>
      <c r="G405" s="286">
        <v>52266321</v>
      </c>
      <c r="H405" s="286" t="s">
        <v>8100</v>
      </c>
      <c r="I405" s="290">
        <v>46079</v>
      </c>
      <c r="J405" s="291"/>
      <c r="K405" s="291"/>
      <c r="L405" s="291"/>
      <c r="M405" s="291"/>
      <c r="N405" s="291"/>
      <c r="O405" s="291"/>
      <c r="P405" s="291"/>
      <c r="Q405" s="291"/>
      <c r="R405" s="291"/>
      <c r="S405" s="291"/>
      <c r="T405" s="291"/>
      <c r="U405" s="291"/>
      <c r="V405" s="291"/>
      <c r="W405" s="291"/>
      <c r="X405" s="291"/>
      <c r="Y405" s="291"/>
      <c r="Z405" s="291"/>
    </row>
    <row r="406" spans="1:26" ht="14">
      <c r="A406" s="286" t="s">
        <v>8101</v>
      </c>
      <c r="B406" s="286" t="s">
        <v>8102</v>
      </c>
      <c r="C406" s="287">
        <v>303</v>
      </c>
      <c r="D406" s="288"/>
      <c r="E406" s="288"/>
      <c r="F406" s="289">
        <v>3017968240</v>
      </c>
      <c r="G406" s="286">
        <v>1020827021</v>
      </c>
      <c r="H406" s="286" t="s">
        <v>8103</v>
      </c>
      <c r="I406" s="290">
        <v>46079</v>
      </c>
      <c r="J406" s="291"/>
      <c r="K406" s="291"/>
      <c r="L406" s="291"/>
      <c r="M406" s="291"/>
      <c r="N406" s="291"/>
      <c r="O406" s="291"/>
      <c r="P406" s="291"/>
      <c r="Q406" s="291"/>
      <c r="R406" s="291"/>
      <c r="S406" s="291"/>
      <c r="T406" s="291"/>
      <c r="U406" s="291"/>
      <c r="V406" s="291"/>
      <c r="W406" s="291"/>
      <c r="X406" s="291"/>
      <c r="Y406" s="291"/>
      <c r="Z406" s="291"/>
    </row>
    <row r="407" spans="1:26" ht="14">
      <c r="A407" s="286" t="s">
        <v>837</v>
      </c>
      <c r="B407" s="286" t="s">
        <v>8104</v>
      </c>
      <c r="C407" s="287">
        <v>301</v>
      </c>
      <c r="D407" s="288"/>
      <c r="E407" s="288" t="s">
        <v>8105</v>
      </c>
      <c r="F407" s="289">
        <v>3005743599</v>
      </c>
      <c r="G407" s="286">
        <v>1026256295</v>
      </c>
      <c r="H407" s="286" t="s">
        <v>8106</v>
      </c>
      <c r="I407" s="290">
        <v>46079</v>
      </c>
      <c r="J407" s="291"/>
      <c r="K407" s="291"/>
      <c r="L407" s="291"/>
      <c r="M407" s="291"/>
      <c r="N407" s="291"/>
      <c r="O407" s="291"/>
      <c r="P407" s="291"/>
      <c r="Q407" s="291"/>
      <c r="R407" s="291"/>
      <c r="S407" s="291"/>
      <c r="T407" s="291"/>
      <c r="U407" s="291"/>
      <c r="V407" s="291"/>
      <c r="W407" s="291"/>
      <c r="X407" s="291"/>
      <c r="Y407" s="291"/>
      <c r="Z407" s="291"/>
    </row>
    <row r="408" spans="1:26" ht="14">
      <c r="A408" s="286" t="s">
        <v>8107</v>
      </c>
      <c r="B408" s="286" t="s">
        <v>8108</v>
      </c>
      <c r="C408" s="287">
        <v>403</v>
      </c>
      <c r="D408" s="288" t="s">
        <v>8109</v>
      </c>
      <c r="E408" s="288"/>
      <c r="F408" s="289">
        <v>3112296886</v>
      </c>
      <c r="G408" s="286">
        <v>94536396</v>
      </c>
      <c r="H408" s="286" t="s">
        <v>8110</v>
      </c>
      <c r="I408" s="290">
        <v>46079</v>
      </c>
      <c r="J408" s="291"/>
      <c r="K408" s="291"/>
      <c r="L408" s="291"/>
      <c r="M408" s="291"/>
      <c r="N408" s="291"/>
      <c r="O408" s="291"/>
      <c r="P408" s="291"/>
      <c r="Q408" s="291"/>
      <c r="R408" s="291"/>
      <c r="S408" s="291"/>
      <c r="T408" s="291"/>
      <c r="U408" s="291"/>
      <c r="V408" s="291"/>
      <c r="W408" s="291"/>
      <c r="X408" s="291"/>
      <c r="Y408" s="291"/>
      <c r="Z408" s="291"/>
    </row>
    <row r="409" spans="1:26" ht="17.25" customHeight="1">
      <c r="A409" s="286" t="s">
        <v>166</v>
      </c>
      <c r="B409" s="286" t="s">
        <v>8111</v>
      </c>
      <c r="C409" s="287">
        <v>501</v>
      </c>
      <c r="D409" s="288" t="s">
        <v>8112</v>
      </c>
      <c r="E409" s="288"/>
      <c r="F409" s="289">
        <v>3203064579</v>
      </c>
      <c r="G409" s="286">
        <v>52717222</v>
      </c>
      <c r="H409" s="286" t="s">
        <v>8113</v>
      </c>
      <c r="I409" s="291"/>
      <c r="J409" s="291"/>
      <c r="K409" s="291"/>
      <c r="L409" s="291"/>
      <c r="M409" s="291"/>
      <c r="N409" s="291"/>
      <c r="O409" s="291"/>
      <c r="P409" s="291"/>
      <c r="Q409" s="291"/>
      <c r="R409" s="291"/>
      <c r="S409" s="291"/>
      <c r="T409" s="291"/>
      <c r="U409" s="291"/>
      <c r="V409" s="291"/>
      <c r="W409" s="291"/>
      <c r="X409" s="291"/>
      <c r="Y409" s="291"/>
      <c r="Z409" s="291"/>
    </row>
    <row r="410" spans="1:26" ht="14">
      <c r="A410" s="286" t="s">
        <v>1253</v>
      </c>
      <c r="B410" s="286" t="s">
        <v>8114</v>
      </c>
      <c r="C410" s="287"/>
      <c r="D410" s="288"/>
      <c r="E410" s="288"/>
      <c r="F410" s="289">
        <v>3163068818</v>
      </c>
      <c r="G410" s="286">
        <v>175367</v>
      </c>
      <c r="H410" s="286" t="s">
        <v>8115</v>
      </c>
      <c r="I410" s="291"/>
      <c r="J410" s="291"/>
      <c r="K410" s="291"/>
      <c r="L410" s="291"/>
      <c r="M410" s="291"/>
      <c r="N410" s="291"/>
      <c r="O410" s="291"/>
      <c r="P410" s="291"/>
      <c r="Q410" s="291"/>
      <c r="R410" s="291"/>
      <c r="S410" s="291"/>
      <c r="T410" s="291"/>
      <c r="U410" s="291"/>
      <c r="V410" s="291"/>
      <c r="W410" s="291"/>
      <c r="X410" s="291"/>
      <c r="Y410" s="291"/>
      <c r="Z410" s="291"/>
    </row>
    <row r="411" spans="1:26" ht="14">
      <c r="A411" s="286" t="s">
        <v>8116</v>
      </c>
      <c r="B411" s="286" t="s">
        <v>8117</v>
      </c>
      <c r="C411" s="287">
        <v>108</v>
      </c>
      <c r="D411" s="288" t="s">
        <v>8118</v>
      </c>
      <c r="E411" s="288"/>
      <c r="F411" s="289">
        <v>3164034536</v>
      </c>
      <c r="G411" s="286">
        <v>1144056313</v>
      </c>
      <c r="H411" s="286" t="s">
        <v>8119</v>
      </c>
      <c r="I411" s="290">
        <v>46079</v>
      </c>
      <c r="J411" s="291"/>
      <c r="K411" s="291"/>
      <c r="L411" s="291"/>
      <c r="M411" s="291"/>
      <c r="N411" s="291"/>
      <c r="O411" s="291"/>
      <c r="P411" s="291"/>
      <c r="Q411" s="291"/>
      <c r="R411" s="291"/>
      <c r="S411" s="291"/>
      <c r="T411" s="291"/>
      <c r="U411" s="291"/>
      <c r="V411" s="291"/>
      <c r="W411" s="291"/>
      <c r="X411" s="291"/>
      <c r="Y411" s="291"/>
      <c r="Z411" s="291"/>
    </row>
    <row r="412" spans="1:26" ht="18.75" customHeight="1">
      <c r="A412" s="286" t="s">
        <v>89</v>
      </c>
      <c r="B412" s="286" t="s">
        <v>5084</v>
      </c>
      <c r="C412" s="287">
        <v>209</v>
      </c>
      <c r="D412" s="288"/>
      <c r="E412" s="288"/>
      <c r="F412" s="289">
        <v>3508668841</v>
      </c>
      <c r="G412" s="286">
        <v>1018434375</v>
      </c>
      <c r="H412" s="286" t="s">
        <v>8120</v>
      </c>
      <c r="I412" s="290">
        <v>46080</v>
      </c>
      <c r="J412" s="291"/>
      <c r="K412" s="291"/>
      <c r="L412" s="291"/>
      <c r="M412" s="291"/>
      <c r="N412" s="291"/>
      <c r="O412" s="291"/>
      <c r="P412" s="291"/>
      <c r="Q412" s="291"/>
      <c r="R412" s="291"/>
      <c r="S412" s="291"/>
      <c r="T412" s="291"/>
      <c r="U412" s="291"/>
      <c r="V412" s="291"/>
      <c r="W412" s="291"/>
      <c r="X412" s="291"/>
      <c r="Y412" s="291"/>
      <c r="Z412" s="291"/>
    </row>
    <row r="413" spans="1:26" ht="14">
      <c r="A413" s="286" t="s">
        <v>566</v>
      </c>
      <c r="B413" s="286" t="s">
        <v>8121</v>
      </c>
      <c r="C413" s="287">
        <v>606</v>
      </c>
      <c r="D413" s="288"/>
      <c r="E413" s="288"/>
      <c r="F413" s="289">
        <v>3115057828</v>
      </c>
      <c r="G413" s="286">
        <v>52619697</v>
      </c>
      <c r="H413" s="286" t="s">
        <v>8122</v>
      </c>
      <c r="I413" s="290">
        <v>46080</v>
      </c>
      <c r="J413" s="291"/>
      <c r="K413" s="291"/>
      <c r="L413" s="291"/>
      <c r="M413" s="291"/>
      <c r="N413" s="291"/>
      <c r="O413" s="291"/>
      <c r="P413" s="291"/>
      <c r="Q413" s="291"/>
      <c r="R413" s="291"/>
      <c r="S413" s="291"/>
      <c r="T413" s="291"/>
      <c r="U413" s="291"/>
      <c r="V413" s="291"/>
      <c r="W413" s="291"/>
      <c r="X413" s="291"/>
      <c r="Y413" s="291"/>
      <c r="Z413" s="291"/>
    </row>
    <row r="414" spans="1:26" ht="14">
      <c r="A414" s="286" t="s">
        <v>7965</v>
      </c>
      <c r="B414" s="286" t="s">
        <v>8123</v>
      </c>
      <c r="C414" s="287">
        <v>201</v>
      </c>
      <c r="D414" s="288" t="s">
        <v>8124</v>
      </c>
      <c r="E414" s="288" t="s">
        <v>8125</v>
      </c>
      <c r="F414" s="289">
        <v>3118395970</v>
      </c>
      <c r="G414" s="286">
        <v>60305842</v>
      </c>
      <c r="H414" s="286" t="s">
        <v>8126</v>
      </c>
      <c r="I414" s="291"/>
      <c r="J414" s="291"/>
      <c r="K414" s="291"/>
      <c r="L414" s="291"/>
      <c r="M414" s="291"/>
      <c r="N414" s="291"/>
      <c r="O414" s="291"/>
      <c r="P414" s="291"/>
      <c r="Q414" s="291"/>
      <c r="R414" s="291"/>
      <c r="S414" s="291"/>
      <c r="T414" s="291"/>
      <c r="U414" s="291"/>
      <c r="V414" s="291"/>
      <c r="W414" s="291"/>
      <c r="X414" s="291"/>
      <c r="Y414" s="291"/>
      <c r="Z414" s="291"/>
    </row>
    <row r="415" spans="1:26" ht="14">
      <c r="A415" s="286" t="s">
        <v>1553</v>
      </c>
      <c r="B415" s="286" t="s">
        <v>2836</v>
      </c>
      <c r="C415" s="287">
        <v>501</v>
      </c>
      <c r="D415" s="288"/>
      <c r="E415" s="288"/>
      <c r="F415" s="289">
        <v>3182210921</v>
      </c>
      <c r="G415" s="286">
        <v>52154741</v>
      </c>
      <c r="H415" s="286" t="s">
        <v>7472</v>
      </c>
      <c r="I415" s="290">
        <v>46080</v>
      </c>
      <c r="J415" s="291"/>
      <c r="K415" s="291"/>
      <c r="L415" s="291"/>
      <c r="M415" s="291"/>
      <c r="N415" s="291"/>
      <c r="O415" s="291"/>
      <c r="P415" s="291"/>
      <c r="Q415" s="291"/>
      <c r="R415" s="291"/>
      <c r="S415" s="291"/>
      <c r="T415" s="291"/>
      <c r="U415" s="291"/>
      <c r="V415" s="291"/>
      <c r="W415" s="291"/>
      <c r="X415" s="291"/>
      <c r="Y415" s="291"/>
      <c r="Z415" s="291"/>
    </row>
    <row r="416" spans="1:26" ht="14">
      <c r="A416" s="286" t="s">
        <v>8127</v>
      </c>
      <c r="B416" s="286" t="s">
        <v>8128</v>
      </c>
      <c r="C416" s="287">
        <v>701</v>
      </c>
      <c r="D416" s="288" t="s">
        <v>2815</v>
      </c>
      <c r="E416" s="288"/>
      <c r="F416" s="289">
        <v>3102241879</v>
      </c>
      <c r="G416" s="286">
        <v>42079355</v>
      </c>
      <c r="H416" s="286" t="s">
        <v>8129</v>
      </c>
      <c r="I416" s="290">
        <v>46080</v>
      </c>
      <c r="J416" s="291"/>
      <c r="K416" s="291"/>
      <c r="L416" s="291"/>
      <c r="M416" s="291"/>
      <c r="N416" s="291"/>
      <c r="O416" s="291"/>
      <c r="P416" s="291"/>
      <c r="Q416" s="291"/>
      <c r="R416" s="291"/>
      <c r="S416" s="291"/>
      <c r="T416" s="291"/>
      <c r="U416" s="291"/>
      <c r="V416" s="291"/>
      <c r="W416" s="291"/>
      <c r="X416" s="291"/>
      <c r="Y416" s="291"/>
      <c r="Z416" s="291"/>
    </row>
    <row r="417" spans="1:26" ht="14">
      <c r="A417" s="286" t="s">
        <v>8130</v>
      </c>
      <c r="B417" s="286" t="s">
        <v>8131</v>
      </c>
      <c r="C417" s="287">
        <v>605</v>
      </c>
      <c r="D417" s="288"/>
      <c r="E417" s="288"/>
      <c r="F417" s="289">
        <v>3167473477</v>
      </c>
      <c r="G417" s="286">
        <v>41726152</v>
      </c>
      <c r="H417" s="286" t="s">
        <v>8132</v>
      </c>
      <c r="I417" s="290">
        <v>46080</v>
      </c>
      <c r="J417" s="291"/>
      <c r="K417" s="291"/>
      <c r="L417" s="291"/>
      <c r="M417" s="291"/>
      <c r="N417" s="291"/>
      <c r="O417" s="291"/>
      <c r="P417" s="291"/>
      <c r="Q417" s="291"/>
      <c r="R417" s="291"/>
      <c r="S417" s="291"/>
      <c r="T417" s="291"/>
      <c r="U417" s="291"/>
      <c r="V417" s="291"/>
      <c r="W417" s="291"/>
      <c r="X417" s="291"/>
      <c r="Y417" s="291"/>
      <c r="Z417" s="291"/>
    </row>
    <row r="418" spans="1:26" ht="14">
      <c r="A418" s="286" t="s">
        <v>237</v>
      </c>
      <c r="B418" s="286" t="s">
        <v>8133</v>
      </c>
      <c r="C418" s="287">
        <v>301</v>
      </c>
      <c r="D418" s="288" t="s">
        <v>8134</v>
      </c>
      <c r="E418" s="288"/>
      <c r="F418" s="289">
        <v>3102134859</v>
      </c>
      <c r="G418" s="286">
        <v>41509790</v>
      </c>
      <c r="H418" s="286" t="s">
        <v>8135</v>
      </c>
      <c r="I418" s="291"/>
      <c r="J418" s="291"/>
      <c r="K418" s="291"/>
      <c r="L418" s="291"/>
      <c r="M418" s="291"/>
      <c r="N418" s="291"/>
      <c r="O418" s="291"/>
      <c r="P418" s="291"/>
      <c r="Q418" s="291"/>
      <c r="R418" s="291"/>
      <c r="S418" s="291"/>
      <c r="T418" s="291"/>
      <c r="U418" s="291"/>
      <c r="V418" s="291"/>
      <c r="W418" s="291"/>
      <c r="X418" s="291"/>
      <c r="Y418" s="291"/>
      <c r="Z418" s="291"/>
    </row>
    <row r="419" spans="1:26" ht="14">
      <c r="A419" s="286" t="s">
        <v>8136</v>
      </c>
      <c r="B419" s="286" t="s">
        <v>4012</v>
      </c>
      <c r="C419" s="287">
        <v>804</v>
      </c>
      <c r="D419" s="288"/>
      <c r="E419" s="288"/>
      <c r="F419" s="289">
        <v>3203458835</v>
      </c>
      <c r="G419" s="286">
        <v>1136879398</v>
      </c>
      <c r="H419" s="286" t="s">
        <v>8137</v>
      </c>
      <c r="I419" s="290">
        <v>46080</v>
      </c>
      <c r="J419" s="291"/>
      <c r="K419" s="291"/>
      <c r="L419" s="291"/>
      <c r="M419" s="291"/>
      <c r="N419" s="291"/>
      <c r="O419" s="291"/>
      <c r="P419" s="291"/>
      <c r="Q419" s="291"/>
      <c r="R419" s="291"/>
      <c r="S419" s="291"/>
      <c r="T419" s="291"/>
      <c r="U419" s="291"/>
      <c r="V419" s="291"/>
      <c r="W419" s="291"/>
      <c r="X419" s="291"/>
      <c r="Y419" s="291"/>
      <c r="Z419" s="291"/>
    </row>
    <row r="420" spans="1:26" ht="14">
      <c r="A420" s="286" t="s">
        <v>8138</v>
      </c>
      <c r="B420" s="286" t="s">
        <v>5007</v>
      </c>
      <c r="C420" s="287" t="s">
        <v>8139</v>
      </c>
      <c r="D420" s="288" t="s">
        <v>8140</v>
      </c>
      <c r="E420" s="288"/>
      <c r="F420" s="289">
        <v>3005645297</v>
      </c>
      <c r="G420" s="286">
        <v>43578699</v>
      </c>
      <c r="H420" s="286" t="s">
        <v>8141</v>
      </c>
      <c r="I420" s="290">
        <v>46080</v>
      </c>
      <c r="J420" s="291"/>
      <c r="K420" s="291"/>
      <c r="L420" s="291"/>
      <c r="M420" s="291"/>
      <c r="N420" s="291"/>
      <c r="O420" s="291"/>
      <c r="P420" s="291"/>
      <c r="Q420" s="291"/>
      <c r="R420" s="291"/>
      <c r="S420" s="291"/>
      <c r="T420" s="291"/>
      <c r="U420" s="291"/>
      <c r="V420" s="291"/>
      <c r="W420" s="291"/>
      <c r="X420" s="291"/>
      <c r="Y420" s="291"/>
      <c r="Z420" s="291"/>
    </row>
    <row r="421" spans="1:26" ht="14">
      <c r="A421" s="286" t="s">
        <v>1250</v>
      </c>
      <c r="B421" s="286" t="s">
        <v>8142</v>
      </c>
      <c r="C421" s="287">
        <v>101</v>
      </c>
      <c r="D421" s="288" t="s">
        <v>8143</v>
      </c>
      <c r="E421" s="288"/>
      <c r="F421" s="289">
        <v>3114827515</v>
      </c>
      <c r="G421" s="286">
        <v>39695737</v>
      </c>
      <c r="H421" s="286" t="s">
        <v>8144</v>
      </c>
      <c r="I421" s="291"/>
      <c r="J421" s="291"/>
      <c r="K421" s="291"/>
      <c r="L421" s="291"/>
      <c r="M421" s="291"/>
      <c r="N421" s="291"/>
      <c r="O421" s="291"/>
      <c r="P421" s="291"/>
      <c r="Q421" s="291"/>
      <c r="R421" s="291"/>
      <c r="S421" s="291"/>
      <c r="T421" s="291"/>
      <c r="U421" s="291"/>
      <c r="V421" s="291"/>
      <c r="W421" s="291"/>
      <c r="X421" s="291"/>
      <c r="Y421" s="291"/>
      <c r="Z421" s="291"/>
    </row>
    <row r="422" spans="1:26" ht="14">
      <c r="A422" s="286" t="s">
        <v>8145</v>
      </c>
      <c r="B422" s="286" t="s">
        <v>8146</v>
      </c>
      <c r="C422" s="287">
        <v>911</v>
      </c>
      <c r="D422" s="288" t="s">
        <v>8147</v>
      </c>
      <c r="E422" s="288"/>
      <c r="F422" s="289">
        <v>3004638785</v>
      </c>
      <c r="G422" s="286">
        <v>66740940</v>
      </c>
      <c r="H422" s="286" t="s">
        <v>8148</v>
      </c>
      <c r="I422" s="290">
        <v>46080</v>
      </c>
      <c r="J422" s="291"/>
      <c r="K422" s="291"/>
      <c r="L422" s="291"/>
      <c r="M422" s="291"/>
      <c r="N422" s="291"/>
      <c r="O422" s="291"/>
      <c r="P422" s="291"/>
      <c r="Q422" s="291"/>
      <c r="R422" s="291"/>
      <c r="S422" s="291"/>
      <c r="T422" s="291"/>
      <c r="U422" s="291"/>
      <c r="V422" s="291"/>
      <c r="W422" s="291"/>
      <c r="X422" s="291"/>
      <c r="Y422" s="291"/>
      <c r="Z422" s="291"/>
    </row>
    <row r="423" spans="1:26" ht="14">
      <c r="A423" s="286" t="s">
        <v>249</v>
      </c>
      <c r="B423" s="286" t="s">
        <v>8149</v>
      </c>
      <c r="C423" s="287">
        <v>504</v>
      </c>
      <c r="D423" s="288"/>
      <c r="E423" s="288"/>
      <c r="F423" s="289">
        <v>3058791180</v>
      </c>
      <c r="G423" s="286">
        <v>1020736069</v>
      </c>
      <c r="H423" s="286" t="s">
        <v>8150</v>
      </c>
      <c r="I423" s="291"/>
      <c r="J423" s="291"/>
      <c r="K423" s="291"/>
      <c r="L423" s="291"/>
      <c r="M423" s="291"/>
      <c r="N423" s="291"/>
      <c r="O423" s="291"/>
      <c r="P423" s="291"/>
      <c r="Q423" s="291"/>
      <c r="R423" s="291"/>
      <c r="S423" s="291"/>
      <c r="T423" s="291"/>
      <c r="U423" s="291"/>
      <c r="V423" s="291"/>
      <c r="W423" s="291"/>
      <c r="X423" s="291"/>
      <c r="Y423" s="291"/>
      <c r="Z423" s="291"/>
    </row>
    <row r="424" spans="1:26" ht="14">
      <c r="A424" s="286" t="s">
        <v>102</v>
      </c>
      <c r="B424" s="286" t="s">
        <v>8151</v>
      </c>
      <c r="C424" s="287">
        <v>603</v>
      </c>
      <c r="D424" s="288"/>
      <c r="E424" s="288"/>
      <c r="F424" s="289">
        <v>3133216707</v>
      </c>
      <c r="G424" s="286">
        <v>53050434</v>
      </c>
      <c r="H424" s="286" t="s">
        <v>8152</v>
      </c>
      <c r="I424" s="291"/>
      <c r="J424" s="291"/>
      <c r="K424" s="291"/>
      <c r="L424" s="291"/>
      <c r="M424" s="291"/>
      <c r="N424" s="291"/>
      <c r="O424" s="291"/>
      <c r="P424" s="291"/>
      <c r="Q424" s="291"/>
      <c r="R424" s="291"/>
      <c r="S424" s="291"/>
      <c r="T424" s="291"/>
      <c r="U424" s="291"/>
      <c r="V424" s="291"/>
      <c r="W424" s="291"/>
      <c r="X424" s="291"/>
      <c r="Y424" s="291"/>
      <c r="Z424" s="291"/>
    </row>
    <row r="425" spans="1:26" ht="14">
      <c r="A425" s="286" t="s">
        <v>8153</v>
      </c>
      <c r="B425" s="286" t="s">
        <v>5003</v>
      </c>
      <c r="C425" s="287">
        <v>1101</v>
      </c>
      <c r="D425" s="288" t="s">
        <v>8154</v>
      </c>
      <c r="E425" s="288" t="s">
        <v>8155</v>
      </c>
      <c r="F425" s="289">
        <v>3164739096</v>
      </c>
      <c r="G425" s="286">
        <v>35475301</v>
      </c>
      <c r="H425" s="286" t="s">
        <v>8156</v>
      </c>
      <c r="I425" s="290">
        <v>46080</v>
      </c>
      <c r="J425" s="291"/>
      <c r="K425" s="291"/>
      <c r="L425" s="291"/>
      <c r="M425" s="291"/>
      <c r="N425" s="291"/>
      <c r="O425" s="291"/>
      <c r="P425" s="291"/>
      <c r="Q425" s="291"/>
      <c r="R425" s="291"/>
      <c r="S425" s="291"/>
      <c r="T425" s="291"/>
      <c r="U425" s="291"/>
      <c r="V425" s="291"/>
      <c r="W425" s="291"/>
      <c r="X425" s="291"/>
      <c r="Y425" s="291"/>
      <c r="Z425" s="291"/>
    </row>
    <row r="426" spans="1:26" ht="14">
      <c r="A426" s="286" t="s">
        <v>1722</v>
      </c>
      <c r="B426" s="286" t="s">
        <v>8157</v>
      </c>
      <c r="C426" s="287">
        <v>1003</v>
      </c>
      <c r="D426" s="288"/>
      <c r="E426" s="288"/>
      <c r="F426" s="289">
        <v>3102971076</v>
      </c>
      <c r="G426" s="286">
        <v>52996244</v>
      </c>
      <c r="H426" s="286" t="s">
        <v>8158</v>
      </c>
      <c r="I426" s="291"/>
      <c r="J426" s="291"/>
      <c r="K426" s="291"/>
      <c r="L426" s="291"/>
      <c r="M426" s="291"/>
      <c r="N426" s="291"/>
      <c r="O426" s="291"/>
      <c r="P426" s="291"/>
      <c r="Q426" s="291"/>
      <c r="R426" s="291"/>
      <c r="S426" s="291"/>
      <c r="T426" s="291"/>
      <c r="U426" s="291"/>
      <c r="V426" s="291"/>
      <c r="W426" s="291"/>
      <c r="X426" s="291"/>
      <c r="Y426" s="291"/>
      <c r="Z426" s="291"/>
    </row>
    <row r="427" spans="1:26" ht="14">
      <c r="A427" s="286" t="s">
        <v>354</v>
      </c>
      <c r="B427" s="286" t="s">
        <v>8159</v>
      </c>
      <c r="C427" s="287">
        <v>403</v>
      </c>
      <c r="D427" s="288" t="s">
        <v>8160</v>
      </c>
      <c r="E427" s="288"/>
      <c r="F427" s="289">
        <v>3103237020</v>
      </c>
      <c r="G427" s="286">
        <v>79881047</v>
      </c>
      <c r="H427" s="286" t="s">
        <v>8161</v>
      </c>
      <c r="I427" s="291"/>
      <c r="J427" s="291"/>
      <c r="K427" s="291"/>
      <c r="L427" s="291"/>
      <c r="M427" s="291"/>
      <c r="N427" s="291"/>
      <c r="O427" s="291"/>
      <c r="P427" s="291"/>
      <c r="Q427" s="291"/>
      <c r="R427" s="291"/>
      <c r="S427" s="291"/>
      <c r="T427" s="291"/>
      <c r="U427" s="291"/>
      <c r="V427" s="291"/>
      <c r="W427" s="291"/>
      <c r="X427" s="291"/>
      <c r="Y427" s="291"/>
      <c r="Z427" s="291"/>
    </row>
    <row r="428" spans="1:26" ht="14">
      <c r="A428" s="286" t="s">
        <v>18</v>
      </c>
      <c r="B428" s="286" t="s">
        <v>8162</v>
      </c>
      <c r="C428" s="287">
        <v>502</v>
      </c>
      <c r="D428" s="288"/>
      <c r="E428" s="288"/>
      <c r="F428" s="289">
        <v>3002070357</v>
      </c>
      <c r="G428" s="286">
        <v>45441255</v>
      </c>
      <c r="H428" s="286" t="s">
        <v>8163</v>
      </c>
      <c r="I428" s="290">
        <v>46080</v>
      </c>
      <c r="J428" s="291"/>
      <c r="K428" s="291"/>
      <c r="L428" s="291"/>
      <c r="M428" s="291"/>
      <c r="N428" s="291"/>
      <c r="O428" s="291"/>
      <c r="P428" s="291"/>
      <c r="Q428" s="291"/>
      <c r="R428" s="291"/>
      <c r="S428" s="291"/>
      <c r="T428" s="291"/>
      <c r="U428" s="291"/>
      <c r="V428" s="291"/>
      <c r="W428" s="291"/>
      <c r="X428" s="291"/>
      <c r="Y428" s="291"/>
      <c r="Z428" s="291"/>
    </row>
    <row r="429" spans="1:26" ht="14">
      <c r="A429" s="286" t="s">
        <v>8164</v>
      </c>
      <c r="B429" s="286" t="s">
        <v>8165</v>
      </c>
      <c r="C429" s="287" t="s">
        <v>4795</v>
      </c>
      <c r="D429" s="288" t="s">
        <v>8166</v>
      </c>
      <c r="E429" s="288"/>
      <c r="F429" s="289">
        <v>3176493837</v>
      </c>
      <c r="G429" s="286">
        <v>41750005</v>
      </c>
      <c r="H429" s="286" t="s">
        <v>8167</v>
      </c>
      <c r="I429" s="290">
        <v>46080</v>
      </c>
      <c r="J429" s="291"/>
      <c r="K429" s="291"/>
      <c r="L429" s="291"/>
      <c r="M429" s="291"/>
      <c r="N429" s="291"/>
      <c r="O429" s="291"/>
      <c r="P429" s="291"/>
      <c r="Q429" s="291"/>
      <c r="R429" s="291"/>
      <c r="S429" s="291"/>
      <c r="T429" s="291"/>
      <c r="U429" s="291"/>
      <c r="V429" s="291"/>
      <c r="W429" s="291"/>
      <c r="X429" s="291"/>
      <c r="Y429" s="291"/>
      <c r="Z429" s="291"/>
    </row>
    <row r="430" spans="1:26" ht="16.5" customHeight="1">
      <c r="A430" s="286" t="s">
        <v>8168</v>
      </c>
      <c r="B430" s="286" t="s">
        <v>8169</v>
      </c>
      <c r="C430" s="287">
        <v>401</v>
      </c>
      <c r="D430" s="288" t="s">
        <v>8170</v>
      </c>
      <c r="E430" s="288"/>
      <c r="F430" s="289">
        <v>3115356133</v>
      </c>
      <c r="G430" s="286">
        <v>1019036392</v>
      </c>
      <c r="H430" s="286" t="s">
        <v>8171</v>
      </c>
      <c r="I430" s="291"/>
      <c r="J430" s="291"/>
      <c r="K430" s="291"/>
      <c r="L430" s="291"/>
      <c r="M430" s="291"/>
      <c r="N430" s="291"/>
      <c r="O430" s="291"/>
      <c r="P430" s="291"/>
      <c r="Q430" s="291"/>
      <c r="R430" s="291"/>
      <c r="S430" s="291"/>
      <c r="T430" s="291"/>
      <c r="U430" s="291"/>
      <c r="V430" s="291"/>
      <c r="W430" s="291"/>
      <c r="X430" s="291"/>
      <c r="Y430" s="291"/>
      <c r="Z430" s="291"/>
    </row>
    <row r="431" spans="1:26" ht="14">
      <c r="A431" s="286" t="s">
        <v>8172</v>
      </c>
      <c r="B431" s="286" t="s">
        <v>8173</v>
      </c>
      <c r="C431" s="287">
        <v>307</v>
      </c>
      <c r="D431" s="288" t="s">
        <v>8174</v>
      </c>
      <c r="E431" s="288"/>
      <c r="F431" s="289">
        <v>3102440557</v>
      </c>
      <c r="G431" s="286">
        <v>1136879372</v>
      </c>
      <c r="H431" s="286" t="s">
        <v>8175</v>
      </c>
      <c r="I431" s="290">
        <v>46071</v>
      </c>
      <c r="J431" s="291"/>
      <c r="K431" s="291"/>
      <c r="L431" s="291"/>
      <c r="M431" s="291"/>
      <c r="N431" s="291"/>
      <c r="O431" s="291"/>
      <c r="P431" s="291"/>
      <c r="Q431" s="291"/>
      <c r="R431" s="291"/>
      <c r="S431" s="291"/>
      <c r="T431" s="291"/>
      <c r="U431" s="291"/>
      <c r="V431" s="291"/>
      <c r="W431" s="291"/>
      <c r="X431" s="291"/>
      <c r="Y431" s="291"/>
      <c r="Z431" s="291"/>
    </row>
    <row r="432" spans="1:26" ht="15.75" customHeight="1">
      <c r="A432" s="286" t="s">
        <v>311</v>
      </c>
      <c r="B432" s="286" t="s">
        <v>8176</v>
      </c>
      <c r="C432" s="287">
        <v>401</v>
      </c>
      <c r="D432" s="288" t="s">
        <v>8177</v>
      </c>
      <c r="E432" s="288"/>
      <c r="F432" s="289">
        <v>3208997656</v>
      </c>
      <c r="G432" s="286">
        <v>1020780988</v>
      </c>
      <c r="H432" s="286" t="s">
        <v>8178</v>
      </c>
      <c r="I432" s="290">
        <v>46080</v>
      </c>
      <c r="J432" s="291"/>
      <c r="K432" s="291"/>
      <c r="L432" s="291"/>
      <c r="M432" s="291"/>
      <c r="N432" s="291"/>
      <c r="O432" s="291"/>
      <c r="P432" s="291"/>
      <c r="Q432" s="291"/>
      <c r="R432" s="291"/>
      <c r="S432" s="291"/>
      <c r="T432" s="291"/>
      <c r="U432" s="291"/>
      <c r="V432" s="291"/>
      <c r="W432" s="291"/>
      <c r="X432" s="291"/>
      <c r="Y432" s="291"/>
      <c r="Z432" s="291"/>
    </row>
    <row r="433" spans="1:26" ht="15.75" customHeight="1">
      <c r="A433" s="286" t="s">
        <v>24</v>
      </c>
      <c r="B433" s="286" t="s">
        <v>8179</v>
      </c>
      <c r="C433" s="287">
        <v>1108</v>
      </c>
      <c r="D433" s="288"/>
      <c r="E433" s="288"/>
      <c r="F433" s="289">
        <v>3002703970</v>
      </c>
      <c r="G433" s="286">
        <v>19441803</v>
      </c>
      <c r="H433" s="286" t="s">
        <v>8180</v>
      </c>
      <c r="I433" s="290">
        <v>46080</v>
      </c>
      <c r="J433" s="291"/>
      <c r="K433" s="291"/>
      <c r="L433" s="291"/>
      <c r="M433" s="291"/>
      <c r="N433" s="291"/>
      <c r="O433" s="291"/>
      <c r="P433" s="291"/>
      <c r="Q433" s="291"/>
      <c r="R433" s="291"/>
      <c r="S433" s="291"/>
      <c r="T433" s="291"/>
      <c r="U433" s="291"/>
      <c r="V433" s="291"/>
      <c r="W433" s="291"/>
      <c r="X433" s="291"/>
      <c r="Y433" s="291"/>
      <c r="Z433" s="291"/>
    </row>
    <row r="434" spans="1:26" ht="14">
      <c r="A434" s="286" t="s">
        <v>8181</v>
      </c>
      <c r="B434" s="286" t="s">
        <v>8182</v>
      </c>
      <c r="C434" s="287">
        <v>102</v>
      </c>
      <c r="D434" s="288" t="s">
        <v>8183</v>
      </c>
      <c r="E434" s="288"/>
      <c r="F434" s="289">
        <v>3153398493</v>
      </c>
      <c r="G434" s="286">
        <v>41757638</v>
      </c>
      <c r="H434" s="286" t="s">
        <v>8184</v>
      </c>
      <c r="I434" s="290">
        <v>46080</v>
      </c>
      <c r="J434" s="291"/>
      <c r="K434" s="291"/>
      <c r="L434" s="291"/>
      <c r="M434" s="291"/>
      <c r="N434" s="291"/>
      <c r="O434" s="291"/>
      <c r="P434" s="291"/>
      <c r="Q434" s="291"/>
      <c r="R434" s="291"/>
      <c r="S434" s="291"/>
      <c r="T434" s="291"/>
      <c r="U434" s="291"/>
      <c r="V434" s="291"/>
      <c r="W434" s="291"/>
      <c r="X434" s="291"/>
      <c r="Y434" s="291"/>
      <c r="Z434" s="291"/>
    </row>
    <row r="435" spans="1:26" ht="14">
      <c r="A435" s="286" t="s">
        <v>8185</v>
      </c>
      <c r="B435" s="286" t="s">
        <v>8186</v>
      </c>
      <c r="C435" s="287" t="s">
        <v>8187</v>
      </c>
      <c r="D435" s="288" t="s">
        <v>8188</v>
      </c>
      <c r="E435" s="288"/>
      <c r="F435" s="289">
        <v>3015541532</v>
      </c>
      <c r="G435" s="286">
        <v>1020782257</v>
      </c>
      <c r="H435" s="286" t="s">
        <v>8189</v>
      </c>
      <c r="I435" s="290">
        <v>46080</v>
      </c>
      <c r="J435" s="291"/>
      <c r="K435" s="291"/>
      <c r="L435" s="291"/>
      <c r="M435" s="291"/>
      <c r="N435" s="291"/>
      <c r="O435" s="291"/>
      <c r="P435" s="291"/>
      <c r="Q435" s="291"/>
      <c r="R435" s="291"/>
      <c r="S435" s="291"/>
      <c r="T435" s="291"/>
      <c r="U435" s="291"/>
      <c r="V435" s="291"/>
      <c r="W435" s="291"/>
      <c r="X435" s="291"/>
      <c r="Y435" s="291"/>
      <c r="Z435" s="291"/>
    </row>
    <row r="436" spans="1:26" ht="14">
      <c r="A436" s="286" t="s">
        <v>56</v>
      </c>
      <c r="B436" s="286" t="s">
        <v>3324</v>
      </c>
      <c r="C436" s="287">
        <v>709</v>
      </c>
      <c r="D436" s="288" t="s">
        <v>8190</v>
      </c>
      <c r="E436" s="288"/>
      <c r="F436" s="289">
        <v>3108563571</v>
      </c>
      <c r="G436" s="286">
        <v>21070639</v>
      </c>
      <c r="H436" s="286" t="s">
        <v>8191</v>
      </c>
      <c r="I436" s="290">
        <v>46080</v>
      </c>
      <c r="J436" s="291"/>
      <c r="K436" s="291"/>
      <c r="L436" s="291"/>
      <c r="M436" s="291"/>
      <c r="N436" s="291"/>
      <c r="O436" s="291"/>
      <c r="P436" s="291"/>
      <c r="Q436" s="291"/>
      <c r="R436" s="291"/>
      <c r="S436" s="291"/>
      <c r="T436" s="291"/>
      <c r="U436" s="291"/>
      <c r="V436" s="291"/>
      <c r="W436" s="291"/>
      <c r="X436" s="291"/>
      <c r="Y436" s="291"/>
      <c r="Z436" s="291"/>
    </row>
    <row r="437" spans="1:26" ht="18" customHeight="1">
      <c r="A437" s="286" t="s">
        <v>93</v>
      </c>
      <c r="B437" s="286" t="s">
        <v>8192</v>
      </c>
      <c r="C437" s="287">
        <v>201</v>
      </c>
      <c r="D437" s="288"/>
      <c r="E437" s="288"/>
      <c r="F437" s="289">
        <v>3102544838</v>
      </c>
      <c r="G437" s="286">
        <v>52453270</v>
      </c>
      <c r="H437" s="286" t="s">
        <v>8193</v>
      </c>
      <c r="I437" s="290">
        <v>46080</v>
      </c>
      <c r="J437" s="291"/>
      <c r="K437" s="291"/>
      <c r="L437" s="291"/>
      <c r="M437" s="291"/>
      <c r="N437" s="291"/>
      <c r="O437" s="291"/>
      <c r="P437" s="291"/>
      <c r="Q437" s="291"/>
      <c r="R437" s="291"/>
      <c r="S437" s="291"/>
      <c r="T437" s="291"/>
      <c r="U437" s="291"/>
      <c r="V437" s="291"/>
      <c r="W437" s="291"/>
      <c r="X437" s="291"/>
      <c r="Y437" s="291"/>
      <c r="Z437" s="291"/>
    </row>
    <row r="438" spans="1:26" ht="14">
      <c r="A438" s="286" t="s">
        <v>8194</v>
      </c>
      <c r="B438" s="286" t="s">
        <v>8195</v>
      </c>
      <c r="C438" s="287">
        <v>603</v>
      </c>
      <c r="D438" s="288" t="s">
        <v>8196</v>
      </c>
      <c r="E438" s="288" t="s">
        <v>8197</v>
      </c>
      <c r="F438" s="289">
        <v>3107716786</v>
      </c>
      <c r="G438" s="286">
        <v>43251465</v>
      </c>
      <c r="H438" s="286" t="s">
        <v>8198</v>
      </c>
      <c r="I438" s="291"/>
      <c r="J438" s="291"/>
      <c r="K438" s="291"/>
      <c r="L438" s="291"/>
      <c r="M438" s="291"/>
      <c r="N438" s="291"/>
      <c r="O438" s="291"/>
      <c r="P438" s="291"/>
      <c r="Q438" s="291"/>
      <c r="R438" s="291"/>
      <c r="S438" s="291"/>
      <c r="T438" s="291"/>
      <c r="U438" s="291"/>
      <c r="V438" s="291"/>
      <c r="W438" s="291"/>
      <c r="X438" s="291"/>
      <c r="Y438" s="291"/>
      <c r="Z438" s="291"/>
    </row>
    <row r="439" spans="1:26" ht="14">
      <c r="A439" s="286" t="s">
        <v>330</v>
      </c>
      <c r="B439" s="286" t="s">
        <v>8199</v>
      </c>
      <c r="C439" s="287">
        <v>206</v>
      </c>
      <c r="D439" s="288"/>
      <c r="E439" s="288"/>
      <c r="F439" s="289">
        <v>3002083542</v>
      </c>
      <c r="G439" s="286">
        <v>52005831</v>
      </c>
      <c r="H439" s="286" t="s">
        <v>8200</v>
      </c>
      <c r="I439" s="291"/>
      <c r="J439" s="291"/>
      <c r="K439" s="291"/>
      <c r="L439" s="291"/>
      <c r="M439" s="291"/>
      <c r="N439" s="291"/>
      <c r="O439" s="291"/>
      <c r="P439" s="291"/>
      <c r="Q439" s="291"/>
      <c r="R439" s="291"/>
      <c r="S439" s="291"/>
      <c r="T439" s="291"/>
      <c r="U439" s="291"/>
      <c r="V439" s="291"/>
      <c r="W439" s="291"/>
      <c r="X439" s="291"/>
      <c r="Y439" s="291"/>
      <c r="Z439" s="291"/>
    </row>
    <row r="440" spans="1:26" ht="14">
      <c r="A440" s="286" t="s">
        <v>8201</v>
      </c>
      <c r="B440" s="286" t="s">
        <v>8202</v>
      </c>
      <c r="C440" s="287"/>
      <c r="D440" s="288" t="s">
        <v>8203</v>
      </c>
      <c r="E440" s="288" t="s">
        <v>8204</v>
      </c>
      <c r="F440" s="289">
        <v>3115796369</v>
      </c>
      <c r="G440" s="286">
        <v>53074796</v>
      </c>
      <c r="H440" s="286" t="s">
        <v>8205</v>
      </c>
      <c r="I440" s="290">
        <v>46080</v>
      </c>
      <c r="J440" s="291"/>
      <c r="K440" s="291"/>
      <c r="L440" s="291"/>
      <c r="M440" s="291"/>
      <c r="N440" s="291"/>
      <c r="O440" s="291"/>
      <c r="P440" s="291"/>
      <c r="Q440" s="291"/>
      <c r="R440" s="291"/>
      <c r="S440" s="291"/>
      <c r="T440" s="291"/>
      <c r="U440" s="291"/>
      <c r="V440" s="291"/>
      <c r="W440" s="291"/>
      <c r="X440" s="291"/>
      <c r="Y440" s="291"/>
      <c r="Z440" s="291"/>
    </row>
    <row r="441" spans="1:26" ht="14">
      <c r="A441" s="286" t="s">
        <v>8206</v>
      </c>
      <c r="B441" s="286" t="s">
        <v>8207</v>
      </c>
      <c r="C441" s="287">
        <v>201</v>
      </c>
      <c r="D441" s="288" t="s">
        <v>8208</v>
      </c>
      <c r="E441" s="288"/>
      <c r="F441" s="289">
        <v>3052895075</v>
      </c>
      <c r="G441" s="286">
        <v>1020727013</v>
      </c>
      <c r="H441" s="286" t="s">
        <v>8209</v>
      </c>
      <c r="I441" s="290">
        <v>46080</v>
      </c>
      <c r="J441" s="291"/>
      <c r="K441" s="291"/>
      <c r="L441" s="291"/>
      <c r="M441" s="291"/>
      <c r="N441" s="291"/>
      <c r="O441" s="291"/>
      <c r="P441" s="291"/>
      <c r="Q441" s="291"/>
      <c r="R441" s="291"/>
      <c r="S441" s="291"/>
      <c r="T441" s="291"/>
      <c r="U441" s="291"/>
      <c r="V441" s="291"/>
      <c r="W441" s="291"/>
      <c r="X441" s="291"/>
      <c r="Y441" s="291"/>
      <c r="Z441" s="291"/>
    </row>
    <row r="442" spans="1:26" ht="14">
      <c r="A442" s="286" t="s">
        <v>1274</v>
      </c>
      <c r="B442" s="286" t="s">
        <v>8210</v>
      </c>
      <c r="C442" s="287">
        <v>405</v>
      </c>
      <c r="D442" s="288"/>
      <c r="E442" s="288"/>
      <c r="F442" s="289">
        <v>3153613005</v>
      </c>
      <c r="G442" s="286">
        <v>19051624</v>
      </c>
      <c r="H442" s="286" t="s">
        <v>8211</v>
      </c>
      <c r="I442" s="290">
        <v>46080</v>
      </c>
      <c r="J442" s="291"/>
      <c r="K442" s="291"/>
      <c r="L442" s="291"/>
      <c r="M442" s="291"/>
      <c r="N442" s="291"/>
      <c r="O442" s="291"/>
      <c r="P442" s="291"/>
      <c r="Q442" s="291"/>
      <c r="R442" s="291"/>
      <c r="S442" s="291"/>
      <c r="T442" s="291"/>
      <c r="U442" s="291"/>
      <c r="V442" s="291"/>
      <c r="W442" s="291"/>
      <c r="X442" s="291"/>
      <c r="Y442" s="291"/>
      <c r="Z442" s="291"/>
    </row>
    <row r="443" spans="1:26" ht="14">
      <c r="A443" s="286" t="s">
        <v>8212</v>
      </c>
      <c r="B443" s="286" t="s">
        <v>8213</v>
      </c>
      <c r="C443" s="287">
        <v>301</v>
      </c>
      <c r="D443" s="288" t="s">
        <v>8214</v>
      </c>
      <c r="E443" s="288"/>
      <c r="F443" s="289">
        <v>3164742388</v>
      </c>
      <c r="G443" s="286">
        <v>42890635</v>
      </c>
      <c r="H443" s="286" t="s">
        <v>8215</v>
      </c>
      <c r="I443" s="290">
        <v>46080</v>
      </c>
      <c r="J443" s="291"/>
      <c r="K443" s="291"/>
      <c r="L443" s="291"/>
      <c r="M443" s="291"/>
      <c r="N443" s="291"/>
      <c r="O443" s="291"/>
      <c r="P443" s="291"/>
      <c r="Q443" s="291"/>
      <c r="R443" s="291"/>
      <c r="S443" s="291"/>
      <c r="T443" s="291"/>
      <c r="U443" s="291"/>
      <c r="V443" s="291"/>
      <c r="W443" s="291"/>
      <c r="X443" s="291"/>
      <c r="Y443" s="291"/>
      <c r="Z443" s="291"/>
    </row>
    <row r="444" spans="1:26" ht="14">
      <c r="A444" s="286" t="s">
        <v>8216</v>
      </c>
      <c r="B444" s="286" t="s">
        <v>8217</v>
      </c>
      <c r="C444" s="287">
        <v>601</v>
      </c>
      <c r="D444" s="288"/>
      <c r="E444" s="288"/>
      <c r="F444" s="289">
        <v>3152950262</v>
      </c>
      <c r="G444" s="286">
        <v>52415966</v>
      </c>
      <c r="H444" s="286" t="s">
        <v>8218</v>
      </c>
      <c r="I444" s="290">
        <v>46080</v>
      </c>
      <c r="J444" s="291"/>
      <c r="K444" s="291"/>
      <c r="L444" s="291"/>
      <c r="M444" s="291"/>
      <c r="N444" s="291"/>
      <c r="O444" s="291"/>
      <c r="P444" s="291"/>
      <c r="Q444" s="291"/>
      <c r="R444" s="291"/>
      <c r="S444" s="291"/>
      <c r="T444" s="291"/>
      <c r="U444" s="291"/>
      <c r="V444" s="291"/>
      <c r="W444" s="291"/>
      <c r="X444" s="291"/>
      <c r="Y444" s="291"/>
      <c r="Z444" s="291"/>
    </row>
    <row r="445" spans="1:26" ht="18" customHeight="1">
      <c r="A445" s="286" t="s">
        <v>8219</v>
      </c>
      <c r="B445" s="286" t="s">
        <v>8220</v>
      </c>
      <c r="C445" s="287">
        <v>503</v>
      </c>
      <c r="D445" s="288" t="s">
        <v>8221</v>
      </c>
      <c r="E445" s="288"/>
      <c r="F445" s="289">
        <v>3187122579</v>
      </c>
      <c r="G445" s="286">
        <v>91175406</v>
      </c>
      <c r="H445" s="286" t="s">
        <v>8222</v>
      </c>
      <c r="I445" s="290">
        <v>46080</v>
      </c>
      <c r="J445" s="291"/>
      <c r="K445" s="291"/>
      <c r="L445" s="291"/>
      <c r="M445" s="291"/>
      <c r="N445" s="291"/>
      <c r="O445" s="291"/>
      <c r="P445" s="291"/>
      <c r="Q445" s="291"/>
      <c r="R445" s="291"/>
      <c r="S445" s="291"/>
      <c r="T445" s="291"/>
      <c r="U445" s="291"/>
      <c r="V445" s="291"/>
      <c r="W445" s="291"/>
      <c r="X445" s="291"/>
      <c r="Y445" s="291"/>
      <c r="Z445" s="291"/>
    </row>
    <row r="446" spans="1:26" ht="14">
      <c r="A446" s="286" t="s">
        <v>8223</v>
      </c>
      <c r="B446" s="286" t="s">
        <v>8224</v>
      </c>
      <c r="C446" s="287">
        <v>303</v>
      </c>
      <c r="D446" s="288"/>
      <c r="E446" s="288"/>
      <c r="F446" s="289">
        <v>3102170432</v>
      </c>
      <c r="G446" s="286">
        <v>79781109</v>
      </c>
      <c r="H446" s="286" t="s">
        <v>8225</v>
      </c>
      <c r="I446" s="290">
        <v>46080</v>
      </c>
      <c r="J446" s="291"/>
      <c r="K446" s="291"/>
      <c r="L446" s="291"/>
      <c r="M446" s="291"/>
      <c r="N446" s="291"/>
      <c r="O446" s="291"/>
      <c r="P446" s="291"/>
      <c r="Q446" s="291"/>
      <c r="R446" s="291"/>
      <c r="S446" s="291"/>
      <c r="T446" s="291"/>
      <c r="U446" s="291"/>
      <c r="V446" s="291"/>
      <c r="W446" s="291"/>
      <c r="X446" s="291"/>
      <c r="Y446" s="291"/>
      <c r="Z446" s="291"/>
    </row>
    <row r="447" spans="1:26" ht="14">
      <c r="A447" s="286" t="s">
        <v>45</v>
      </c>
      <c r="B447" s="286" t="s">
        <v>8226</v>
      </c>
      <c r="C447" s="287">
        <v>402</v>
      </c>
      <c r="D447" s="288"/>
      <c r="E447" s="288"/>
      <c r="F447" s="289">
        <v>3167415245</v>
      </c>
      <c r="G447" s="286">
        <v>51829727</v>
      </c>
      <c r="H447" s="286" t="s">
        <v>8227</v>
      </c>
      <c r="I447" s="291"/>
      <c r="J447" s="291"/>
      <c r="K447" s="291"/>
      <c r="L447" s="291"/>
      <c r="M447" s="291"/>
      <c r="N447" s="291"/>
      <c r="O447" s="291"/>
      <c r="P447" s="291"/>
      <c r="Q447" s="291"/>
      <c r="R447" s="291"/>
      <c r="S447" s="291"/>
      <c r="T447" s="291"/>
      <c r="U447" s="291"/>
      <c r="V447" s="291"/>
      <c r="W447" s="291"/>
      <c r="X447" s="291"/>
      <c r="Y447" s="291"/>
      <c r="Z447" s="291"/>
    </row>
    <row r="448" spans="1:26" ht="14">
      <c r="A448" s="286" t="s">
        <v>27</v>
      </c>
      <c r="B448" s="286" t="s">
        <v>8228</v>
      </c>
      <c r="C448" s="287">
        <v>502</v>
      </c>
      <c r="D448" s="288" t="s">
        <v>8229</v>
      </c>
      <c r="E448" s="288"/>
      <c r="F448" s="289">
        <v>3142981617</v>
      </c>
      <c r="G448" s="286">
        <v>52697275</v>
      </c>
      <c r="H448" s="286" t="s">
        <v>8230</v>
      </c>
      <c r="I448" s="291"/>
      <c r="J448" s="291"/>
      <c r="K448" s="291"/>
      <c r="L448" s="291"/>
      <c r="M448" s="291"/>
      <c r="N448" s="291"/>
      <c r="O448" s="291"/>
      <c r="P448" s="291"/>
      <c r="Q448" s="291"/>
      <c r="R448" s="291"/>
      <c r="S448" s="291"/>
      <c r="T448" s="291"/>
      <c r="U448" s="291"/>
      <c r="V448" s="291"/>
      <c r="W448" s="291"/>
      <c r="X448" s="291"/>
      <c r="Y448" s="291"/>
      <c r="Z448" s="291"/>
    </row>
    <row r="449" spans="1:26" ht="14">
      <c r="A449" s="286" t="s">
        <v>114</v>
      </c>
      <c r="B449" s="286" t="s">
        <v>8231</v>
      </c>
      <c r="C449" s="287">
        <v>602</v>
      </c>
      <c r="D449" s="288"/>
      <c r="E449" s="288"/>
      <c r="F449" s="289">
        <v>3123656574</v>
      </c>
      <c r="G449" s="286">
        <v>1018433385</v>
      </c>
      <c r="H449" s="286" t="s">
        <v>8232</v>
      </c>
      <c r="I449" s="290">
        <v>46080</v>
      </c>
      <c r="J449" s="291"/>
      <c r="K449" s="291"/>
      <c r="L449" s="291"/>
      <c r="M449" s="291"/>
      <c r="N449" s="291"/>
      <c r="O449" s="291"/>
      <c r="P449" s="291"/>
      <c r="Q449" s="291"/>
      <c r="R449" s="291"/>
      <c r="S449" s="291"/>
      <c r="T449" s="291"/>
      <c r="U449" s="291"/>
      <c r="V449" s="291"/>
      <c r="W449" s="291"/>
      <c r="X449" s="291"/>
      <c r="Y449" s="291"/>
      <c r="Z449" s="291"/>
    </row>
    <row r="450" spans="1:26" ht="14">
      <c r="A450" s="286" t="s">
        <v>8233</v>
      </c>
      <c r="B450" s="286" t="s">
        <v>8234</v>
      </c>
      <c r="C450" s="287">
        <v>104</v>
      </c>
      <c r="D450" s="288"/>
      <c r="E450" s="288"/>
      <c r="F450" s="289">
        <v>3227304147</v>
      </c>
      <c r="G450" s="286">
        <v>1118554335</v>
      </c>
      <c r="H450" s="286" t="s">
        <v>8235</v>
      </c>
      <c r="I450" s="290">
        <v>46080</v>
      </c>
      <c r="J450" s="291"/>
      <c r="K450" s="291"/>
      <c r="L450" s="291"/>
      <c r="M450" s="291"/>
      <c r="N450" s="291"/>
      <c r="O450" s="291"/>
      <c r="P450" s="291"/>
      <c r="Q450" s="291"/>
      <c r="R450" s="291"/>
      <c r="S450" s="291"/>
      <c r="T450" s="291"/>
      <c r="U450" s="291"/>
      <c r="V450" s="291"/>
      <c r="W450" s="291"/>
      <c r="X450" s="291"/>
      <c r="Y450" s="291"/>
      <c r="Z450" s="291"/>
    </row>
    <row r="451" spans="1:26" ht="14">
      <c r="A451" s="286" t="s">
        <v>2175</v>
      </c>
      <c r="B451" s="286" t="s">
        <v>8236</v>
      </c>
      <c r="C451" s="287">
        <v>203</v>
      </c>
      <c r="D451" s="288" t="s">
        <v>8237</v>
      </c>
      <c r="E451" s="288"/>
      <c r="F451" s="289">
        <v>3125588428</v>
      </c>
      <c r="G451" s="286">
        <v>1018489815</v>
      </c>
      <c r="H451" s="286" t="s">
        <v>8238</v>
      </c>
      <c r="I451" s="291"/>
      <c r="J451" s="291"/>
      <c r="K451" s="291"/>
      <c r="L451" s="291"/>
      <c r="M451" s="291"/>
      <c r="N451" s="291"/>
      <c r="O451" s="291"/>
      <c r="P451" s="291"/>
      <c r="Q451" s="291"/>
      <c r="R451" s="291"/>
      <c r="S451" s="291"/>
      <c r="T451" s="291"/>
      <c r="U451" s="291"/>
      <c r="V451" s="291"/>
      <c r="W451" s="291"/>
      <c r="X451" s="291"/>
      <c r="Y451" s="291"/>
      <c r="Z451" s="291"/>
    </row>
    <row r="452" spans="1:26" ht="14">
      <c r="A452" s="286" t="s">
        <v>5195</v>
      </c>
      <c r="B452" s="286" t="s">
        <v>5196</v>
      </c>
      <c r="C452" s="287">
        <v>405</v>
      </c>
      <c r="D452" s="288"/>
      <c r="E452" s="288"/>
      <c r="F452" s="289">
        <v>3226834957</v>
      </c>
      <c r="G452" s="286">
        <v>1074928227</v>
      </c>
      <c r="H452" s="286" t="s">
        <v>8239</v>
      </c>
      <c r="I452" s="290">
        <v>46080</v>
      </c>
      <c r="J452" s="291"/>
      <c r="K452" s="291"/>
      <c r="L452" s="291"/>
      <c r="M452" s="291"/>
      <c r="N452" s="291"/>
      <c r="O452" s="291"/>
      <c r="P452" s="291"/>
      <c r="Q452" s="291"/>
      <c r="R452" s="291"/>
      <c r="S452" s="291"/>
      <c r="T452" s="291"/>
      <c r="U452" s="291"/>
      <c r="V452" s="291"/>
      <c r="W452" s="291"/>
      <c r="X452" s="291"/>
      <c r="Y452" s="291"/>
      <c r="Z452" s="291"/>
    </row>
    <row r="453" spans="1:26" ht="14">
      <c r="A453" s="286" t="s">
        <v>8240</v>
      </c>
      <c r="B453" s="286" t="s">
        <v>8241</v>
      </c>
      <c r="C453" s="287"/>
      <c r="D453" s="288"/>
      <c r="E453" s="288"/>
      <c r="F453" s="289">
        <v>3022873316</v>
      </c>
      <c r="G453" s="286">
        <v>1032414225</v>
      </c>
      <c r="H453" s="286" t="s">
        <v>8242</v>
      </c>
      <c r="I453" s="290">
        <v>46080</v>
      </c>
      <c r="J453" s="291"/>
      <c r="K453" s="291"/>
      <c r="L453" s="291"/>
      <c r="M453" s="291"/>
      <c r="N453" s="291"/>
      <c r="O453" s="291"/>
      <c r="P453" s="291"/>
      <c r="Q453" s="291"/>
      <c r="R453" s="291"/>
      <c r="S453" s="291"/>
      <c r="T453" s="291"/>
      <c r="U453" s="291"/>
      <c r="V453" s="291"/>
      <c r="W453" s="291"/>
      <c r="X453" s="291"/>
      <c r="Y453" s="291"/>
      <c r="Z453" s="291"/>
    </row>
    <row r="454" spans="1:26" ht="14">
      <c r="A454" s="286" t="s">
        <v>104</v>
      </c>
      <c r="B454" s="286" t="s">
        <v>8243</v>
      </c>
      <c r="C454" s="287">
        <v>101</v>
      </c>
      <c r="D454" s="288"/>
      <c r="E454" s="288"/>
      <c r="F454" s="289">
        <v>3003910994</v>
      </c>
      <c r="G454" s="286">
        <v>52410102</v>
      </c>
      <c r="H454" s="286" t="s">
        <v>8244</v>
      </c>
      <c r="I454" s="291"/>
      <c r="J454" s="291"/>
      <c r="K454" s="291"/>
      <c r="L454" s="291"/>
      <c r="M454" s="291"/>
      <c r="N454" s="291"/>
      <c r="O454" s="291"/>
      <c r="P454" s="291"/>
      <c r="Q454" s="291"/>
      <c r="R454" s="291"/>
      <c r="S454" s="291"/>
      <c r="T454" s="291"/>
      <c r="U454" s="291"/>
      <c r="V454" s="291"/>
      <c r="W454" s="291"/>
      <c r="X454" s="291"/>
      <c r="Y454" s="291"/>
      <c r="Z454" s="291"/>
    </row>
    <row r="455" spans="1:26" ht="14">
      <c r="A455" s="286" t="s">
        <v>8245</v>
      </c>
      <c r="B455" s="286" t="s">
        <v>8246</v>
      </c>
      <c r="C455" s="287">
        <v>601</v>
      </c>
      <c r="D455" s="288" t="s">
        <v>8247</v>
      </c>
      <c r="E455" s="288"/>
      <c r="F455" s="289">
        <v>3173683135</v>
      </c>
      <c r="G455" s="286">
        <v>57445398</v>
      </c>
      <c r="H455" s="286" t="s">
        <v>8248</v>
      </c>
      <c r="I455" s="290">
        <v>46080</v>
      </c>
      <c r="J455" s="291"/>
      <c r="K455" s="291"/>
      <c r="L455" s="291"/>
      <c r="M455" s="291"/>
      <c r="N455" s="291"/>
      <c r="O455" s="291"/>
      <c r="P455" s="291"/>
      <c r="Q455" s="291"/>
      <c r="R455" s="291"/>
      <c r="S455" s="291"/>
      <c r="T455" s="291"/>
      <c r="U455" s="291"/>
      <c r="V455" s="291"/>
      <c r="W455" s="291"/>
      <c r="X455" s="291"/>
      <c r="Y455" s="291"/>
      <c r="Z455" s="291"/>
    </row>
    <row r="456" spans="1:26" ht="14">
      <c r="A456" s="286" t="s">
        <v>8249</v>
      </c>
      <c r="B456" s="286" t="s">
        <v>6023</v>
      </c>
      <c r="C456" s="287">
        <v>409</v>
      </c>
      <c r="D456" s="288" t="s">
        <v>8250</v>
      </c>
      <c r="E456" s="288"/>
      <c r="F456" s="289">
        <v>3004232579</v>
      </c>
      <c r="G456" s="286">
        <v>35479772</v>
      </c>
      <c r="H456" s="286" t="s">
        <v>8251</v>
      </c>
      <c r="I456" s="290">
        <v>46080</v>
      </c>
      <c r="J456" s="291"/>
      <c r="K456" s="291"/>
      <c r="L456" s="291"/>
      <c r="M456" s="291"/>
      <c r="N456" s="291"/>
      <c r="O456" s="291"/>
      <c r="P456" s="291"/>
      <c r="Q456" s="291"/>
      <c r="R456" s="291"/>
      <c r="S456" s="291"/>
      <c r="T456" s="291"/>
      <c r="U456" s="291"/>
      <c r="V456" s="291"/>
      <c r="W456" s="291"/>
      <c r="X456" s="291"/>
      <c r="Y456" s="291"/>
      <c r="Z456" s="291"/>
    </row>
    <row r="457" spans="1:26" ht="14">
      <c r="A457" s="286" t="s">
        <v>8252</v>
      </c>
      <c r="B457" s="286" t="s">
        <v>8253</v>
      </c>
      <c r="C457" s="287">
        <v>402</v>
      </c>
      <c r="D457" s="288"/>
      <c r="E457" s="288"/>
      <c r="F457" s="289">
        <v>3219319422</v>
      </c>
      <c r="G457" s="286">
        <v>52992011</v>
      </c>
      <c r="H457" s="286" t="s">
        <v>8254</v>
      </c>
      <c r="I457" s="290">
        <v>46080</v>
      </c>
      <c r="J457" s="291"/>
      <c r="K457" s="291"/>
      <c r="L457" s="291"/>
      <c r="M457" s="291"/>
      <c r="N457" s="291"/>
      <c r="O457" s="291"/>
      <c r="P457" s="291"/>
      <c r="Q457" s="291"/>
      <c r="R457" s="291"/>
      <c r="S457" s="291"/>
      <c r="T457" s="291"/>
      <c r="U457" s="291"/>
      <c r="V457" s="291"/>
      <c r="W457" s="291"/>
      <c r="X457" s="291"/>
      <c r="Y457" s="291"/>
      <c r="Z457" s="291"/>
    </row>
    <row r="458" spans="1:26" ht="14">
      <c r="A458" s="286" t="s">
        <v>8255</v>
      </c>
      <c r="B458" s="286" t="s">
        <v>8256</v>
      </c>
      <c r="C458" s="287">
        <v>602</v>
      </c>
      <c r="D458" s="288"/>
      <c r="E458" s="288"/>
      <c r="F458" s="289">
        <v>3204898439</v>
      </c>
      <c r="G458" s="286">
        <v>1016912547</v>
      </c>
      <c r="H458" s="286" t="s">
        <v>8257</v>
      </c>
      <c r="I458" s="290">
        <v>46080</v>
      </c>
      <c r="J458" s="291"/>
      <c r="K458" s="291"/>
      <c r="L458" s="291"/>
      <c r="M458" s="291"/>
      <c r="N458" s="291"/>
      <c r="O458" s="291"/>
      <c r="P458" s="291"/>
      <c r="Q458" s="291"/>
      <c r="R458" s="291"/>
      <c r="S458" s="291"/>
      <c r="T458" s="291"/>
      <c r="U458" s="291"/>
      <c r="V458" s="291"/>
      <c r="W458" s="291"/>
      <c r="X458" s="291"/>
      <c r="Y458" s="291"/>
      <c r="Z458" s="291"/>
    </row>
    <row r="459" spans="1:26" ht="14">
      <c r="A459" s="286" t="s">
        <v>8258</v>
      </c>
      <c r="B459" s="286" t="s">
        <v>8259</v>
      </c>
      <c r="C459" s="287">
        <v>504</v>
      </c>
      <c r="D459" s="288" t="s">
        <v>8260</v>
      </c>
      <c r="E459" s="288"/>
      <c r="F459" s="289">
        <v>3182826683</v>
      </c>
      <c r="G459" s="286">
        <v>1032359145</v>
      </c>
      <c r="H459" s="286"/>
      <c r="I459" s="290">
        <v>46080</v>
      </c>
      <c r="J459" s="291"/>
      <c r="K459" s="291"/>
      <c r="L459" s="291"/>
      <c r="M459" s="291"/>
      <c r="N459" s="291"/>
      <c r="O459" s="291"/>
      <c r="P459" s="291"/>
      <c r="Q459" s="291"/>
      <c r="R459" s="291"/>
      <c r="S459" s="291"/>
      <c r="T459" s="291"/>
      <c r="U459" s="291"/>
      <c r="V459" s="291"/>
      <c r="W459" s="291"/>
      <c r="X459" s="291"/>
      <c r="Y459" s="291"/>
      <c r="Z459" s="291"/>
    </row>
    <row r="460" spans="1:26" ht="14">
      <c r="A460" s="286" t="s">
        <v>555</v>
      </c>
      <c r="B460" s="286" t="s">
        <v>8261</v>
      </c>
      <c r="C460" s="287">
        <v>503</v>
      </c>
      <c r="D460" s="288" t="s">
        <v>8262</v>
      </c>
      <c r="E460" s="288"/>
      <c r="F460" s="289">
        <v>3118330602</v>
      </c>
      <c r="G460" s="286">
        <v>1020740406</v>
      </c>
      <c r="H460" s="286" t="s">
        <v>8263</v>
      </c>
      <c r="I460" s="291"/>
      <c r="J460" s="291"/>
      <c r="K460" s="291"/>
      <c r="L460" s="291"/>
      <c r="M460" s="291"/>
      <c r="N460" s="291"/>
      <c r="O460" s="291"/>
      <c r="P460" s="291"/>
      <c r="Q460" s="291"/>
      <c r="R460" s="291"/>
      <c r="S460" s="291"/>
      <c r="T460" s="291"/>
      <c r="U460" s="291"/>
      <c r="V460" s="291"/>
      <c r="W460" s="291"/>
      <c r="X460" s="291"/>
      <c r="Y460" s="291"/>
      <c r="Z460" s="291"/>
    </row>
    <row r="461" spans="1:26" ht="14">
      <c r="A461" s="286" t="s">
        <v>898</v>
      </c>
      <c r="B461" s="286" t="s">
        <v>8264</v>
      </c>
      <c r="C461" s="287">
        <v>404</v>
      </c>
      <c r="D461" s="288" t="s">
        <v>8265</v>
      </c>
      <c r="E461" s="288"/>
      <c r="F461" s="289">
        <v>3123834371</v>
      </c>
      <c r="G461" s="286">
        <v>52583635</v>
      </c>
      <c r="H461" s="286" t="s">
        <v>8266</v>
      </c>
      <c r="I461" s="290">
        <v>46080</v>
      </c>
      <c r="J461" s="291"/>
      <c r="K461" s="291"/>
      <c r="L461" s="291"/>
      <c r="M461" s="291"/>
      <c r="N461" s="291"/>
      <c r="O461" s="291"/>
      <c r="P461" s="291"/>
      <c r="Q461" s="291"/>
      <c r="R461" s="291"/>
      <c r="S461" s="291"/>
      <c r="T461" s="291"/>
      <c r="U461" s="291"/>
      <c r="V461" s="291"/>
      <c r="W461" s="291"/>
      <c r="X461" s="291"/>
      <c r="Y461" s="291"/>
      <c r="Z461" s="291"/>
    </row>
    <row r="462" spans="1:26" ht="14">
      <c r="A462" s="286" t="s">
        <v>247</v>
      </c>
      <c r="B462" s="286" t="s">
        <v>8267</v>
      </c>
      <c r="C462" s="287">
        <v>505</v>
      </c>
      <c r="D462" s="288" t="s">
        <v>8268</v>
      </c>
      <c r="E462" s="288"/>
      <c r="F462" s="289">
        <v>3203049871</v>
      </c>
      <c r="G462" s="286">
        <v>39776399</v>
      </c>
      <c r="H462" s="286" t="s">
        <v>8269</v>
      </c>
      <c r="I462" s="290">
        <v>46080</v>
      </c>
      <c r="J462" s="291"/>
      <c r="K462" s="291"/>
      <c r="L462" s="291"/>
      <c r="M462" s="291"/>
      <c r="N462" s="291"/>
      <c r="O462" s="291"/>
      <c r="P462" s="291"/>
      <c r="Q462" s="291"/>
      <c r="R462" s="291"/>
      <c r="S462" s="291"/>
      <c r="T462" s="291"/>
      <c r="U462" s="291"/>
      <c r="V462" s="291"/>
      <c r="W462" s="291"/>
      <c r="X462" s="291"/>
      <c r="Y462" s="291"/>
      <c r="Z462" s="291"/>
    </row>
    <row r="463" spans="1:26" ht="14">
      <c r="A463" s="286" t="s">
        <v>8270</v>
      </c>
      <c r="B463" s="286" t="s">
        <v>8271</v>
      </c>
      <c r="C463" s="287">
        <v>605</v>
      </c>
      <c r="D463" s="288" t="s">
        <v>8272</v>
      </c>
      <c r="E463" s="288" t="s">
        <v>8273</v>
      </c>
      <c r="F463" s="289">
        <v>3173668364</v>
      </c>
      <c r="G463" s="286">
        <v>1020808368</v>
      </c>
      <c r="H463" s="286" t="s">
        <v>8274</v>
      </c>
      <c r="I463" s="290">
        <v>46080</v>
      </c>
      <c r="J463" s="291"/>
      <c r="K463" s="291"/>
      <c r="L463" s="291"/>
      <c r="M463" s="291"/>
      <c r="N463" s="291"/>
      <c r="O463" s="291"/>
      <c r="P463" s="291"/>
      <c r="Q463" s="291"/>
      <c r="R463" s="291"/>
      <c r="S463" s="291"/>
      <c r="T463" s="291"/>
      <c r="U463" s="291"/>
      <c r="V463" s="291"/>
      <c r="W463" s="291"/>
      <c r="X463" s="291"/>
      <c r="Y463" s="291"/>
      <c r="Z463" s="291"/>
    </row>
    <row r="464" spans="1:26" ht="14">
      <c r="A464" s="286" t="s">
        <v>8275</v>
      </c>
      <c r="B464" s="286" t="s">
        <v>8276</v>
      </c>
      <c r="C464" s="287">
        <v>405</v>
      </c>
      <c r="D464" s="288" t="s">
        <v>8277</v>
      </c>
      <c r="E464" s="288"/>
      <c r="F464" s="289">
        <v>3213050436</v>
      </c>
      <c r="G464" s="286">
        <v>63303011</v>
      </c>
      <c r="H464" s="286" t="s">
        <v>8278</v>
      </c>
      <c r="I464" s="290">
        <v>46080</v>
      </c>
      <c r="J464" s="291"/>
      <c r="K464" s="291"/>
      <c r="L464" s="291"/>
      <c r="M464" s="291"/>
      <c r="N464" s="291"/>
      <c r="O464" s="291"/>
      <c r="P464" s="291"/>
      <c r="Q464" s="291"/>
      <c r="R464" s="291"/>
      <c r="S464" s="291"/>
      <c r="T464" s="291"/>
      <c r="U464" s="291"/>
      <c r="V464" s="291"/>
      <c r="W464" s="291"/>
      <c r="X464" s="291"/>
      <c r="Y464" s="291"/>
      <c r="Z464" s="291"/>
    </row>
    <row r="465" spans="1:26" ht="14">
      <c r="A465" s="286" t="s">
        <v>8279</v>
      </c>
      <c r="B465" s="286" t="s">
        <v>8280</v>
      </c>
      <c r="C465" s="287">
        <v>401</v>
      </c>
      <c r="D465" s="288"/>
      <c r="E465" s="288"/>
      <c r="F465" s="289">
        <v>3204161945</v>
      </c>
      <c r="G465" s="286">
        <v>1136884272</v>
      </c>
      <c r="H465" s="286" t="s">
        <v>8281</v>
      </c>
      <c r="I465" s="290">
        <v>46080</v>
      </c>
      <c r="J465" s="291"/>
      <c r="K465" s="291"/>
      <c r="L465" s="291"/>
      <c r="M465" s="291"/>
      <c r="N465" s="291"/>
      <c r="O465" s="291"/>
      <c r="P465" s="291"/>
      <c r="Q465" s="291"/>
      <c r="R465" s="291"/>
      <c r="S465" s="291"/>
      <c r="T465" s="291"/>
      <c r="U465" s="291"/>
      <c r="V465" s="291"/>
      <c r="W465" s="291"/>
      <c r="X465" s="291"/>
      <c r="Y465" s="291"/>
      <c r="Z465" s="291"/>
    </row>
    <row r="466" spans="1:26" ht="14">
      <c r="A466" s="286" t="s">
        <v>1469</v>
      </c>
      <c r="B466" s="286" t="s">
        <v>6098</v>
      </c>
      <c r="C466" s="287">
        <v>202</v>
      </c>
      <c r="D466" s="288" t="s">
        <v>8282</v>
      </c>
      <c r="E466" s="288"/>
      <c r="F466" s="289">
        <v>3153187380</v>
      </c>
      <c r="G466" s="286">
        <v>51985303</v>
      </c>
      <c r="H466" s="286" t="s">
        <v>8283</v>
      </c>
      <c r="I466" s="291"/>
      <c r="J466" s="291"/>
      <c r="K466" s="291"/>
      <c r="L466" s="291"/>
      <c r="M466" s="291"/>
      <c r="N466" s="291"/>
      <c r="O466" s="291"/>
      <c r="P466" s="291"/>
      <c r="Q466" s="291"/>
      <c r="R466" s="291"/>
      <c r="S466" s="291"/>
      <c r="T466" s="291"/>
      <c r="U466" s="291"/>
      <c r="V466" s="291"/>
      <c r="W466" s="291"/>
      <c r="X466" s="291"/>
      <c r="Y466" s="291"/>
      <c r="Z466" s="291"/>
    </row>
    <row r="467" spans="1:26" ht="14">
      <c r="A467" s="286" t="s">
        <v>76</v>
      </c>
      <c r="B467" s="286" t="s">
        <v>8284</v>
      </c>
      <c r="C467" s="287">
        <v>505</v>
      </c>
      <c r="D467" s="288"/>
      <c r="E467" s="288"/>
      <c r="F467" s="289">
        <v>3168788428</v>
      </c>
      <c r="G467" s="286">
        <v>53123277</v>
      </c>
      <c r="H467" s="286" t="s">
        <v>8285</v>
      </c>
      <c r="I467" s="290">
        <v>46080</v>
      </c>
      <c r="J467" s="291"/>
      <c r="K467" s="291"/>
      <c r="L467" s="291"/>
      <c r="M467" s="291"/>
      <c r="N467" s="291"/>
      <c r="O467" s="291"/>
      <c r="P467" s="291"/>
      <c r="Q467" s="291"/>
      <c r="R467" s="291"/>
      <c r="S467" s="291"/>
      <c r="T467" s="291"/>
      <c r="U467" s="291"/>
      <c r="V467" s="291"/>
      <c r="W467" s="291"/>
      <c r="X467" s="291"/>
      <c r="Y467" s="291"/>
      <c r="Z467" s="291"/>
    </row>
    <row r="468" spans="1:26" ht="16.5" customHeight="1">
      <c r="A468" s="286" t="s">
        <v>8286</v>
      </c>
      <c r="B468" s="286" t="s">
        <v>8287</v>
      </c>
      <c r="C468" s="287">
        <v>606</v>
      </c>
      <c r="D468" s="288" t="s">
        <v>8288</v>
      </c>
      <c r="E468" s="288"/>
      <c r="F468" s="289">
        <v>3174280554</v>
      </c>
      <c r="G468" s="286">
        <v>52045136</v>
      </c>
      <c r="H468" s="286" t="s">
        <v>8289</v>
      </c>
      <c r="I468" s="290">
        <v>46080</v>
      </c>
      <c r="J468" s="291"/>
      <c r="K468" s="291"/>
      <c r="L468" s="291"/>
      <c r="M468" s="291"/>
      <c r="N468" s="291"/>
      <c r="O468" s="291"/>
      <c r="P468" s="291"/>
      <c r="Q468" s="291"/>
      <c r="R468" s="291"/>
      <c r="S468" s="291"/>
      <c r="T468" s="291"/>
      <c r="U468" s="291"/>
      <c r="V468" s="291"/>
      <c r="W468" s="291"/>
      <c r="X468" s="291"/>
      <c r="Y468" s="291"/>
      <c r="Z468" s="291"/>
    </row>
    <row r="469" spans="1:26" ht="14">
      <c r="A469" s="286" t="s">
        <v>84</v>
      </c>
      <c r="B469" s="286" t="s">
        <v>5379</v>
      </c>
      <c r="C469" s="287">
        <v>602</v>
      </c>
      <c r="D469" s="288" t="s">
        <v>8290</v>
      </c>
      <c r="E469" s="288"/>
      <c r="F469" s="289">
        <v>3167222000</v>
      </c>
      <c r="G469" s="286">
        <v>1020763568</v>
      </c>
      <c r="H469" s="286" t="s">
        <v>8291</v>
      </c>
      <c r="I469" s="290">
        <v>46080</v>
      </c>
      <c r="J469" s="291"/>
      <c r="K469" s="291"/>
      <c r="L469" s="291"/>
      <c r="M469" s="291"/>
      <c r="N469" s="291"/>
      <c r="O469" s="291"/>
      <c r="P469" s="291"/>
      <c r="Q469" s="291"/>
      <c r="R469" s="291"/>
      <c r="S469" s="291"/>
      <c r="T469" s="291"/>
      <c r="U469" s="291"/>
      <c r="V469" s="291"/>
      <c r="W469" s="291"/>
      <c r="X469" s="291"/>
      <c r="Y469" s="291"/>
      <c r="Z469" s="291"/>
    </row>
    <row r="470" spans="1:26" ht="14">
      <c r="A470" s="286" t="s">
        <v>405</v>
      </c>
      <c r="B470" s="286" t="s">
        <v>8292</v>
      </c>
      <c r="C470" s="287" t="s">
        <v>3007</v>
      </c>
      <c r="D470" s="288" t="s">
        <v>4936</v>
      </c>
      <c r="E470" s="288"/>
      <c r="F470" s="289">
        <v>3165385600</v>
      </c>
      <c r="G470" s="286">
        <v>41752982</v>
      </c>
      <c r="H470" s="286" t="s">
        <v>8293</v>
      </c>
      <c r="I470" s="290">
        <v>46080</v>
      </c>
      <c r="J470" s="291"/>
      <c r="K470" s="291"/>
      <c r="L470" s="291"/>
      <c r="M470" s="291"/>
      <c r="N470" s="291"/>
      <c r="O470" s="291"/>
      <c r="P470" s="291"/>
      <c r="Q470" s="291"/>
      <c r="R470" s="291"/>
      <c r="S470" s="291"/>
      <c r="T470" s="291"/>
      <c r="U470" s="291"/>
      <c r="V470" s="291"/>
      <c r="W470" s="291"/>
      <c r="X470" s="291"/>
      <c r="Y470" s="291"/>
      <c r="Z470" s="291"/>
    </row>
    <row r="471" spans="1:26" ht="14">
      <c r="A471" s="286" t="s">
        <v>68</v>
      </c>
      <c r="B471" s="286" t="s">
        <v>3110</v>
      </c>
      <c r="C471" s="287">
        <v>904</v>
      </c>
      <c r="D471" s="288" t="s">
        <v>8294</v>
      </c>
      <c r="E471" s="288" t="s">
        <v>8295</v>
      </c>
      <c r="F471" s="289">
        <v>3212223755</v>
      </c>
      <c r="G471" s="286">
        <v>40391846</v>
      </c>
      <c r="H471" s="286" t="s">
        <v>8296</v>
      </c>
      <c r="I471" s="291"/>
      <c r="J471" s="291"/>
      <c r="K471" s="291"/>
      <c r="L471" s="291"/>
      <c r="M471" s="291"/>
      <c r="N471" s="291"/>
      <c r="O471" s="291"/>
      <c r="P471" s="291"/>
      <c r="Q471" s="291"/>
      <c r="R471" s="291"/>
      <c r="S471" s="291"/>
      <c r="T471" s="291"/>
      <c r="U471" s="291"/>
      <c r="V471" s="291"/>
      <c r="W471" s="291"/>
      <c r="X471" s="291"/>
      <c r="Y471" s="291"/>
      <c r="Z471" s="291"/>
    </row>
    <row r="472" spans="1:26" ht="14">
      <c r="A472" s="286" t="s">
        <v>8297</v>
      </c>
      <c r="B472" s="286" t="s">
        <v>8298</v>
      </c>
      <c r="C472" s="287">
        <v>309</v>
      </c>
      <c r="D472" s="288" t="s">
        <v>8299</v>
      </c>
      <c r="E472" s="288"/>
      <c r="F472" s="289">
        <f>2675062852</f>
        <v>2675062852</v>
      </c>
      <c r="G472" s="286">
        <v>52797919</v>
      </c>
      <c r="H472" s="286" t="s">
        <v>8300</v>
      </c>
      <c r="I472" s="290">
        <v>46080</v>
      </c>
      <c r="J472" s="291"/>
      <c r="K472" s="291"/>
      <c r="L472" s="291"/>
      <c r="M472" s="291"/>
      <c r="N472" s="291"/>
      <c r="O472" s="291"/>
      <c r="P472" s="291"/>
      <c r="Q472" s="291"/>
      <c r="R472" s="291"/>
      <c r="S472" s="291"/>
      <c r="T472" s="291"/>
      <c r="U472" s="291"/>
      <c r="V472" s="291"/>
      <c r="W472" s="291"/>
      <c r="X472" s="291"/>
      <c r="Y472" s="291"/>
      <c r="Z472" s="291"/>
    </row>
    <row r="473" spans="1:26" ht="14">
      <c r="A473" s="286" t="s">
        <v>15</v>
      </c>
      <c r="B473" s="286" t="s">
        <v>8301</v>
      </c>
      <c r="C473" s="287"/>
      <c r="D473" s="288" t="s">
        <v>8302</v>
      </c>
      <c r="E473" s="288"/>
      <c r="F473" s="289">
        <v>3214202472</v>
      </c>
      <c r="G473" s="286">
        <v>53139321</v>
      </c>
      <c r="H473" s="286" t="s">
        <v>8303</v>
      </c>
      <c r="I473" s="291"/>
      <c r="J473" s="291"/>
      <c r="K473" s="291"/>
      <c r="L473" s="291"/>
      <c r="M473" s="291"/>
      <c r="N473" s="291"/>
      <c r="O473" s="291"/>
      <c r="P473" s="291"/>
      <c r="Q473" s="291"/>
      <c r="R473" s="291"/>
      <c r="S473" s="291"/>
      <c r="T473" s="291"/>
      <c r="U473" s="291"/>
      <c r="V473" s="291"/>
      <c r="W473" s="291"/>
      <c r="X473" s="291"/>
      <c r="Y473" s="291"/>
      <c r="Z473" s="291"/>
    </row>
    <row r="474" spans="1:26" ht="14">
      <c r="A474" s="286" t="s">
        <v>985</v>
      </c>
      <c r="B474" s="286" t="s">
        <v>8304</v>
      </c>
      <c r="C474" s="287">
        <v>701</v>
      </c>
      <c r="D474" s="288" t="s">
        <v>8305</v>
      </c>
      <c r="E474" s="319" t="s">
        <v>8306</v>
      </c>
      <c r="F474" s="289">
        <v>3136733263</v>
      </c>
      <c r="G474" s="286">
        <v>1026155433</v>
      </c>
      <c r="H474" s="286" t="s">
        <v>8307</v>
      </c>
      <c r="I474" s="291"/>
      <c r="J474" s="291"/>
      <c r="K474" s="291"/>
      <c r="L474" s="291"/>
      <c r="M474" s="291"/>
      <c r="N474" s="291"/>
      <c r="O474" s="291"/>
      <c r="P474" s="291"/>
      <c r="Q474" s="291"/>
      <c r="R474" s="291"/>
      <c r="S474" s="291"/>
      <c r="T474" s="291"/>
      <c r="U474" s="291"/>
      <c r="V474" s="291"/>
      <c r="W474" s="291"/>
      <c r="X474" s="291"/>
      <c r="Y474" s="291"/>
      <c r="Z474" s="291"/>
    </row>
    <row r="475" spans="1:26" ht="14">
      <c r="A475" s="286" t="s">
        <v>8308</v>
      </c>
      <c r="B475" s="286" t="s">
        <v>8309</v>
      </c>
      <c r="C475" s="287">
        <v>1101</v>
      </c>
      <c r="D475" s="288" t="s">
        <v>2762</v>
      </c>
      <c r="E475" s="288"/>
      <c r="F475" s="289">
        <v>3163970910</v>
      </c>
      <c r="G475" s="286">
        <v>53100486</v>
      </c>
      <c r="H475" s="286" t="s">
        <v>8310</v>
      </c>
      <c r="I475" s="291"/>
      <c r="J475" s="291"/>
      <c r="K475" s="291"/>
      <c r="L475" s="291"/>
      <c r="M475" s="291"/>
      <c r="N475" s="291"/>
      <c r="O475" s="291"/>
      <c r="P475" s="291"/>
      <c r="Q475" s="291"/>
      <c r="R475" s="291"/>
      <c r="S475" s="291"/>
      <c r="T475" s="291"/>
      <c r="U475" s="291"/>
      <c r="V475" s="291"/>
      <c r="W475" s="291"/>
      <c r="X475" s="291"/>
      <c r="Y475" s="291"/>
      <c r="Z475" s="291"/>
    </row>
    <row r="476" spans="1:26" ht="14">
      <c r="A476" s="286" t="s">
        <v>2063</v>
      </c>
      <c r="B476" s="286" t="s">
        <v>8311</v>
      </c>
      <c r="C476" s="287">
        <v>402</v>
      </c>
      <c r="D476" s="288"/>
      <c r="E476" s="288"/>
      <c r="F476" s="289">
        <v>3164077783</v>
      </c>
      <c r="G476" s="286">
        <v>52455119</v>
      </c>
      <c r="H476" s="286" t="s">
        <v>8312</v>
      </c>
      <c r="I476" s="291"/>
      <c r="J476" s="291"/>
      <c r="K476" s="291"/>
      <c r="L476" s="291"/>
      <c r="M476" s="291"/>
      <c r="N476" s="291"/>
      <c r="O476" s="291"/>
      <c r="P476" s="291"/>
      <c r="Q476" s="291"/>
      <c r="R476" s="291"/>
      <c r="S476" s="291"/>
      <c r="T476" s="291"/>
      <c r="U476" s="291"/>
      <c r="V476" s="291"/>
      <c r="W476" s="291"/>
      <c r="X476" s="291"/>
      <c r="Y476" s="291"/>
      <c r="Z476" s="291"/>
    </row>
    <row r="477" spans="1:26" ht="14">
      <c r="A477" s="286" t="s">
        <v>8313</v>
      </c>
      <c r="B477" s="286" t="s">
        <v>8314</v>
      </c>
      <c r="C477" s="287">
        <v>501</v>
      </c>
      <c r="D477" s="288" t="s">
        <v>8315</v>
      </c>
      <c r="E477" s="288"/>
      <c r="F477" s="289">
        <v>3208933682</v>
      </c>
      <c r="G477" s="286">
        <v>40442531</v>
      </c>
      <c r="H477" s="286" t="s">
        <v>8316</v>
      </c>
      <c r="I477" s="291"/>
      <c r="J477" s="291"/>
      <c r="K477" s="291"/>
      <c r="L477" s="291"/>
      <c r="M477" s="291"/>
      <c r="N477" s="291"/>
      <c r="O477" s="291"/>
      <c r="P477" s="291"/>
      <c r="Q477" s="291"/>
      <c r="R477" s="291"/>
      <c r="S477" s="291"/>
      <c r="T477" s="291"/>
      <c r="U477" s="291"/>
      <c r="V477" s="291"/>
      <c r="W477" s="291"/>
      <c r="X477" s="291"/>
      <c r="Y477" s="291"/>
      <c r="Z477" s="291"/>
    </row>
    <row r="478" spans="1:26" ht="14">
      <c r="A478" s="286" t="s">
        <v>8317</v>
      </c>
      <c r="B478" s="286" t="s">
        <v>8318</v>
      </c>
      <c r="C478" s="287">
        <v>304</v>
      </c>
      <c r="D478" s="288"/>
      <c r="E478" s="288"/>
      <c r="F478" s="289">
        <v>3138912314</v>
      </c>
      <c r="G478" s="286">
        <v>52993200</v>
      </c>
      <c r="H478" s="286" t="s">
        <v>8319</v>
      </c>
      <c r="I478" s="290">
        <v>46080</v>
      </c>
      <c r="J478" s="291"/>
      <c r="K478" s="291"/>
      <c r="L478" s="291"/>
      <c r="M478" s="291"/>
      <c r="N478" s="291"/>
      <c r="O478" s="291"/>
      <c r="P478" s="291"/>
      <c r="Q478" s="291"/>
      <c r="R478" s="291"/>
      <c r="S478" s="291"/>
      <c r="T478" s="291"/>
      <c r="U478" s="291"/>
      <c r="V478" s="291"/>
      <c r="W478" s="291"/>
      <c r="X478" s="291"/>
      <c r="Y478" s="291"/>
      <c r="Z478" s="291"/>
    </row>
    <row r="479" spans="1:26" ht="14">
      <c r="A479" s="286" t="s">
        <v>8320</v>
      </c>
      <c r="B479" s="286" t="s">
        <v>8321</v>
      </c>
      <c r="C479" s="287">
        <v>101</v>
      </c>
      <c r="D479" s="288"/>
      <c r="E479" s="288"/>
      <c r="F479" s="289">
        <v>3223104001</v>
      </c>
      <c r="G479" s="286">
        <v>52985098</v>
      </c>
      <c r="H479" s="286" t="s">
        <v>8322</v>
      </c>
      <c r="I479" s="290">
        <v>46080</v>
      </c>
      <c r="J479" s="291"/>
      <c r="K479" s="291"/>
      <c r="L479" s="291"/>
      <c r="M479" s="291"/>
      <c r="N479" s="291"/>
      <c r="O479" s="291"/>
      <c r="P479" s="291"/>
      <c r="Q479" s="291"/>
      <c r="R479" s="291"/>
      <c r="S479" s="291"/>
      <c r="T479" s="291"/>
      <c r="U479" s="291"/>
      <c r="V479" s="291"/>
      <c r="W479" s="291"/>
      <c r="X479" s="291"/>
      <c r="Y479" s="291"/>
      <c r="Z479" s="291"/>
    </row>
    <row r="480" spans="1:26" ht="21.75" customHeight="1">
      <c r="A480" s="286" t="s">
        <v>295</v>
      </c>
      <c r="B480" s="286" t="s">
        <v>8323</v>
      </c>
      <c r="C480" s="287">
        <v>404</v>
      </c>
      <c r="D480" s="288" t="s">
        <v>8324</v>
      </c>
      <c r="E480" s="288"/>
      <c r="F480" s="289">
        <v>3243275612</v>
      </c>
      <c r="G480" s="286">
        <v>1020760327</v>
      </c>
      <c r="H480" s="286" t="s">
        <v>8325</v>
      </c>
      <c r="I480" s="291"/>
      <c r="J480" s="291"/>
      <c r="K480" s="291"/>
      <c r="L480" s="291"/>
      <c r="M480" s="291"/>
      <c r="N480" s="291"/>
      <c r="O480" s="291"/>
      <c r="P480" s="291"/>
      <c r="Q480" s="291"/>
      <c r="R480" s="291"/>
      <c r="S480" s="291"/>
      <c r="T480" s="291"/>
      <c r="U480" s="291"/>
      <c r="V480" s="291"/>
      <c r="W480" s="291"/>
      <c r="X480" s="291"/>
      <c r="Y480" s="291"/>
      <c r="Z480" s="291"/>
    </row>
    <row r="481" spans="1:26" ht="14">
      <c r="A481" s="286" t="s">
        <v>1994</v>
      </c>
      <c r="B481" s="286" t="s">
        <v>4868</v>
      </c>
      <c r="C481" s="287">
        <v>603</v>
      </c>
      <c r="D481" s="288" t="s">
        <v>8326</v>
      </c>
      <c r="E481" s="288"/>
      <c r="F481" s="289">
        <v>3124521715</v>
      </c>
      <c r="G481" s="286">
        <v>52815786</v>
      </c>
      <c r="H481" s="286" t="s">
        <v>8327</v>
      </c>
      <c r="I481" s="290">
        <v>46080</v>
      </c>
      <c r="J481" s="291"/>
      <c r="K481" s="291"/>
      <c r="L481" s="291"/>
      <c r="M481" s="291"/>
      <c r="N481" s="291"/>
      <c r="O481" s="291"/>
      <c r="P481" s="291"/>
      <c r="Q481" s="291"/>
      <c r="R481" s="291"/>
      <c r="S481" s="291"/>
      <c r="T481" s="291"/>
      <c r="U481" s="291"/>
      <c r="V481" s="291"/>
      <c r="W481" s="291"/>
      <c r="X481" s="291"/>
      <c r="Y481" s="291"/>
      <c r="Z481" s="291"/>
    </row>
    <row r="482" spans="1:26" ht="14">
      <c r="A482" s="286" t="s">
        <v>1313</v>
      </c>
      <c r="B482" s="286" t="s">
        <v>6314</v>
      </c>
      <c r="C482" s="287">
        <v>203</v>
      </c>
      <c r="D482" s="288" t="s">
        <v>2762</v>
      </c>
      <c r="E482" s="288"/>
      <c r="F482" s="289">
        <v>3175014007</v>
      </c>
      <c r="G482" s="286">
        <v>36296909</v>
      </c>
      <c r="H482" s="286" t="s">
        <v>8328</v>
      </c>
      <c r="I482" s="291"/>
      <c r="J482" s="291"/>
      <c r="K482" s="291"/>
      <c r="L482" s="291"/>
      <c r="M482" s="291"/>
      <c r="N482" s="291"/>
      <c r="O482" s="291"/>
      <c r="P482" s="291"/>
      <c r="Q482" s="291"/>
      <c r="R482" s="291"/>
      <c r="S482" s="291"/>
      <c r="T482" s="291"/>
      <c r="U482" s="291"/>
      <c r="V482" s="291"/>
      <c r="W482" s="291"/>
      <c r="X482" s="291"/>
      <c r="Y482" s="291"/>
      <c r="Z482" s="291"/>
    </row>
    <row r="483" spans="1:26" ht="14">
      <c r="A483" s="286" t="s">
        <v>507</v>
      </c>
      <c r="B483" s="286" t="s">
        <v>4436</v>
      </c>
      <c r="C483" s="287">
        <v>1002</v>
      </c>
      <c r="D483" s="288" t="s">
        <v>8329</v>
      </c>
      <c r="E483" s="288"/>
      <c r="F483" s="289">
        <v>3207259820</v>
      </c>
      <c r="G483" s="286">
        <v>52522984</v>
      </c>
      <c r="H483" s="286" t="s">
        <v>8330</v>
      </c>
      <c r="I483" s="290">
        <v>46080</v>
      </c>
      <c r="J483" s="291"/>
      <c r="K483" s="291"/>
      <c r="L483" s="291"/>
      <c r="M483" s="291"/>
      <c r="N483" s="291"/>
      <c r="O483" s="291"/>
      <c r="P483" s="291"/>
      <c r="Q483" s="291"/>
      <c r="R483" s="291"/>
      <c r="S483" s="291"/>
      <c r="T483" s="291"/>
      <c r="U483" s="291"/>
      <c r="V483" s="291"/>
      <c r="W483" s="291"/>
      <c r="X483" s="291"/>
      <c r="Y483" s="291"/>
      <c r="Z483" s="291"/>
    </row>
    <row r="484" spans="1:26" ht="14">
      <c r="A484" s="286" t="s">
        <v>8331</v>
      </c>
      <c r="B484" s="286" t="s">
        <v>8332</v>
      </c>
      <c r="C484" s="287">
        <v>208</v>
      </c>
      <c r="D484" s="288" t="s">
        <v>2721</v>
      </c>
      <c r="E484" s="288"/>
      <c r="F484" s="289">
        <v>3015895911</v>
      </c>
      <c r="G484" s="286">
        <v>53031940</v>
      </c>
      <c r="H484" s="286" t="s">
        <v>8333</v>
      </c>
      <c r="I484" s="290">
        <v>46080</v>
      </c>
      <c r="J484" s="291"/>
      <c r="K484" s="291"/>
      <c r="L484" s="291"/>
      <c r="M484" s="291"/>
      <c r="N484" s="291"/>
      <c r="O484" s="291"/>
      <c r="P484" s="291"/>
      <c r="Q484" s="291"/>
      <c r="R484" s="291"/>
      <c r="S484" s="291"/>
      <c r="T484" s="291"/>
      <c r="U484" s="291"/>
      <c r="V484" s="291"/>
      <c r="W484" s="291"/>
      <c r="X484" s="291"/>
      <c r="Y484" s="291"/>
      <c r="Z484" s="291"/>
    </row>
    <row r="485" spans="1:26" ht="14">
      <c r="A485" s="313" t="s">
        <v>8334</v>
      </c>
      <c r="B485" s="286" t="s">
        <v>8335</v>
      </c>
      <c r="C485" s="287" t="s">
        <v>7072</v>
      </c>
      <c r="D485" s="288"/>
      <c r="E485" s="288"/>
      <c r="F485" s="289">
        <v>3102064994</v>
      </c>
      <c r="G485" s="286">
        <v>1030567012</v>
      </c>
      <c r="H485" s="286" t="s">
        <v>8336</v>
      </c>
      <c r="I485" s="290">
        <v>46080</v>
      </c>
      <c r="J485" s="291"/>
      <c r="K485" s="291"/>
      <c r="L485" s="291"/>
      <c r="M485" s="291"/>
      <c r="N485" s="291"/>
      <c r="O485" s="291"/>
      <c r="P485" s="291"/>
      <c r="Q485" s="291"/>
      <c r="R485" s="291"/>
      <c r="S485" s="291"/>
      <c r="T485" s="291"/>
      <c r="U485" s="291"/>
      <c r="V485" s="291"/>
      <c r="W485" s="291"/>
      <c r="X485" s="291"/>
      <c r="Y485" s="291"/>
      <c r="Z485" s="291"/>
    </row>
    <row r="486" spans="1:26" ht="14">
      <c r="A486" s="286" t="s">
        <v>8337</v>
      </c>
      <c r="B486" s="286" t="s">
        <v>8338</v>
      </c>
      <c r="C486" s="287">
        <v>301</v>
      </c>
      <c r="D486" s="288" t="s">
        <v>4849</v>
      </c>
      <c r="E486" s="288"/>
      <c r="F486" s="289">
        <v>3006966591</v>
      </c>
      <c r="G486" s="286">
        <v>34316628</v>
      </c>
      <c r="H486" s="286" t="s">
        <v>8339</v>
      </c>
      <c r="I486" s="290">
        <v>46080</v>
      </c>
      <c r="J486" s="291"/>
      <c r="K486" s="291"/>
      <c r="L486" s="291"/>
      <c r="M486" s="291"/>
      <c r="N486" s="291"/>
      <c r="O486" s="291"/>
      <c r="P486" s="291"/>
      <c r="Q486" s="291"/>
      <c r="R486" s="291"/>
      <c r="S486" s="291"/>
      <c r="T486" s="291"/>
      <c r="U486" s="291"/>
      <c r="V486" s="291"/>
      <c r="W486" s="291"/>
      <c r="X486" s="291"/>
      <c r="Y486" s="291"/>
      <c r="Z486" s="291"/>
    </row>
    <row r="487" spans="1:26" ht="14">
      <c r="A487" s="286" t="s">
        <v>8340</v>
      </c>
      <c r="B487" s="286" t="s">
        <v>8341</v>
      </c>
      <c r="C487" s="287"/>
      <c r="D487" s="288"/>
      <c r="E487" s="288"/>
      <c r="F487" s="289">
        <v>3054228871</v>
      </c>
      <c r="G487" s="286">
        <v>53911630</v>
      </c>
      <c r="H487" s="286" t="s">
        <v>8342</v>
      </c>
      <c r="I487" s="291"/>
      <c r="J487" s="291"/>
      <c r="K487" s="291"/>
      <c r="L487" s="291"/>
      <c r="M487" s="291"/>
      <c r="N487" s="291"/>
      <c r="O487" s="291"/>
      <c r="P487" s="291"/>
      <c r="Q487" s="291"/>
      <c r="R487" s="291"/>
      <c r="S487" s="291"/>
      <c r="T487" s="291"/>
      <c r="U487" s="291"/>
      <c r="V487" s="291"/>
      <c r="W487" s="291"/>
      <c r="X487" s="291"/>
      <c r="Y487" s="291"/>
      <c r="Z487" s="291"/>
    </row>
    <row r="488" spans="1:26" ht="14">
      <c r="A488" s="286" t="s">
        <v>1438</v>
      </c>
      <c r="B488" s="286" t="s">
        <v>5509</v>
      </c>
      <c r="C488" s="287">
        <v>403</v>
      </c>
      <c r="D488" s="288" t="s">
        <v>8343</v>
      </c>
      <c r="E488" s="288"/>
      <c r="F488" s="289">
        <v>3002170583</v>
      </c>
      <c r="G488" s="286">
        <v>43722141</v>
      </c>
      <c r="H488" s="286" t="s">
        <v>8344</v>
      </c>
      <c r="I488" s="291"/>
      <c r="J488" s="291"/>
      <c r="K488" s="291"/>
      <c r="L488" s="291"/>
      <c r="M488" s="291"/>
      <c r="N488" s="291"/>
      <c r="O488" s="291"/>
      <c r="P488" s="291"/>
      <c r="Q488" s="291"/>
      <c r="R488" s="291"/>
      <c r="S488" s="291"/>
      <c r="T488" s="291"/>
      <c r="U488" s="291"/>
      <c r="V488" s="291"/>
      <c r="W488" s="291"/>
      <c r="X488" s="291"/>
      <c r="Y488" s="291"/>
      <c r="Z488" s="291"/>
    </row>
    <row r="489" spans="1:26" ht="14">
      <c r="A489" s="304" t="s">
        <v>8345</v>
      </c>
      <c r="B489" s="286" t="s">
        <v>5250</v>
      </c>
      <c r="C489" s="287">
        <v>1109</v>
      </c>
      <c r="D489" s="288" t="s">
        <v>3808</v>
      </c>
      <c r="E489" s="288"/>
      <c r="F489" s="289">
        <v>3212800902</v>
      </c>
      <c r="G489" s="286">
        <v>1110479036</v>
      </c>
      <c r="H489" s="286" t="s">
        <v>8346</v>
      </c>
      <c r="I489" s="291"/>
      <c r="J489" s="291"/>
      <c r="K489" s="291"/>
      <c r="L489" s="291"/>
      <c r="M489" s="291"/>
      <c r="N489" s="291"/>
      <c r="O489" s="291"/>
      <c r="P489" s="291"/>
      <c r="Q489" s="291"/>
      <c r="R489" s="291"/>
      <c r="S489" s="291"/>
      <c r="T489" s="291"/>
      <c r="U489" s="291"/>
      <c r="V489" s="291"/>
      <c r="W489" s="291"/>
      <c r="X489" s="291"/>
      <c r="Y489" s="291"/>
      <c r="Z489" s="291"/>
    </row>
    <row r="490" spans="1:26" ht="14">
      <c r="A490" s="286" t="s">
        <v>34</v>
      </c>
      <c r="B490" s="286" t="s">
        <v>8347</v>
      </c>
      <c r="C490" s="287">
        <v>601</v>
      </c>
      <c r="D490" s="288" t="s">
        <v>8348</v>
      </c>
      <c r="E490" s="288"/>
      <c r="F490" s="289">
        <v>3132738323</v>
      </c>
      <c r="G490" s="286" t="s">
        <v>8349</v>
      </c>
      <c r="H490" s="286" t="s">
        <v>8350</v>
      </c>
      <c r="I490" s="291"/>
      <c r="J490" s="291"/>
      <c r="K490" s="291"/>
      <c r="L490" s="291"/>
      <c r="M490" s="291"/>
      <c r="N490" s="291"/>
      <c r="O490" s="291"/>
      <c r="P490" s="291"/>
      <c r="Q490" s="291"/>
      <c r="R490" s="291"/>
      <c r="S490" s="291"/>
      <c r="T490" s="291"/>
      <c r="U490" s="291"/>
      <c r="V490" s="291"/>
      <c r="W490" s="291"/>
      <c r="X490" s="291"/>
      <c r="Y490" s="291"/>
      <c r="Z490" s="291"/>
    </row>
    <row r="491" spans="1:26" ht="14">
      <c r="A491" s="286" t="s">
        <v>231</v>
      </c>
      <c r="B491" s="286" t="s">
        <v>8351</v>
      </c>
      <c r="C491" s="287">
        <v>202</v>
      </c>
      <c r="D491" s="288" t="s">
        <v>8352</v>
      </c>
      <c r="E491" s="288"/>
      <c r="F491" s="289">
        <v>3016624349</v>
      </c>
      <c r="G491" s="289">
        <v>3016624349</v>
      </c>
      <c r="H491" s="286" t="s">
        <v>8353</v>
      </c>
      <c r="I491" s="290">
        <v>46080</v>
      </c>
      <c r="J491" s="291"/>
      <c r="K491" s="291"/>
      <c r="L491" s="291"/>
      <c r="M491" s="291"/>
      <c r="N491" s="291"/>
      <c r="O491" s="291"/>
      <c r="P491" s="291"/>
      <c r="Q491" s="291"/>
      <c r="R491" s="291"/>
      <c r="S491" s="291"/>
      <c r="T491" s="291"/>
      <c r="U491" s="291"/>
      <c r="V491" s="291"/>
      <c r="W491" s="291"/>
      <c r="X491" s="291"/>
      <c r="Y491" s="291"/>
      <c r="Z491" s="291"/>
    </row>
    <row r="492" spans="1:26" ht="14">
      <c r="A492" s="286" t="s">
        <v>920</v>
      </c>
      <c r="B492" s="286" t="s">
        <v>8354</v>
      </c>
      <c r="C492" s="287">
        <v>205</v>
      </c>
      <c r="D492" s="288"/>
      <c r="E492" s="288"/>
      <c r="F492" s="289">
        <v>3108614774</v>
      </c>
      <c r="G492" s="286">
        <v>1032416427</v>
      </c>
      <c r="H492" s="286" t="s">
        <v>8355</v>
      </c>
      <c r="I492" s="290">
        <v>46054</v>
      </c>
      <c r="J492" s="291"/>
      <c r="K492" s="291"/>
      <c r="L492" s="291"/>
      <c r="M492" s="291"/>
      <c r="N492" s="291"/>
      <c r="O492" s="291"/>
      <c r="P492" s="291"/>
      <c r="Q492" s="291"/>
      <c r="R492" s="291"/>
      <c r="S492" s="291"/>
      <c r="T492" s="291"/>
      <c r="U492" s="291"/>
      <c r="V492" s="291"/>
      <c r="W492" s="291"/>
      <c r="X492" s="291"/>
      <c r="Y492" s="291"/>
      <c r="Z492" s="291"/>
    </row>
    <row r="493" spans="1:26" ht="14">
      <c r="A493" s="286" t="s">
        <v>8356</v>
      </c>
      <c r="B493" s="286" t="s">
        <v>8357</v>
      </c>
      <c r="C493" s="287">
        <v>917</v>
      </c>
      <c r="D493" s="288" t="s">
        <v>8358</v>
      </c>
      <c r="E493" s="288"/>
      <c r="F493" s="289">
        <v>3153626321</v>
      </c>
      <c r="G493" s="286">
        <v>39718481</v>
      </c>
      <c r="H493" s="286" t="s">
        <v>8359</v>
      </c>
      <c r="I493" s="291"/>
      <c r="J493" s="291"/>
      <c r="K493" s="291"/>
      <c r="L493" s="291"/>
      <c r="M493" s="291"/>
      <c r="N493" s="291"/>
      <c r="O493" s="291"/>
      <c r="P493" s="291"/>
      <c r="Q493" s="291"/>
      <c r="R493" s="291"/>
      <c r="S493" s="291"/>
      <c r="T493" s="291"/>
      <c r="U493" s="291"/>
      <c r="V493" s="291"/>
      <c r="W493" s="291"/>
      <c r="X493" s="291"/>
      <c r="Y493" s="291"/>
      <c r="Z493" s="291"/>
    </row>
    <row r="494" spans="1:26" ht="14">
      <c r="A494" s="286" t="s">
        <v>8360</v>
      </c>
      <c r="B494" s="286" t="s">
        <v>2823</v>
      </c>
      <c r="C494" s="287">
        <v>103</v>
      </c>
      <c r="D494" s="288" t="s">
        <v>7163</v>
      </c>
      <c r="E494" s="288"/>
      <c r="F494" s="329">
        <v>3214909926</v>
      </c>
      <c r="G494" s="286">
        <v>1020821541</v>
      </c>
      <c r="H494" s="286" t="s">
        <v>8361</v>
      </c>
      <c r="I494" s="290">
        <v>46080</v>
      </c>
      <c r="J494" s="291"/>
      <c r="K494" s="291"/>
      <c r="L494" s="291"/>
      <c r="M494" s="291"/>
      <c r="N494" s="291"/>
      <c r="O494" s="291"/>
      <c r="P494" s="291"/>
      <c r="Q494" s="291"/>
      <c r="R494" s="291"/>
      <c r="S494" s="291"/>
      <c r="T494" s="291"/>
      <c r="U494" s="291"/>
      <c r="V494" s="291"/>
      <c r="W494" s="291"/>
      <c r="X494" s="291"/>
      <c r="Y494" s="291"/>
      <c r="Z494" s="291"/>
    </row>
    <row r="495" spans="1:26" ht="14">
      <c r="A495" s="286" t="s">
        <v>8362</v>
      </c>
      <c r="B495" s="286" t="s">
        <v>8363</v>
      </c>
      <c r="C495" s="287">
        <v>504</v>
      </c>
      <c r="D495" s="288" t="s">
        <v>8364</v>
      </c>
      <c r="E495" s="288"/>
      <c r="F495" s="289">
        <v>3102612595</v>
      </c>
      <c r="G495" s="286">
        <v>51829699</v>
      </c>
      <c r="H495" s="286" t="s">
        <v>8365</v>
      </c>
      <c r="I495" s="290">
        <v>46080</v>
      </c>
      <c r="J495" s="291"/>
      <c r="K495" s="291"/>
      <c r="L495" s="291"/>
      <c r="M495" s="291"/>
      <c r="N495" s="291"/>
      <c r="O495" s="291"/>
      <c r="P495" s="291"/>
      <c r="Q495" s="291"/>
      <c r="R495" s="291"/>
      <c r="S495" s="291"/>
      <c r="T495" s="291"/>
      <c r="U495" s="291"/>
      <c r="V495" s="291"/>
      <c r="W495" s="291"/>
      <c r="X495" s="291"/>
      <c r="Y495" s="291"/>
      <c r="Z495" s="291"/>
    </row>
    <row r="496" spans="1:26" ht="14">
      <c r="A496" s="286" t="s">
        <v>8366</v>
      </c>
      <c r="B496" s="286" t="s">
        <v>8367</v>
      </c>
      <c r="C496" s="287">
        <v>802</v>
      </c>
      <c r="D496" s="288"/>
      <c r="E496" s="288"/>
      <c r="F496" s="289">
        <v>3125535993</v>
      </c>
      <c r="G496" s="286">
        <v>1020807088</v>
      </c>
      <c r="H496" s="286" t="s">
        <v>8368</v>
      </c>
      <c r="I496" s="291"/>
      <c r="J496" s="291"/>
      <c r="K496" s="291"/>
      <c r="L496" s="291"/>
      <c r="M496" s="291"/>
      <c r="N496" s="291"/>
      <c r="O496" s="291"/>
      <c r="P496" s="291"/>
      <c r="Q496" s="291"/>
      <c r="R496" s="291"/>
      <c r="S496" s="291"/>
      <c r="T496" s="291"/>
      <c r="U496" s="291"/>
      <c r="V496" s="291"/>
      <c r="W496" s="291"/>
      <c r="X496" s="291"/>
      <c r="Y496" s="291"/>
      <c r="Z496" s="291"/>
    </row>
    <row r="497" spans="1:26" ht="14">
      <c r="A497" s="286" t="s">
        <v>8369</v>
      </c>
      <c r="B497" s="286" t="s">
        <v>8370</v>
      </c>
      <c r="C497" s="287">
        <v>405</v>
      </c>
      <c r="D497" s="288"/>
      <c r="E497" s="288"/>
      <c r="F497" s="289">
        <v>3166986605</v>
      </c>
      <c r="G497" s="286">
        <v>33377365</v>
      </c>
      <c r="H497" s="286" t="s">
        <v>8371</v>
      </c>
      <c r="I497" s="290">
        <v>46080</v>
      </c>
      <c r="J497" s="291"/>
      <c r="K497" s="291"/>
      <c r="L497" s="291"/>
      <c r="M497" s="291"/>
      <c r="N497" s="291"/>
      <c r="O497" s="291"/>
      <c r="P497" s="291"/>
      <c r="Q497" s="291"/>
      <c r="R497" s="291"/>
      <c r="S497" s="291"/>
      <c r="T497" s="291"/>
      <c r="U497" s="291"/>
      <c r="V497" s="291"/>
      <c r="W497" s="291"/>
      <c r="X497" s="291"/>
      <c r="Y497" s="291"/>
      <c r="Z497" s="291"/>
    </row>
    <row r="498" spans="1:26" ht="14">
      <c r="A498" s="286" t="s">
        <v>8372</v>
      </c>
      <c r="B498" s="286" t="s">
        <v>8373</v>
      </c>
      <c r="C498" s="287">
        <v>501</v>
      </c>
      <c r="D498" s="288" t="s">
        <v>7163</v>
      </c>
      <c r="E498" s="288"/>
      <c r="F498" s="289">
        <v>3204499833</v>
      </c>
      <c r="G498" s="286">
        <v>1015405832</v>
      </c>
      <c r="H498" s="286" t="s">
        <v>8374</v>
      </c>
      <c r="I498" s="291"/>
      <c r="J498" s="291"/>
      <c r="K498" s="291"/>
      <c r="L498" s="291"/>
      <c r="M498" s="291"/>
      <c r="N498" s="291"/>
      <c r="O498" s="291"/>
      <c r="P498" s="291"/>
      <c r="Q498" s="291"/>
      <c r="R498" s="291"/>
      <c r="S498" s="291"/>
      <c r="T498" s="291"/>
      <c r="U498" s="291"/>
      <c r="V498" s="291"/>
      <c r="W498" s="291"/>
      <c r="X498" s="291"/>
      <c r="Y498" s="291"/>
      <c r="Z498" s="291"/>
    </row>
    <row r="499" spans="1:26" ht="14">
      <c r="A499" s="286" t="s">
        <v>70</v>
      </c>
      <c r="B499" s="286" t="s">
        <v>8375</v>
      </c>
      <c r="C499" s="287">
        <v>103</v>
      </c>
      <c r="D499" s="288" t="s">
        <v>8376</v>
      </c>
      <c r="E499" s="288"/>
      <c r="F499" s="289">
        <v>3102577049</v>
      </c>
      <c r="G499" s="286">
        <v>39773665</v>
      </c>
      <c r="H499" s="286" t="s">
        <v>8377</v>
      </c>
      <c r="I499" s="291"/>
      <c r="J499" s="291"/>
      <c r="K499" s="291"/>
      <c r="L499" s="291"/>
      <c r="M499" s="291"/>
      <c r="N499" s="291"/>
      <c r="O499" s="291"/>
      <c r="P499" s="291"/>
      <c r="Q499" s="291"/>
      <c r="R499" s="291"/>
      <c r="S499" s="291"/>
      <c r="T499" s="291"/>
      <c r="U499" s="291"/>
      <c r="V499" s="291"/>
      <c r="W499" s="291"/>
      <c r="X499" s="291"/>
      <c r="Y499" s="291"/>
      <c r="Z499" s="291"/>
    </row>
    <row r="500" spans="1:26" ht="14">
      <c r="A500" s="286" t="s">
        <v>119</v>
      </c>
      <c r="B500" s="286" t="s">
        <v>8378</v>
      </c>
      <c r="C500" s="287">
        <v>303</v>
      </c>
      <c r="D500" s="288"/>
      <c r="E500" s="288"/>
      <c r="F500" s="289">
        <v>3204900125</v>
      </c>
      <c r="G500" s="286">
        <v>35460398</v>
      </c>
      <c r="H500" s="286" t="s">
        <v>8379</v>
      </c>
      <c r="I500" s="290">
        <v>46076</v>
      </c>
      <c r="J500" s="291"/>
      <c r="K500" s="291"/>
      <c r="L500" s="291"/>
      <c r="M500" s="291"/>
      <c r="N500" s="291"/>
      <c r="O500" s="291"/>
      <c r="P500" s="291"/>
      <c r="Q500" s="291"/>
      <c r="R500" s="291"/>
      <c r="S500" s="291"/>
      <c r="T500" s="291"/>
      <c r="U500" s="291"/>
      <c r="V500" s="291"/>
      <c r="W500" s="291"/>
      <c r="X500" s="291"/>
      <c r="Y500" s="291"/>
      <c r="Z500" s="291"/>
    </row>
    <row r="501" spans="1:26" ht="14">
      <c r="A501" s="286" t="s">
        <v>146</v>
      </c>
      <c r="B501" s="286" t="s">
        <v>8380</v>
      </c>
      <c r="C501" s="287">
        <v>206</v>
      </c>
      <c r="D501" s="288" t="s">
        <v>8381</v>
      </c>
      <c r="E501" s="288"/>
      <c r="F501" s="289">
        <v>3138592658</v>
      </c>
      <c r="G501" s="286">
        <v>52210776</v>
      </c>
      <c r="H501" s="286" t="s">
        <v>8382</v>
      </c>
      <c r="I501" s="290">
        <v>46080</v>
      </c>
      <c r="J501" s="291"/>
      <c r="K501" s="291"/>
      <c r="L501" s="291"/>
      <c r="M501" s="291"/>
      <c r="N501" s="291"/>
      <c r="O501" s="291"/>
      <c r="P501" s="291"/>
      <c r="Q501" s="291"/>
      <c r="R501" s="291"/>
      <c r="S501" s="291"/>
      <c r="T501" s="291"/>
      <c r="U501" s="291"/>
      <c r="V501" s="291"/>
      <c r="W501" s="291"/>
      <c r="X501" s="291"/>
      <c r="Y501" s="291"/>
      <c r="Z501" s="291"/>
    </row>
    <row r="502" spans="1:26" ht="14">
      <c r="A502" s="286" t="s">
        <v>8383</v>
      </c>
      <c r="B502" s="286" t="s">
        <v>8384</v>
      </c>
      <c r="C502" s="287">
        <v>301</v>
      </c>
      <c r="D502" s="288" t="s">
        <v>8385</v>
      </c>
      <c r="E502" s="288"/>
      <c r="F502" s="289">
        <v>3102561793</v>
      </c>
      <c r="G502" s="286">
        <v>39776097</v>
      </c>
      <c r="H502" s="286" t="s">
        <v>8386</v>
      </c>
      <c r="I502" s="290">
        <v>46080</v>
      </c>
      <c r="J502" s="291"/>
      <c r="K502" s="291"/>
      <c r="L502" s="291"/>
      <c r="M502" s="291"/>
      <c r="N502" s="291"/>
      <c r="O502" s="291"/>
      <c r="P502" s="291"/>
      <c r="Q502" s="291"/>
      <c r="R502" s="291"/>
      <c r="S502" s="291"/>
      <c r="T502" s="291"/>
      <c r="U502" s="291"/>
      <c r="V502" s="291"/>
      <c r="W502" s="291"/>
      <c r="X502" s="291"/>
      <c r="Y502" s="291"/>
      <c r="Z502" s="291"/>
    </row>
    <row r="503" spans="1:26" ht="14">
      <c r="A503" s="298" t="s">
        <v>8387</v>
      </c>
      <c r="B503" s="298" t="s">
        <v>8388</v>
      </c>
      <c r="C503" s="299">
        <v>604</v>
      </c>
      <c r="D503" s="298"/>
      <c r="E503" s="298"/>
      <c r="F503" s="300">
        <v>3125427214</v>
      </c>
      <c r="G503" s="298">
        <v>1020822626</v>
      </c>
      <c r="H503" s="298" t="s">
        <v>8389</v>
      </c>
      <c r="I503" s="290">
        <v>46080</v>
      </c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</row>
    <row r="504" spans="1:26" ht="14">
      <c r="A504" s="298" t="s">
        <v>411</v>
      </c>
      <c r="B504" s="298" t="s">
        <v>8390</v>
      </c>
      <c r="C504" s="299" t="s">
        <v>8391</v>
      </c>
      <c r="D504" s="298" t="s">
        <v>8392</v>
      </c>
      <c r="E504" s="298" t="s">
        <v>8393</v>
      </c>
      <c r="F504" s="300">
        <v>3102747147</v>
      </c>
      <c r="G504" s="298">
        <v>41522711</v>
      </c>
      <c r="H504" s="298" t="s">
        <v>8394</v>
      </c>
      <c r="I504" s="290">
        <v>46080</v>
      </c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</row>
    <row r="505" spans="1:26" ht="20.25" customHeight="1">
      <c r="A505" s="298" t="s">
        <v>395</v>
      </c>
      <c r="B505" s="298" t="s">
        <v>8395</v>
      </c>
      <c r="C505" s="299">
        <v>612</v>
      </c>
      <c r="D505" s="298" t="s">
        <v>8396</v>
      </c>
      <c r="E505" s="298"/>
      <c r="F505" s="300">
        <v>3017355760</v>
      </c>
      <c r="G505" s="298">
        <v>36168368</v>
      </c>
      <c r="H505" s="298" t="s">
        <v>8397</v>
      </c>
      <c r="I505" s="290">
        <v>46080</v>
      </c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</row>
    <row r="506" spans="1:26" ht="14">
      <c r="A506" s="298" t="s">
        <v>8398</v>
      </c>
      <c r="B506" s="298" t="s">
        <v>8399</v>
      </c>
      <c r="C506" s="299"/>
      <c r="D506" s="298"/>
      <c r="E506" s="298"/>
      <c r="F506" s="300">
        <v>3125308759</v>
      </c>
      <c r="G506" s="298">
        <v>1020793909</v>
      </c>
      <c r="H506" s="298" t="s">
        <v>8400</v>
      </c>
      <c r="I506" s="290">
        <v>46080</v>
      </c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</row>
    <row r="507" spans="1:26" ht="14">
      <c r="A507" s="298" t="s">
        <v>8401</v>
      </c>
      <c r="B507" s="298" t="s">
        <v>8402</v>
      </c>
      <c r="C507" s="299">
        <v>304</v>
      </c>
      <c r="D507" s="298"/>
      <c r="E507" s="298"/>
      <c r="F507" s="300">
        <v>3115766678</v>
      </c>
      <c r="G507" s="298">
        <v>1019047429</v>
      </c>
      <c r="H507" s="298" t="s">
        <v>8403</v>
      </c>
      <c r="I507" s="290">
        <v>46080</v>
      </c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</row>
    <row r="508" spans="1:26" ht="14">
      <c r="A508" s="298" t="s">
        <v>8404</v>
      </c>
      <c r="B508" s="298" t="s">
        <v>8405</v>
      </c>
      <c r="C508" s="299">
        <v>302</v>
      </c>
      <c r="D508" s="298"/>
      <c r="E508" s="298"/>
      <c r="F508" s="300">
        <v>3153154441</v>
      </c>
      <c r="G508" s="298">
        <v>19252937</v>
      </c>
      <c r="H508" s="298" t="s">
        <v>8406</v>
      </c>
      <c r="I508" s="302">
        <v>46080</v>
      </c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</row>
    <row r="509" spans="1:26" ht="14">
      <c r="A509" s="298" t="s">
        <v>8407</v>
      </c>
      <c r="B509" s="298" t="s">
        <v>8408</v>
      </c>
      <c r="C509" s="299"/>
      <c r="D509" s="298"/>
      <c r="E509" s="298"/>
      <c r="F509" s="300">
        <v>3106665615</v>
      </c>
      <c r="G509" s="298">
        <v>52085501</v>
      </c>
      <c r="H509" s="298" t="s">
        <v>8409</v>
      </c>
      <c r="I509" s="302">
        <v>46083</v>
      </c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</row>
    <row r="510" spans="1:26" ht="14">
      <c r="A510" s="298" t="s">
        <v>8410</v>
      </c>
      <c r="B510" s="298" t="s">
        <v>8411</v>
      </c>
      <c r="C510" s="299">
        <v>305</v>
      </c>
      <c r="D510" s="298"/>
      <c r="E510" s="298"/>
      <c r="F510" s="300">
        <v>3102294288</v>
      </c>
      <c r="G510" s="298">
        <v>41736702</v>
      </c>
      <c r="H510" s="298" t="s">
        <v>8412</v>
      </c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</row>
    <row r="511" spans="1:26" ht="14">
      <c r="A511" s="298" t="s">
        <v>8413</v>
      </c>
      <c r="B511" s="298" t="s">
        <v>8414</v>
      </c>
      <c r="C511" s="299">
        <v>501</v>
      </c>
      <c r="D511" s="298" t="s">
        <v>8415</v>
      </c>
      <c r="E511" s="298"/>
      <c r="F511" s="300">
        <v>3185572320</v>
      </c>
      <c r="G511" s="298">
        <v>31534506</v>
      </c>
      <c r="H511" s="298" t="s">
        <v>8416</v>
      </c>
      <c r="I511" s="302">
        <v>46083</v>
      </c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</row>
    <row r="512" spans="1:26" ht="14">
      <c r="A512" s="298" t="s">
        <v>8417</v>
      </c>
      <c r="B512" s="298" t="s">
        <v>8418</v>
      </c>
      <c r="C512" s="299">
        <v>504</v>
      </c>
      <c r="D512" s="298"/>
      <c r="E512" s="298"/>
      <c r="F512" s="300">
        <v>3163937625</v>
      </c>
      <c r="G512" s="298">
        <v>1020719495</v>
      </c>
      <c r="H512" s="298" t="s">
        <v>7316</v>
      </c>
      <c r="I512" s="302">
        <v>46083</v>
      </c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</row>
    <row r="513" spans="1:26" ht="14">
      <c r="A513" s="298" t="s">
        <v>8419</v>
      </c>
      <c r="B513" s="298" t="s">
        <v>8420</v>
      </c>
      <c r="C513" s="299">
        <v>309</v>
      </c>
      <c r="D513" s="298" t="s">
        <v>8421</v>
      </c>
      <c r="E513" s="298"/>
      <c r="F513" s="300">
        <v>3213702451</v>
      </c>
      <c r="G513" s="298">
        <v>41473749</v>
      </c>
      <c r="H513" s="298" t="s">
        <v>8422</v>
      </c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</row>
    <row r="514" spans="1:26" ht="14">
      <c r="A514" s="298" t="s">
        <v>8423</v>
      </c>
      <c r="B514" s="298" t="s">
        <v>8424</v>
      </c>
      <c r="C514" s="299">
        <v>605</v>
      </c>
      <c r="D514" s="298"/>
      <c r="E514" s="298"/>
      <c r="F514" s="300">
        <v>3112516889</v>
      </c>
      <c r="G514" s="298" t="s">
        <v>8425</v>
      </c>
      <c r="H514" s="298" t="s">
        <v>8426</v>
      </c>
      <c r="I514" s="302">
        <v>46083</v>
      </c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</row>
    <row r="515" spans="1:26" ht="14">
      <c r="A515" s="298" t="s">
        <v>8427</v>
      </c>
      <c r="B515" s="298" t="s">
        <v>8428</v>
      </c>
      <c r="C515" s="299"/>
      <c r="D515" s="298" t="s">
        <v>8429</v>
      </c>
      <c r="E515" s="298"/>
      <c r="F515" s="300">
        <v>3053459520</v>
      </c>
      <c r="G515" s="298">
        <v>51869711</v>
      </c>
      <c r="H515" s="298" t="s">
        <v>8430</v>
      </c>
      <c r="I515" s="302">
        <v>46083</v>
      </c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</row>
    <row r="516" spans="1:26" ht="14">
      <c r="A516" s="298" t="s">
        <v>8431</v>
      </c>
      <c r="B516" s="298" t="s">
        <v>8432</v>
      </c>
      <c r="C516" s="299">
        <v>403</v>
      </c>
      <c r="D516" s="298"/>
      <c r="E516" s="298"/>
      <c r="F516" s="300">
        <v>3213623047</v>
      </c>
      <c r="G516" s="298">
        <v>52200088</v>
      </c>
      <c r="H516" s="298" t="s">
        <v>7896</v>
      </c>
      <c r="I516" s="302">
        <v>46083</v>
      </c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</row>
    <row r="517" spans="1:26" ht="14">
      <c r="A517" s="298" t="s">
        <v>872</v>
      </c>
      <c r="B517" s="298" t="s">
        <v>8433</v>
      </c>
      <c r="C517" s="299">
        <v>604</v>
      </c>
      <c r="D517" s="298" t="s">
        <v>3129</v>
      </c>
      <c r="E517" s="298"/>
      <c r="F517" s="300">
        <v>3187125030</v>
      </c>
      <c r="G517" s="298">
        <v>5276332</v>
      </c>
      <c r="H517" s="298" t="s">
        <v>8434</v>
      </c>
      <c r="I517" s="302">
        <v>46083</v>
      </c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</row>
    <row r="518" spans="1:26" ht="14">
      <c r="A518" s="298" t="s">
        <v>8435</v>
      </c>
      <c r="B518" s="298" t="s">
        <v>8436</v>
      </c>
      <c r="C518" s="299">
        <v>511</v>
      </c>
      <c r="D518" s="298"/>
      <c r="E518" s="298"/>
      <c r="F518" s="300">
        <v>3102652061</v>
      </c>
      <c r="G518" s="298">
        <v>437974</v>
      </c>
      <c r="H518" s="298" t="s">
        <v>8437</v>
      </c>
      <c r="I518" s="302">
        <v>46083</v>
      </c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</row>
    <row r="519" spans="1:26" ht="14">
      <c r="A519" s="298" t="s">
        <v>8438</v>
      </c>
      <c r="B519" s="298" t="s">
        <v>8439</v>
      </c>
      <c r="C519" s="299">
        <v>407</v>
      </c>
      <c r="D519" s="298" t="s">
        <v>8440</v>
      </c>
      <c r="E519" s="298"/>
      <c r="F519" s="300">
        <v>3155564128</v>
      </c>
      <c r="G519" s="298">
        <v>1107046849</v>
      </c>
      <c r="H519" s="298" t="s">
        <v>8441</v>
      </c>
      <c r="I519" s="302">
        <v>46083</v>
      </c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</row>
    <row r="520" spans="1:26" ht="14">
      <c r="A520" s="298" t="s">
        <v>26</v>
      </c>
      <c r="B520" s="298" t="s">
        <v>8442</v>
      </c>
      <c r="C520" s="299">
        <v>46</v>
      </c>
      <c r="D520" s="298"/>
      <c r="E520" s="298"/>
      <c r="F520" s="300">
        <v>3144748411</v>
      </c>
      <c r="G520" s="298">
        <v>1015454689</v>
      </c>
      <c r="H520" s="298" t="s">
        <v>8443</v>
      </c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</row>
    <row r="521" spans="1:26" ht="14">
      <c r="A521" s="298" t="s">
        <v>8444</v>
      </c>
      <c r="B521" s="298" t="s">
        <v>8445</v>
      </c>
      <c r="C521" s="299">
        <v>503</v>
      </c>
      <c r="D521" s="298" t="s">
        <v>8446</v>
      </c>
      <c r="E521" s="298"/>
      <c r="F521" s="300">
        <v>3006133807</v>
      </c>
      <c r="G521" s="298">
        <v>52235622</v>
      </c>
      <c r="H521" s="298" t="s">
        <v>8447</v>
      </c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</row>
    <row r="522" spans="1:26" ht="14">
      <c r="A522" s="298" t="s">
        <v>82</v>
      </c>
      <c r="B522" s="298" t="s">
        <v>8448</v>
      </c>
      <c r="C522" s="299">
        <v>202</v>
      </c>
      <c r="D522" s="298" t="s">
        <v>2907</v>
      </c>
      <c r="E522" s="298"/>
      <c r="F522" s="300">
        <v>3102188847</v>
      </c>
      <c r="G522" s="298">
        <v>41628028</v>
      </c>
      <c r="H522" s="298" t="s">
        <v>8449</v>
      </c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</row>
    <row r="523" spans="1:26" ht="14">
      <c r="A523" s="298" t="s">
        <v>8450</v>
      </c>
      <c r="B523" s="298" t="s">
        <v>8451</v>
      </c>
      <c r="C523" s="299">
        <v>504</v>
      </c>
      <c r="D523" s="298"/>
      <c r="E523" s="298"/>
      <c r="F523" s="300">
        <v>3017298950</v>
      </c>
      <c r="G523" s="298">
        <v>39791727</v>
      </c>
      <c r="H523" s="298" t="s">
        <v>8452</v>
      </c>
      <c r="I523" s="302">
        <v>46083</v>
      </c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</row>
    <row r="524" spans="1:26" ht="14">
      <c r="A524" s="298" t="s">
        <v>8453</v>
      </c>
      <c r="B524" s="298" t="s">
        <v>8454</v>
      </c>
      <c r="C524" s="299">
        <v>501</v>
      </c>
      <c r="D524" s="298"/>
      <c r="E524" s="298"/>
      <c r="F524" s="300">
        <v>3214520225</v>
      </c>
      <c r="G524" s="298">
        <v>52987949</v>
      </c>
      <c r="H524" s="298" t="s">
        <v>8455</v>
      </c>
      <c r="I524" s="302">
        <v>46083</v>
      </c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</row>
    <row r="525" spans="1:26" ht="14">
      <c r="A525" s="298" t="s">
        <v>73</v>
      </c>
      <c r="B525" s="298" t="s">
        <v>8456</v>
      </c>
      <c r="C525" s="299"/>
      <c r="D525" s="298"/>
      <c r="E525" s="298"/>
      <c r="F525" s="300">
        <v>3166909131</v>
      </c>
      <c r="G525" s="298">
        <v>1078368183</v>
      </c>
      <c r="H525" s="298" t="s">
        <v>8457</v>
      </c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</row>
    <row r="526" spans="1:26" ht="14">
      <c r="A526" s="298" t="s">
        <v>8458</v>
      </c>
      <c r="B526" s="298" t="s">
        <v>8459</v>
      </c>
      <c r="C526" s="299">
        <v>502</v>
      </c>
      <c r="D526" s="298"/>
      <c r="E526" s="298"/>
      <c r="F526" s="300">
        <v>3223058516</v>
      </c>
      <c r="G526" s="298">
        <v>1098637896</v>
      </c>
      <c r="H526" s="298" t="s">
        <v>8460</v>
      </c>
      <c r="I526" s="302">
        <v>46083</v>
      </c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</row>
    <row r="527" spans="1:26" ht="14">
      <c r="A527" s="313" t="s">
        <v>8461</v>
      </c>
      <c r="B527" s="298" t="s">
        <v>8462</v>
      </c>
      <c r="C527" s="299">
        <v>403</v>
      </c>
      <c r="D527" s="298" t="s">
        <v>8463</v>
      </c>
      <c r="E527" s="298"/>
      <c r="F527" s="300">
        <v>3017918114</v>
      </c>
      <c r="G527" s="298">
        <v>37548929</v>
      </c>
      <c r="H527" s="298" t="s">
        <v>8464</v>
      </c>
      <c r="I527" s="302">
        <v>46083</v>
      </c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</row>
    <row r="528" spans="1:26" ht="14">
      <c r="A528" s="298" t="s">
        <v>8465</v>
      </c>
      <c r="B528" s="298" t="s">
        <v>8466</v>
      </c>
      <c r="C528" s="299">
        <v>301</v>
      </c>
      <c r="D528" s="298" t="s">
        <v>8467</v>
      </c>
      <c r="E528" s="298"/>
      <c r="F528" s="300">
        <v>3183891007</v>
      </c>
      <c r="G528" s="298">
        <v>53123322</v>
      </c>
      <c r="H528" s="298" t="s">
        <v>8468</v>
      </c>
      <c r="I528" s="302">
        <v>46083</v>
      </c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</row>
    <row r="529" spans="1:26" ht="14">
      <c r="A529" s="298" t="s">
        <v>8469</v>
      </c>
      <c r="B529" s="298" t="s">
        <v>8470</v>
      </c>
      <c r="C529" s="299">
        <v>902</v>
      </c>
      <c r="D529" s="298" t="s">
        <v>8471</v>
      </c>
      <c r="E529" s="298"/>
      <c r="F529" s="300">
        <v>3102457833</v>
      </c>
      <c r="G529" s="298">
        <v>1015437357</v>
      </c>
      <c r="H529" s="298" t="s">
        <v>8472</v>
      </c>
      <c r="I529" s="302">
        <v>46083</v>
      </c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</row>
    <row r="530" spans="1:26" ht="14">
      <c r="A530" s="298" t="s">
        <v>476</v>
      </c>
      <c r="B530" s="298" t="s">
        <v>8473</v>
      </c>
      <c r="C530" s="299">
        <v>502</v>
      </c>
      <c r="D530" s="298" t="s">
        <v>8474</v>
      </c>
      <c r="E530" s="298"/>
      <c r="F530" s="300">
        <v>3108151551</v>
      </c>
      <c r="G530" s="298">
        <v>51959900</v>
      </c>
      <c r="H530" s="298" t="s">
        <v>8475</v>
      </c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</row>
    <row r="531" spans="1:26" ht="14">
      <c r="A531" s="298" t="s">
        <v>8476</v>
      </c>
      <c r="B531" s="298" t="s">
        <v>8477</v>
      </c>
      <c r="C531" s="299">
        <v>407</v>
      </c>
      <c r="D531" s="298"/>
      <c r="E531" s="298"/>
      <c r="F531" s="300">
        <v>3228397776</v>
      </c>
      <c r="G531" s="298">
        <v>1019129908</v>
      </c>
      <c r="H531" s="298" t="s">
        <v>8478</v>
      </c>
      <c r="I531" s="302">
        <v>46083</v>
      </c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</row>
    <row r="532" spans="1:26" ht="14">
      <c r="A532" s="298" t="s">
        <v>8479</v>
      </c>
      <c r="B532" s="298" t="s">
        <v>8480</v>
      </c>
      <c r="C532" s="299">
        <v>203</v>
      </c>
      <c r="D532" s="298" t="s">
        <v>8481</v>
      </c>
      <c r="E532" s="298"/>
      <c r="F532" s="300">
        <v>3212072476</v>
      </c>
      <c r="G532" s="298">
        <v>41650744</v>
      </c>
      <c r="H532" s="298" t="s">
        <v>8482</v>
      </c>
      <c r="I532" s="302">
        <v>46083</v>
      </c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</row>
    <row r="533" spans="1:26" ht="14">
      <c r="A533" s="298" t="s">
        <v>8483</v>
      </c>
      <c r="B533" s="298" t="s">
        <v>8484</v>
      </c>
      <c r="C533" s="299">
        <v>804</v>
      </c>
      <c r="D533" s="298"/>
      <c r="E533" s="298"/>
      <c r="F533" s="300">
        <v>3174405366</v>
      </c>
      <c r="G533" s="298">
        <v>79577053</v>
      </c>
      <c r="H533" s="298" t="s">
        <v>8485</v>
      </c>
      <c r="I533" s="302">
        <v>46083</v>
      </c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</row>
    <row r="534" spans="1:26" ht="14">
      <c r="A534" s="298" t="s">
        <v>8486</v>
      </c>
      <c r="B534" s="298" t="s">
        <v>8487</v>
      </c>
      <c r="C534" s="299">
        <v>102</v>
      </c>
      <c r="D534" s="298" t="s">
        <v>8488</v>
      </c>
      <c r="E534" s="298"/>
      <c r="F534" s="300">
        <v>3219466691</v>
      </c>
      <c r="G534" s="298">
        <v>41635475</v>
      </c>
      <c r="H534" s="298" t="s">
        <v>8489</v>
      </c>
      <c r="I534" s="302">
        <v>46083</v>
      </c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</row>
    <row r="535" spans="1:26" ht="14">
      <c r="A535" s="298" t="s">
        <v>8490</v>
      </c>
      <c r="B535" s="298" t="s">
        <v>8491</v>
      </c>
      <c r="C535" s="299">
        <v>1501</v>
      </c>
      <c r="D535" s="298" t="s">
        <v>2962</v>
      </c>
      <c r="E535" s="298" t="s">
        <v>8492</v>
      </c>
      <c r="F535" s="300">
        <v>3196487691</v>
      </c>
      <c r="G535" s="298">
        <v>80761149</v>
      </c>
      <c r="H535" s="298" t="s">
        <v>8493</v>
      </c>
      <c r="I535" s="302">
        <v>46083</v>
      </c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</row>
    <row r="536" spans="1:26" ht="14">
      <c r="A536" s="298" t="s">
        <v>8494</v>
      </c>
      <c r="B536" s="298" t="s">
        <v>8495</v>
      </c>
      <c r="C536" s="299"/>
      <c r="D536" s="298"/>
      <c r="E536" s="298"/>
      <c r="F536" s="300">
        <v>3143588247</v>
      </c>
      <c r="G536" s="298">
        <v>1020830754</v>
      </c>
      <c r="H536" s="298" t="s">
        <v>8496</v>
      </c>
      <c r="I536" s="302">
        <v>46083</v>
      </c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</row>
    <row r="537" spans="1:26" ht="14">
      <c r="A537" s="298" t="s">
        <v>8497</v>
      </c>
      <c r="B537" s="298" t="s">
        <v>8498</v>
      </c>
      <c r="C537" s="299">
        <v>502</v>
      </c>
      <c r="D537" s="298" t="s">
        <v>8499</v>
      </c>
      <c r="E537" s="298"/>
      <c r="F537" s="313">
        <v>3043916374</v>
      </c>
      <c r="G537" s="298">
        <v>1015442667</v>
      </c>
      <c r="H537" s="298" t="s">
        <v>8500</v>
      </c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</row>
    <row r="538" spans="1:26" ht="14">
      <c r="A538" s="298" t="s">
        <v>8501</v>
      </c>
      <c r="B538" s="298" t="s">
        <v>8502</v>
      </c>
      <c r="C538" s="299">
        <v>405</v>
      </c>
      <c r="D538" s="298"/>
      <c r="E538" s="298"/>
      <c r="F538" s="300">
        <v>3156489166</v>
      </c>
      <c r="G538" s="298">
        <v>35458780</v>
      </c>
      <c r="H538" s="298"/>
      <c r="I538" s="302">
        <v>46083</v>
      </c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</row>
    <row r="539" spans="1:26" ht="14">
      <c r="A539" s="298" t="s">
        <v>8503</v>
      </c>
      <c r="B539" s="298" t="s">
        <v>8504</v>
      </c>
      <c r="C539" s="299">
        <v>501</v>
      </c>
      <c r="D539" s="298"/>
      <c r="E539" s="298"/>
      <c r="F539" s="300">
        <v>3133451111</v>
      </c>
      <c r="G539" s="298">
        <v>52254595</v>
      </c>
      <c r="H539" s="298" t="s">
        <v>8505</v>
      </c>
      <c r="I539" s="302">
        <v>46083</v>
      </c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</row>
    <row r="540" spans="1:26" ht="14">
      <c r="A540" s="298" t="s">
        <v>486</v>
      </c>
      <c r="B540" s="298" t="s">
        <v>8506</v>
      </c>
      <c r="C540" s="299">
        <v>501</v>
      </c>
      <c r="D540" s="298"/>
      <c r="E540" s="298"/>
      <c r="F540" s="300">
        <v>3002486117</v>
      </c>
      <c r="G540" s="298">
        <v>52221486</v>
      </c>
      <c r="H540" s="298" t="s">
        <v>8507</v>
      </c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</row>
    <row r="541" spans="1:26" ht="14">
      <c r="A541" s="298" t="s">
        <v>108</v>
      </c>
      <c r="B541" s="298" t="s">
        <v>8508</v>
      </c>
      <c r="C541" s="299"/>
      <c r="D541" s="298"/>
      <c r="E541" s="298"/>
      <c r="F541" s="300">
        <v>3202450265</v>
      </c>
      <c r="G541" s="298">
        <v>51995203</v>
      </c>
      <c r="H541" s="298" t="s">
        <v>8509</v>
      </c>
      <c r="I541" s="302">
        <v>46083</v>
      </c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</row>
    <row r="542" spans="1:26" ht="14">
      <c r="A542" s="298" t="s">
        <v>1998</v>
      </c>
      <c r="B542" s="298" t="s">
        <v>8510</v>
      </c>
      <c r="C542" s="299"/>
      <c r="D542" s="298"/>
      <c r="E542" s="298"/>
      <c r="F542" s="300">
        <v>3134248610</v>
      </c>
      <c r="G542" s="298">
        <v>1020820554</v>
      </c>
      <c r="H542" s="298" t="s">
        <v>8511</v>
      </c>
      <c r="I542" s="302">
        <v>46083</v>
      </c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</row>
    <row r="543" spans="1:26" ht="14">
      <c r="A543" s="298" t="s">
        <v>8512</v>
      </c>
      <c r="B543" s="298" t="s">
        <v>8513</v>
      </c>
      <c r="C543" s="299">
        <v>202</v>
      </c>
      <c r="D543" s="298"/>
      <c r="E543" s="298"/>
      <c r="F543" s="300">
        <v>3044659249</v>
      </c>
      <c r="G543" s="298">
        <v>39692727</v>
      </c>
      <c r="H543" s="298" t="s">
        <v>8514</v>
      </c>
      <c r="I543" s="302">
        <v>46083</v>
      </c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</row>
    <row r="544" spans="1:26" ht="14">
      <c r="A544" s="298" t="s">
        <v>8515</v>
      </c>
      <c r="B544" s="298" t="s">
        <v>8516</v>
      </c>
      <c r="C544" s="299" t="s">
        <v>8517</v>
      </c>
      <c r="D544" s="298" t="s">
        <v>7480</v>
      </c>
      <c r="E544" s="298"/>
      <c r="F544" s="300">
        <v>3107856071</v>
      </c>
      <c r="G544" s="298">
        <v>52177548</v>
      </c>
      <c r="H544" s="298" t="s">
        <v>8518</v>
      </c>
      <c r="I544" s="302">
        <v>46083</v>
      </c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</row>
    <row r="545" spans="1:26" ht="14">
      <c r="A545" s="298" t="s">
        <v>8519</v>
      </c>
      <c r="B545" s="298" t="s">
        <v>8520</v>
      </c>
      <c r="C545" s="299">
        <v>203</v>
      </c>
      <c r="D545" s="298" t="s">
        <v>8521</v>
      </c>
      <c r="E545" s="298"/>
      <c r="F545" s="300">
        <v>3213658971</v>
      </c>
      <c r="G545" s="298">
        <v>39566550</v>
      </c>
      <c r="H545" s="298" t="s">
        <v>8522</v>
      </c>
      <c r="I545" s="302">
        <v>46083</v>
      </c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</row>
    <row r="546" spans="1:26" ht="14">
      <c r="A546" s="298" t="s">
        <v>383</v>
      </c>
      <c r="B546" s="298" t="s">
        <v>8523</v>
      </c>
      <c r="C546" s="299">
        <v>102</v>
      </c>
      <c r="D546" s="298"/>
      <c r="E546" s="298"/>
      <c r="F546" s="300">
        <v>3184245820</v>
      </c>
      <c r="G546" s="298" t="s">
        <v>8524</v>
      </c>
      <c r="H546" s="298" t="s">
        <v>8525</v>
      </c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</row>
    <row r="547" spans="1:26" ht="14">
      <c r="A547" s="298" t="s">
        <v>422</v>
      </c>
      <c r="B547" s="298" t="s">
        <v>8526</v>
      </c>
      <c r="C547" s="299">
        <v>503</v>
      </c>
      <c r="D547" s="298"/>
      <c r="E547" s="298"/>
      <c r="F547" s="298">
        <v>3188869330</v>
      </c>
      <c r="G547" s="298">
        <v>26422713</v>
      </c>
      <c r="H547" s="298" t="s">
        <v>8527</v>
      </c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</row>
    <row r="548" spans="1:26" ht="14">
      <c r="A548" s="298" t="s">
        <v>8528</v>
      </c>
      <c r="B548" s="298" t="s">
        <v>8529</v>
      </c>
      <c r="C548" s="299">
        <v>402</v>
      </c>
      <c r="D548" s="298"/>
      <c r="E548" s="298"/>
      <c r="F548" s="300">
        <v>3124479318</v>
      </c>
      <c r="G548" s="298">
        <v>53177276</v>
      </c>
      <c r="H548" s="298" t="s">
        <v>8530</v>
      </c>
      <c r="I548" s="302">
        <v>46083</v>
      </c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</row>
    <row r="549" spans="1:26" ht="14">
      <c r="A549" s="298" t="s">
        <v>8531</v>
      </c>
      <c r="B549" s="298" t="s">
        <v>8532</v>
      </c>
      <c r="C549" s="299"/>
      <c r="D549" s="298" t="s">
        <v>8533</v>
      </c>
      <c r="E549" s="298"/>
      <c r="F549" s="300" t="s">
        <v>8534</v>
      </c>
      <c r="G549" s="298">
        <v>1020720596</v>
      </c>
      <c r="H549" s="298" t="s">
        <v>8535</v>
      </c>
      <c r="I549" s="302">
        <v>46083</v>
      </c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</row>
    <row r="550" spans="1:26" ht="14">
      <c r="A550" s="298" t="s">
        <v>8536</v>
      </c>
      <c r="B550" s="298" t="s">
        <v>8537</v>
      </c>
      <c r="C550" s="299" t="s">
        <v>8538</v>
      </c>
      <c r="D550" s="298"/>
      <c r="E550" s="298"/>
      <c r="F550" s="300">
        <v>13478426458</v>
      </c>
      <c r="G550" s="298">
        <v>52863968</v>
      </c>
      <c r="H550" s="298" t="s">
        <v>8539</v>
      </c>
      <c r="I550" s="302">
        <v>46083</v>
      </c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</row>
    <row r="551" spans="1:26" ht="14">
      <c r="A551" s="298" t="s">
        <v>8540</v>
      </c>
      <c r="B551" s="298" t="s">
        <v>8541</v>
      </c>
      <c r="C551" s="299">
        <v>503</v>
      </c>
      <c r="D551" s="298"/>
      <c r="E551" s="298"/>
      <c r="F551" s="300">
        <v>3112025951</v>
      </c>
      <c r="G551" s="298">
        <v>1032375630</v>
      </c>
      <c r="H551" s="298" t="s">
        <v>8542</v>
      </c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</row>
    <row r="552" spans="1:26" ht="14">
      <c r="A552" s="298" t="s">
        <v>8543</v>
      </c>
      <c r="B552" s="298" t="s">
        <v>8544</v>
      </c>
      <c r="C552" s="299">
        <v>704</v>
      </c>
      <c r="D552" s="298" t="s">
        <v>8545</v>
      </c>
      <c r="E552" s="298"/>
      <c r="F552" s="300">
        <v>3112336337</v>
      </c>
      <c r="G552" s="298">
        <v>1020797192</v>
      </c>
      <c r="H552" s="298" t="s">
        <v>8546</v>
      </c>
      <c r="I552" s="302">
        <v>46083</v>
      </c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</row>
    <row r="553" spans="1:26" ht="14">
      <c r="A553" s="298" t="s">
        <v>8547</v>
      </c>
      <c r="B553" s="298" t="s">
        <v>8548</v>
      </c>
      <c r="C553" s="299">
        <v>304</v>
      </c>
      <c r="D553" s="298"/>
      <c r="E553" s="298"/>
      <c r="F553" s="300">
        <v>3108802676</v>
      </c>
      <c r="G553" s="298"/>
      <c r="H553" s="298" t="s">
        <v>8549</v>
      </c>
      <c r="I553" s="302">
        <v>46083</v>
      </c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</row>
    <row r="554" spans="1:26" ht="14">
      <c r="A554" s="298" t="s">
        <v>8550</v>
      </c>
      <c r="B554" s="298" t="s">
        <v>8551</v>
      </c>
      <c r="C554" s="299">
        <v>301</v>
      </c>
      <c r="D554" s="298" t="s">
        <v>8552</v>
      </c>
      <c r="E554" s="298"/>
      <c r="F554" s="300">
        <v>3113792044</v>
      </c>
      <c r="G554" s="298">
        <v>1128403803</v>
      </c>
      <c r="H554" s="298" t="s">
        <v>8553</v>
      </c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</row>
    <row r="555" spans="1:26" ht="14">
      <c r="A555" s="298" t="s">
        <v>8554</v>
      </c>
      <c r="B555" s="298" t="s">
        <v>8555</v>
      </c>
      <c r="C555" s="299">
        <v>302</v>
      </c>
      <c r="D555" s="298" t="s">
        <v>8556</v>
      </c>
      <c r="E555" s="298"/>
      <c r="F555" s="300">
        <v>3132549850</v>
      </c>
      <c r="G555" s="298">
        <v>35456455</v>
      </c>
      <c r="H555" s="298"/>
      <c r="I555" s="302">
        <v>46083</v>
      </c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</row>
    <row r="556" spans="1:26" ht="14">
      <c r="A556" s="298" t="s">
        <v>8557</v>
      </c>
      <c r="B556" s="298" t="s">
        <v>8558</v>
      </c>
      <c r="C556" s="299">
        <v>803</v>
      </c>
      <c r="D556" s="298" t="s">
        <v>8559</v>
      </c>
      <c r="E556" s="298"/>
      <c r="F556" s="300">
        <v>3183272678</v>
      </c>
      <c r="G556" s="298">
        <v>1020718439</v>
      </c>
      <c r="H556" s="298" t="s">
        <v>8560</v>
      </c>
      <c r="I556" s="302">
        <v>46083</v>
      </c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</row>
    <row r="557" spans="1:26" ht="14">
      <c r="A557" s="298" t="s">
        <v>8561</v>
      </c>
      <c r="B557" s="298" t="s">
        <v>8562</v>
      </c>
      <c r="C557" s="299">
        <v>512</v>
      </c>
      <c r="D557" s="298"/>
      <c r="E557" s="298"/>
      <c r="F557" s="300">
        <v>3022465949</v>
      </c>
      <c r="G557" s="298">
        <v>1010193846</v>
      </c>
      <c r="H557" s="298" t="s">
        <v>8563</v>
      </c>
      <c r="I557" s="302">
        <v>46083</v>
      </c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</row>
    <row r="558" spans="1:26" ht="14">
      <c r="A558" s="298" t="s">
        <v>8564</v>
      </c>
      <c r="B558" s="298" t="s">
        <v>8565</v>
      </c>
      <c r="C558" s="299">
        <v>803</v>
      </c>
      <c r="D558" s="298"/>
      <c r="E558" s="298"/>
      <c r="F558" s="300">
        <v>3102498131</v>
      </c>
      <c r="G558" s="298">
        <v>1026261688</v>
      </c>
      <c r="H558" s="298" t="s">
        <v>8566</v>
      </c>
      <c r="I558" s="302">
        <v>46083</v>
      </c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</row>
    <row r="559" spans="1:26" ht="14">
      <c r="A559" s="298" t="s">
        <v>933</v>
      </c>
      <c r="B559" s="298" t="s">
        <v>8567</v>
      </c>
      <c r="C559" s="299">
        <v>707</v>
      </c>
      <c r="D559" s="298"/>
      <c r="E559" s="298"/>
      <c r="F559" s="300">
        <v>3115397182</v>
      </c>
      <c r="G559" s="298">
        <v>52999826</v>
      </c>
      <c r="H559" s="298" t="s">
        <v>8568</v>
      </c>
      <c r="I559" s="302">
        <v>46069</v>
      </c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</row>
    <row r="560" spans="1:26" ht="14">
      <c r="A560" s="298" t="s">
        <v>8569</v>
      </c>
      <c r="B560" s="298" t="s">
        <v>8570</v>
      </c>
      <c r="C560" s="299"/>
      <c r="D560" s="298"/>
      <c r="E560" s="298"/>
      <c r="F560" s="300">
        <v>3175741058</v>
      </c>
      <c r="G560" s="298">
        <v>38256099</v>
      </c>
      <c r="H560" s="298" t="s">
        <v>8571</v>
      </c>
      <c r="I560" s="302">
        <v>46083</v>
      </c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</row>
    <row r="561" spans="1:26" ht="14">
      <c r="A561" s="298" t="s">
        <v>8572</v>
      </c>
      <c r="B561" s="298" t="s">
        <v>8558</v>
      </c>
      <c r="C561" s="299">
        <v>803</v>
      </c>
      <c r="D561" s="298" t="s">
        <v>8573</v>
      </c>
      <c r="E561" s="298"/>
      <c r="F561" s="300">
        <v>3183272678</v>
      </c>
      <c r="G561" s="298">
        <v>1020718439</v>
      </c>
      <c r="H561" s="298" t="s">
        <v>8560</v>
      </c>
      <c r="I561" s="302">
        <v>46083</v>
      </c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</row>
    <row r="562" spans="1:26" ht="14">
      <c r="A562" s="298" t="s">
        <v>8574</v>
      </c>
      <c r="B562" s="298" t="s">
        <v>8575</v>
      </c>
      <c r="C562" s="299">
        <v>402</v>
      </c>
      <c r="D562" s="298"/>
      <c r="E562" s="298"/>
      <c r="F562" s="300">
        <v>3224770372</v>
      </c>
      <c r="G562" s="298" t="s">
        <v>8576</v>
      </c>
      <c r="H562" s="298" t="s">
        <v>8577</v>
      </c>
      <c r="I562" s="302">
        <v>46083</v>
      </c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</row>
    <row r="563" spans="1:26" ht="14">
      <c r="A563" s="298" t="s">
        <v>8578</v>
      </c>
      <c r="B563" s="298" t="s">
        <v>8579</v>
      </c>
      <c r="C563" s="299">
        <v>907</v>
      </c>
      <c r="D563" s="298" t="s">
        <v>8580</v>
      </c>
      <c r="E563" s="298"/>
      <c r="F563" s="300">
        <v>3102776856</v>
      </c>
      <c r="G563" s="298">
        <v>52383835</v>
      </c>
      <c r="H563" s="298" t="s">
        <v>8581</v>
      </c>
      <c r="I563" s="302">
        <v>46083</v>
      </c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</row>
    <row r="564" spans="1:26" ht="14">
      <c r="A564" s="298" t="s">
        <v>243</v>
      </c>
      <c r="B564" s="298" t="s">
        <v>8582</v>
      </c>
      <c r="C564" s="299">
        <v>1105</v>
      </c>
      <c r="D564" s="298" t="s">
        <v>6844</v>
      </c>
      <c r="E564" s="298" t="s">
        <v>8583</v>
      </c>
      <c r="F564" s="300">
        <v>3105724825</v>
      </c>
      <c r="G564" s="298">
        <v>52968899</v>
      </c>
      <c r="H564" s="298" t="s">
        <v>8584</v>
      </c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</row>
    <row r="565" spans="1:26" ht="14">
      <c r="A565" s="298" t="s">
        <v>90</v>
      </c>
      <c r="B565" s="298" t="s">
        <v>8585</v>
      </c>
      <c r="C565" s="299">
        <v>501</v>
      </c>
      <c r="D565" s="298" t="s">
        <v>8586</v>
      </c>
      <c r="E565" s="298"/>
      <c r="F565" s="300">
        <v>3118769731</v>
      </c>
      <c r="G565" s="298">
        <v>51768038</v>
      </c>
      <c r="H565" s="298" t="s">
        <v>8587</v>
      </c>
      <c r="I565" s="302">
        <v>46083</v>
      </c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</row>
    <row r="566" spans="1:26" ht="14">
      <c r="A566" s="298" t="s">
        <v>1269</v>
      </c>
      <c r="B566" s="298" t="s">
        <v>8588</v>
      </c>
      <c r="C566" s="299">
        <v>401</v>
      </c>
      <c r="D566" s="298"/>
      <c r="E566" s="298"/>
      <c r="F566" s="300">
        <v>3153153026</v>
      </c>
      <c r="G566" s="298">
        <v>1019014989</v>
      </c>
      <c r="H566" s="298" t="s">
        <v>8589</v>
      </c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</row>
    <row r="567" spans="1:26" ht="14">
      <c r="A567" s="298" t="s">
        <v>8590</v>
      </c>
      <c r="B567" s="298" t="s">
        <v>8591</v>
      </c>
      <c r="C567" s="299">
        <v>708</v>
      </c>
      <c r="D567" s="298" t="s">
        <v>8592</v>
      </c>
      <c r="E567" s="298"/>
      <c r="F567" s="300">
        <v>3114406353</v>
      </c>
      <c r="G567" s="298">
        <v>5975439</v>
      </c>
      <c r="H567" s="298" t="s">
        <v>8593</v>
      </c>
      <c r="I567" s="302">
        <v>46083</v>
      </c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</row>
    <row r="568" spans="1:26" ht="14">
      <c r="A568" s="298" t="s">
        <v>8594</v>
      </c>
      <c r="B568" s="298" t="s">
        <v>8595</v>
      </c>
      <c r="C568" s="299">
        <v>202</v>
      </c>
      <c r="D568" s="298" t="s">
        <v>8596</v>
      </c>
      <c r="E568" s="298"/>
      <c r="F568" s="300">
        <v>3123642074</v>
      </c>
      <c r="G568" s="298">
        <v>39775569</v>
      </c>
      <c r="H568" s="298" t="s">
        <v>8597</v>
      </c>
      <c r="I568" s="302">
        <v>46083</v>
      </c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</row>
    <row r="569" spans="1:26" ht="14">
      <c r="A569" s="298" t="s">
        <v>8598</v>
      </c>
      <c r="B569" s="298" t="s">
        <v>8599</v>
      </c>
      <c r="C569" s="299">
        <v>118</v>
      </c>
      <c r="D569" s="298" t="s">
        <v>8600</v>
      </c>
      <c r="E569" s="298"/>
      <c r="F569" s="300">
        <v>3167438958</v>
      </c>
      <c r="G569" s="298">
        <v>866004</v>
      </c>
      <c r="H569" s="298" t="s">
        <v>8601</v>
      </c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</row>
    <row r="570" spans="1:26" ht="14">
      <c r="A570" s="298" t="s">
        <v>8602</v>
      </c>
      <c r="B570" s="298" t="s">
        <v>8603</v>
      </c>
      <c r="C570" s="299">
        <v>502</v>
      </c>
      <c r="D570" s="298" t="s">
        <v>8604</v>
      </c>
      <c r="E570" s="298"/>
      <c r="F570" s="300">
        <v>3124280511</v>
      </c>
      <c r="G570" s="298">
        <v>52174703</v>
      </c>
      <c r="H570" s="298" t="s">
        <v>8605</v>
      </c>
      <c r="I570" s="302">
        <v>46083</v>
      </c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</row>
    <row r="571" spans="1:26" ht="14">
      <c r="A571" s="298" t="s">
        <v>8606</v>
      </c>
      <c r="B571" s="298" t="s">
        <v>8607</v>
      </c>
      <c r="C571" s="299">
        <v>327</v>
      </c>
      <c r="D571" s="298"/>
      <c r="E571" s="298"/>
      <c r="F571" s="300">
        <v>3163035982</v>
      </c>
      <c r="G571" s="298">
        <v>80419614</v>
      </c>
      <c r="H571" s="298" t="s">
        <v>8608</v>
      </c>
      <c r="I571" s="302">
        <v>46083</v>
      </c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</row>
    <row r="572" spans="1:26" ht="14">
      <c r="A572" s="298" t="s">
        <v>951</v>
      </c>
      <c r="B572" s="298" t="s">
        <v>8609</v>
      </c>
      <c r="C572" s="299">
        <v>105</v>
      </c>
      <c r="D572" s="298" t="s">
        <v>8610</v>
      </c>
      <c r="E572" s="298"/>
      <c r="F572" s="300">
        <v>3004289998</v>
      </c>
      <c r="G572" s="298">
        <v>53009497</v>
      </c>
      <c r="H572" s="298" t="s">
        <v>8611</v>
      </c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</row>
    <row r="573" spans="1:26" ht="14">
      <c r="A573" s="298" t="s">
        <v>8612</v>
      </c>
      <c r="B573" s="298" t="s">
        <v>8613</v>
      </c>
      <c r="C573" s="299">
        <v>1211</v>
      </c>
      <c r="D573" s="298" t="s">
        <v>8614</v>
      </c>
      <c r="E573" s="298"/>
      <c r="F573" s="300">
        <v>3155832887</v>
      </c>
      <c r="G573" s="298">
        <v>1127955446</v>
      </c>
      <c r="H573" s="298" t="s">
        <v>8615</v>
      </c>
      <c r="I573" s="302">
        <v>46083</v>
      </c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</row>
    <row r="574" spans="1:26" ht="14">
      <c r="A574" s="298" t="s">
        <v>8616</v>
      </c>
      <c r="B574" s="298" t="s">
        <v>8617</v>
      </c>
      <c r="C574" s="299"/>
      <c r="D574" s="298" t="s">
        <v>8618</v>
      </c>
      <c r="E574" s="298"/>
      <c r="F574" s="300">
        <v>3103018098</v>
      </c>
      <c r="G574" s="298">
        <v>52217370</v>
      </c>
      <c r="H574" s="298" t="s">
        <v>8619</v>
      </c>
      <c r="I574" s="302">
        <v>46083</v>
      </c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</row>
    <row r="575" spans="1:26" ht="14">
      <c r="A575" s="298" t="s">
        <v>8620</v>
      </c>
      <c r="B575" s="298" t="s">
        <v>8621</v>
      </c>
      <c r="C575" s="299">
        <v>604</v>
      </c>
      <c r="D575" s="298" t="s">
        <v>8622</v>
      </c>
      <c r="E575" s="298"/>
      <c r="F575" s="300">
        <v>3246007197</v>
      </c>
      <c r="G575" s="298">
        <v>1020784092</v>
      </c>
      <c r="H575" s="298" t="s">
        <v>8623</v>
      </c>
      <c r="I575" s="302">
        <v>46083</v>
      </c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</row>
    <row r="576" spans="1:26" ht="14">
      <c r="A576" s="298" t="s">
        <v>8624</v>
      </c>
      <c r="B576" s="298" t="s">
        <v>8625</v>
      </c>
      <c r="C576" s="299"/>
      <c r="D576" s="298"/>
      <c r="E576" s="298"/>
      <c r="F576" s="300">
        <v>3134851433</v>
      </c>
      <c r="G576" s="298">
        <v>1000943713</v>
      </c>
      <c r="H576" s="298" t="s">
        <v>8626</v>
      </c>
      <c r="I576" s="302">
        <v>46083</v>
      </c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</row>
    <row r="577" spans="1:26" ht="14">
      <c r="A577" s="298" t="s">
        <v>8627</v>
      </c>
      <c r="B577" s="298" t="s">
        <v>8628</v>
      </c>
      <c r="C577" s="299">
        <v>201</v>
      </c>
      <c r="D577" s="298"/>
      <c r="E577" s="298"/>
      <c r="F577" s="300">
        <v>3204926289</v>
      </c>
      <c r="G577" s="298">
        <v>80194657</v>
      </c>
      <c r="H577" s="298" t="s">
        <v>8629</v>
      </c>
      <c r="I577" s="302">
        <v>46083</v>
      </c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</row>
    <row r="578" spans="1:26" ht="14">
      <c r="A578" s="298" t="s">
        <v>8630</v>
      </c>
      <c r="B578" s="298" t="s">
        <v>8631</v>
      </c>
      <c r="C578" s="299"/>
      <c r="D578" s="298"/>
      <c r="E578" s="298"/>
      <c r="F578" s="300">
        <v>3103124555</v>
      </c>
      <c r="G578" s="298">
        <v>52884082</v>
      </c>
      <c r="H578" s="298" t="s">
        <v>8632</v>
      </c>
      <c r="I578" s="302">
        <v>46083</v>
      </c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</row>
    <row r="579" spans="1:26" ht="14">
      <c r="A579" s="298" t="s">
        <v>8633</v>
      </c>
      <c r="B579" s="298" t="s">
        <v>8634</v>
      </c>
      <c r="C579" s="299">
        <v>202</v>
      </c>
      <c r="D579" s="298" t="s">
        <v>8635</v>
      </c>
      <c r="E579" s="298"/>
      <c r="F579" s="300">
        <v>3102358211</v>
      </c>
      <c r="G579" s="298">
        <v>1020748143</v>
      </c>
      <c r="H579" s="298" t="s">
        <v>8636</v>
      </c>
      <c r="I579" s="302">
        <v>46083</v>
      </c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</row>
    <row r="580" spans="1:26" ht="14">
      <c r="A580" s="298" t="s">
        <v>8637</v>
      </c>
      <c r="B580" s="298" t="s">
        <v>8638</v>
      </c>
      <c r="C580" s="299"/>
      <c r="D580" s="298" t="s">
        <v>8639</v>
      </c>
      <c r="E580" s="298"/>
      <c r="F580" s="300">
        <v>3134636389</v>
      </c>
      <c r="G580" s="298">
        <v>1075874636</v>
      </c>
      <c r="H580" s="298" t="s">
        <v>8640</v>
      </c>
      <c r="I580" s="302">
        <v>46083</v>
      </c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</row>
    <row r="581" spans="1:26" ht="14">
      <c r="A581" s="298" t="s">
        <v>8641</v>
      </c>
      <c r="B581" s="298" t="s">
        <v>8642</v>
      </c>
      <c r="C581" s="299">
        <v>504</v>
      </c>
      <c r="D581" s="298" t="s">
        <v>8643</v>
      </c>
      <c r="E581" s="298"/>
      <c r="F581" s="300">
        <v>3137915715</v>
      </c>
      <c r="G581" s="298">
        <v>41959019</v>
      </c>
      <c r="H581" s="298"/>
      <c r="I581" s="302">
        <v>46083</v>
      </c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</row>
    <row r="582" spans="1:26" ht="14">
      <c r="A582" s="298" t="s">
        <v>8644</v>
      </c>
      <c r="B582" s="298" t="s">
        <v>8645</v>
      </c>
      <c r="C582" s="299">
        <v>502</v>
      </c>
      <c r="D582" s="298"/>
      <c r="E582" s="298"/>
      <c r="F582" s="300">
        <v>3124590304</v>
      </c>
      <c r="G582" s="298">
        <v>1020790844</v>
      </c>
      <c r="H582" s="298" t="s">
        <v>8646</v>
      </c>
      <c r="I582" s="302">
        <v>46083</v>
      </c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</row>
    <row r="583" spans="1:26" ht="15.75" customHeight="1">
      <c r="A583" s="313" t="s">
        <v>403</v>
      </c>
      <c r="B583" s="330" t="s">
        <v>8647</v>
      </c>
      <c r="C583" s="299" t="s">
        <v>6782</v>
      </c>
      <c r="D583" s="330" t="s">
        <v>7842</v>
      </c>
      <c r="E583" s="298"/>
      <c r="F583" s="330">
        <v>3147943513</v>
      </c>
      <c r="G583" s="298">
        <v>1113643076</v>
      </c>
      <c r="H583" s="330" t="s">
        <v>8648</v>
      </c>
      <c r="I583" s="302">
        <v>46083</v>
      </c>
      <c r="J583" s="331"/>
      <c r="K583" s="331"/>
      <c r="L583" s="331"/>
      <c r="M583" s="331"/>
      <c r="N583" s="331"/>
      <c r="O583" s="331"/>
      <c r="P583" s="331"/>
      <c r="Q583" s="331"/>
      <c r="R583" s="331"/>
      <c r="S583" s="331"/>
      <c r="T583" s="331"/>
      <c r="U583" s="331"/>
      <c r="V583" s="331"/>
      <c r="W583" s="331"/>
      <c r="X583" s="331"/>
      <c r="Y583" s="331"/>
      <c r="Z583" s="331"/>
    </row>
    <row r="584" spans="1:26" ht="14">
      <c r="A584" s="298" t="s">
        <v>8649</v>
      </c>
      <c r="B584" s="298" t="s">
        <v>8650</v>
      </c>
      <c r="C584" s="299">
        <v>603</v>
      </c>
      <c r="D584" s="298"/>
      <c r="E584" s="298"/>
      <c r="F584" s="300">
        <v>3102556645</v>
      </c>
      <c r="G584" s="298"/>
      <c r="H584" s="298" t="s">
        <v>8651</v>
      </c>
      <c r="I584" s="302">
        <v>46083</v>
      </c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</row>
    <row r="585" spans="1:26" ht="14">
      <c r="A585" s="298" t="s">
        <v>8652</v>
      </c>
      <c r="B585" s="298" t="s">
        <v>8653</v>
      </c>
      <c r="C585" s="299">
        <v>404</v>
      </c>
      <c r="D585" s="298" t="s">
        <v>8654</v>
      </c>
      <c r="E585" s="298"/>
      <c r="F585" s="300">
        <v>3155394321</v>
      </c>
      <c r="G585" s="313" t="s">
        <v>8655</v>
      </c>
      <c r="H585" s="298" t="s">
        <v>8656</v>
      </c>
      <c r="I585" s="302">
        <v>46083</v>
      </c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</row>
    <row r="586" spans="1:26" ht="14">
      <c r="A586" s="298" t="s">
        <v>8657</v>
      </c>
      <c r="B586" s="298" t="s">
        <v>8658</v>
      </c>
      <c r="C586" s="299">
        <v>401</v>
      </c>
      <c r="D586" s="298" t="s">
        <v>8659</v>
      </c>
      <c r="E586" s="298"/>
      <c r="F586" s="300">
        <v>3142490977</v>
      </c>
      <c r="G586" s="298">
        <v>1030539384</v>
      </c>
      <c r="H586" s="298" t="s">
        <v>8660</v>
      </c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</row>
    <row r="587" spans="1:26" ht="14">
      <c r="A587" s="298" t="s">
        <v>8661</v>
      </c>
      <c r="B587" s="298" t="s">
        <v>8662</v>
      </c>
      <c r="C587" s="299">
        <v>1102</v>
      </c>
      <c r="D587" s="298" t="s">
        <v>8663</v>
      </c>
      <c r="E587" s="298"/>
      <c r="F587" s="300">
        <v>3125974418</v>
      </c>
      <c r="G587" s="298">
        <v>42879474</v>
      </c>
      <c r="H587" s="298" t="s">
        <v>8664</v>
      </c>
      <c r="I587" s="302">
        <v>46083</v>
      </c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</row>
    <row r="588" spans="1:26" ht="14">
      <c r="A588" s="298" t="s">
        <v>153</v>
      </c>
      <c r="B588" s="298" t="s">
        <v>8665</v>
      </c>
      <c r="C588" s="299">
        <v>501</v>
      </c>
      <c r="D588" s="298"/>
      <c r="E588" s="298"/>
      <c r="F588" s="300">
        <v>3142678354</v>
      </c>
      <c r="G588" s="298">
        <v>39683805</v>
      </c>
      <c r="H588" s="298" t="s">
        <v>8666</v>
      </c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</row>
    <row r="589" spans="1:26" ht="14">
      <c r="A589" s="298" t="s">
        <v>8667</v>
      </c>
      <c r="B589" s="298" t="s">
        <v>8668</v>
      </c>
      <c r="C589" s="299">
        <v>503</v>
      </c>
      <c r="D589" s="298" t="s">
        <v>6844</v>
      </c>
      <c r="E589" s="298" t="s">
        <v>8669</v>
      </c>
      <c r="F589" s="300">
        <v>3152946027</v>
      </c>
      <c r="G589" s="298">
        <v>52253097</v>
      </c>
      <c r="H589" s="298" t="s">
        <v>8670</v>
      </c>
      <c r="I589" s="302">
        <v>46083</v>
      </c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</row>
    <row r="590" spans="1:26" ht="14">
      <c r="A590" s="298" t="s">
        <v>8671</v>
      </c>
      <c r="B590" s="298" t="s">
        <v>8672</v>
      </c>
      <c r="C590" s="299">
        <v>407</v>
      </c>
      <c r="D590" s="298"/>
      <c r="E590" s="298"/>
      <c r="F590" s="300">
        <v>3102522149</v>
      </c>
      <c r="G590" s="298">
        <v>1020771163</v>
      </c>
      <c r="H590" s="298" t="s">
        <v>8673</v>
      </c>
      <c r="I590" s="302">
        <v>46083</v>
      </c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</row>
    <row r="591" spans="1:26" ht="15.75" customHeight="1">
      <c r="A591" s="298" t="s">
        <v>2346</v>
      </c>
      <c r="B591" s="298" t="s">
        <v>8674</v>
      </c>
      <c r="C591" s="299">
        <v>503</v>
      </c>
      <c r="D591" s="298" t="s">
        <v>8675</v>
      </c>
      <c r="E591" s="298"/>
      <c r="F591" s="300">
        <v>3123508855</v>
      </c>
      <c r="G591" s="298"/>
      <c r="H591" s="298" t="s">
        <v>8676</v>
      </c>
      <c r="I591" s="302">
        <v>46083</v>
      </c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</row>
    <row r="592" spans="1:26" ht="14">
      <c r="A592" s="298" t="s">
        <v>8677</v>
      </c>
      <c r="B592" s="298" t="s">
        <v>8678</v>
      </c>
      <c r="C592" s="299">
        <v>901</v>
      </c>
      <c r="D592" s="298" t="s">
        <v>8679</v>
      </c>
      <c r="E592" s="298"/>
      <c r="F592" s="300">
        <v>3204497110</v>
      </c>
      <c r="G592" s="298">
        <v>31225000</v>
      </c>
      <c r="H592" s="298" t="s">
        <v>8680</v>
      </c>
      <c r="I592" s="302">
        <v>46083</v>
      </c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</row>
    <row r="593" spans="1:26" ht="14">
      <c r="A593" s="298" t="s">
        <v>8681</v>
      </c>
      <c r="B593" s="298" t="s">
        <v>8682</v>
      </c>
      <c r="C593" s="299">
        <v>703</v>
      </c>
      <c r="D593" s="298" t="s">
        <v>8683</v>
      </c>
      <c r="E593" s="298"/>
      <c r="F593" s="300">
        <v>3158888295</v>
      </c>
      <c r="G593" s="298">
        <v>1018407973</v>
      </c>
      <c r="H593" s="298" t="s">
        <v>8684</v>
      </c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</row>
    <row r="594" spans="1:26" ht="14">
      <c r="A594" s="298" t="s">
        <v>8685</v>
      </c>
      <c r="B594" s="298" t="s">
        <v>8686</v>
      </c>
      <c r="C594" s="299">
        <v>208</v>
      </c>
      <c r="D594" s="298"/>
      <c r="E594" s="298"/>
      <c r="F594" s="300">
        <v>3144103470</v>
      </c>
      <c r="G594" s="298">
        <v>52253046</v>
      </c>
      <c r="H594" s="298" t="s">
        <v>8687</v>
      </c>
      <c r="I594" s="302">
        <v>46083</v>
      </c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</row>
    <row r="595" spans="1:26" ht="14">
      <c r="A595" s="298" t="s">
        <v>8688</v>
      </c>
      <c r="B595" s="298" t="s">
        <v>8689</v>
      </c>
      <c r="C595" s="299">
        <v>409</v>
      </c>
      <c r="D595" s="298"/>
      <c r="E595" s="298"/>
      <c r="F595" s="300">
        <v>3105006004</v>
      </c>
      <c r="G595" s="298">
        <v>1136880064</v>
      </c>
      <c r="H595" s="298" t="s">
        <v>8690</v>
      </c>
      <c r="I595" s="302">
        <v>46083</v>
      </c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</row>
    <row r="596" spans="1:26" ht="14">
      <c r="A596" s="298" t="s">
        <v>8691</v>
      </c>
      <c r="B596" s="298" t="s">
        <v>8692</v>
      </c>
      <c r="C596" s="299">
        <v>805</v>
      </c>
      <c r="D596" s="298" t="s">
        <v>8693</v>
      </c>
      <c r="E596" s="298"/>
      <c r="F596" s="300">
        <v>3133218420</v>
      </c>
      <c r="G596" s="298">
        <v>1010169963</v>
      </c>
      <c r="H596" s="298"/>
      <c r="I596" s="302">
        <v>46083</v>
      </c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</row>
    <row r="597" spans="1:26" ht="14">
      <c r="A597" s="298" t="s">
        <v>8694</v>
      </c>
      <c r="B597" s="298" t="s">
        <v>8695</v>
      </c>
      <c r="C597" s="299">
        <v>402</v>
      </c>
      <c r="D597" s="298"/>
      <c r="E597" s="298"/>
      <c r="F597" s="300">
        <v>3185571780</v>
      </c>
      <c r="G597" s="298">
        <v>1020801467</v>
      </c>
      <c r="H597" s="298" t="s">
        <v>8696</v>
      </c>
      <c r="I597" s="302">
        <v>46083</v>
      </c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</row>
    <row r="598" spans="1:26" ht="14">
      <c r="A598" s="298" t="s">
        <v>8697</v>
      </c>
      <c r="B598" s="298" t="s">
        <v>8698</v>
      </c>
      <c r="C598" s="299">
        <v>1104</v>
      </c>
      <c r="D598" s="298" t="s">
        <v>8699</v>
      </c>
      <c r="E598" s="298"/>
      <c r="F598" s="300">
        <v>3005562612</v>
      </c>
      <c r="G598" s="298">
        <v>1030534944</v>
      </c>
      <c r="H598" s="298" t="s">
        <v>8700</v>
      </c>
      <c r="I598" s="302">
        <v>46083</v>
      </c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</row>
    <row r="599" spans="1:26" ht="14">
      <c r="A599" s="298" t="s">
        <v>164</v>
      </c>
      <c r="B599" s="298" t="s">
        <v>8701</v>
      </c>
      <c r="C599" s="299">
        <v>302</v>
      </c>
      <c r="D599" s="298" t="s">
        <v>8702</v>
      </c>
      <c r="E599" s="298"/>
      <c r="F599" s="300" t="s">
        <v>8703</v>
      </c>
      <c r="G599" s="298">
        <v>32681261</v>
      </c>
      <c r="H599" s="298" t="s">
        <v>8704</v>
      </c>
      <c r="I599" s="302">
        <v>46083</v>
      </c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</row>
    <row r="600" spans="1:26" ht="14">
      <c r="A600" s="298" t="s">
        <v>8705</v>
      </c>
      <c r="B600" s="298" t="s">
        <v>8706</v>
      </c>
      <c r="C600" s="299">
        <v>203</v>
      </c>
      <c r="D600" s="298"/>
      <c r="E600" s="298"/>
      <c r="F600" s="300">
        <v>3182760146</v>
      </c>
      <c r="G600" s="298">
        <v>1018498343</v>
      </c>
      <c r="H600" s="298" t="s">
        <v>8707</v>
      </c>
      <c r="I600" s="302">
        <v>46083</v>
      </c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</row>
    <row r="601" spans="1:26" ht="14">
      <c r="A601" s="298" t="s">
        <v>8708</v>
      </c>
      <c r="B601" s="298" t="s">
        <v>8709</v>
      </c>
      <c r="C601" s="299">
        <v>701</v>
      </c>
      <c r="D601" s="298"/>
      <c r="E601" s="298"/>
      <c r="F601" s="300">
        <v>3102099717</v>
      </c>
      <c r="G601" s="298">
        <v>39682403</v>
      </c>
      <c r="H601" s="298" t="s">
        <v>8710</v>
      </c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</row>
    <row r="602" spans="1:26" ht="14">
      <c r="A602" s="298" t="s">
        <v>8711</v>
      </c>
      <c r="B602" s="298" t="s">
        <v>8712</v>
      </c>
      <c r="C602" s="299">
        <v>301</v>
      </c>
      <c r="D602" s="298" t="s">
        <v>8713</v>
      </c>
      <c r="E602" s="298"/>
      <c r="F602" s="300">
        <v>3154528036</v>
      </c>
      <c r="G602" s="298">
        <v>20948506</v>
      </c>
      <c r="H602" s="298" t="s">
        <v>8714</v>
      </c>
      <c r="I602" s="302">
        <v>46083</v>
      </c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</row>
    <row r="603" spans="1:26" ht="14">
      <c r="A603" s="298" t="s">
        <v>1394</v>
      </c>
      <c r="B603" s="298" t="s">
        <v>8715</v>
      </c>
      <c r="C603" s="299">
        <v>603</v>
      </c>
      <c r="D603" s="298"/>
      <c r="E603" s="298"/>
      <c r="F603" s="300">
        <v>3125751829</v>
      </c>
      <c r="G603" s="298">
        <v>1126711096</v>
      </c>
      <c r="H603" s="298" t="s">
        <v>8716</v>
      </c>
      <c r="I603" s="302">
        <v>46083</v>
      </c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</row>
    <row r="604" spans="1:26" ht="14">
      <c r="A604" s="298" t="s">
        <v>8717</v>
      </c>
      <c r="B604" s="298" t="s">
        <v>8718</v>
      </c>
      <c r="C604" s="299">
        <v>1213</v>
      </c>
      <c r="D604" s="298" t="s">
        <v>8719</v>
      </c>
      <c r="E604" s="298"/>
      <c r="F604" s="300">
        <v>3142191393</v>
      </c>
      <c r="G604" s="298">
        <v>52851454</v>
      </c>
      <c r="H604" s="298" t="s">
        <v>8720</v>
      </c>
      <c r="I604" s="302">
        <v>46083</v>
      </c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</row>
    <row r="605" spans="1:26" ht="14">
      <c r="A605" s="298" t="s">
        <v>8721</v>
      </c>
      <c r="B605" s="298" t="s">
        <v>8722</v>
      </c>
      <c r="C605" s="299">
        <v>705</v>
      </c>
      <c r="D605" s="298" t="s">
        <v>8723</v>
      </c>
      <c r="E605" s="298"/>
      <c r="F605" s="300">
        <v>3114911723</v>
      </c>
      <c r="G605" s="298">
        <v>52220972</v>
      </c>
      <c r="H605" s="298" t="s">
        <v>8724</v>
      </c>
      <c r="I605" s="302">
        <v>46083</v>
      </c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</row>
    <row r="606" spans="1:26" ht="14">
      <c r="A606" s="298" t="s">
        <v>8725</v>
      </c>
      <c r="B606" s="298" t="s">
        <v>8726</v>
      </c>
      <c r="C606" s="299">
        <v>501</v>
      </c>
      <c r="D606" s="298" t="s">
        <v>8727</v>
      </c>
      <c r="E606" s="298"/>
      <c r="F606" s="300">
        <v>3106974617</v>
      </c>
      <c r="G606" s="298">
        <v>42870299</v>
      </c>
      <c r="H606" s="298" t="s">
        <v>8728</v>
      </c>
      <c r="I606" s="302">
        <v>46083</v>
      </c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</row>
    <row r="607" spans="1:26" ht="14">
      <c r="A607" s="298" t="s">
        <v>131</v>
      </c>
      <c r="B607" s="298" t="s">
        <v>8729</v>
      </c>
      <c r="C607" s="299"/>
      <c r="D607" s="298"/>
      <c r="E607" s="298"/>
      <c r="F607" s="300">
        <v>3115326458</v>
      </c>
      <c r="G607" s="298">
        <v>1019020324</v>
      </c>
      <c r="H607" s="298" t="s">
        <v>8730</v>
      </c>
      <c r="I607" s="302">
        <v>46083</v>
      </c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</row>
    <row r="608" spans="1:26" ht="14">
      <c r="A608" s="298" t="s">
        <v>154</v>
      </c>
      <c r="B608" s="298" t="s">
        <v>8731</v>
      </c>
      <c r="C608" s="299"/>
      <c r="D608" s="298" t="s">
        <v>8732</v>
      </c>
      <c r="E608" s="298"/>
      <c r="F608" s="300">
        <v>3108778968</v>
      </c>
      <c r="G608" s="298">
        <v>20956032</v>
      </c>
      <c r="H608" s="298" t="s">
        <v>8733</v>
      </c>
      <c r="I608" s="302">
        <v>46083</v>
      </c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</row>
    <row r="609" spans="1:26" ht="14">
      <c r="A609" s="298" t="s">
        <v>8734</v>
      </c>
      <c r="B609" s="298" t="s">
        <v>8735</v>
      </c>
      <c r="C609" s="299" t="s">
        <v>8736</v>
      </c>
      <c r="D609" s="298" t="s">
        <v>8737</v>
      </c>
      <c r="E609" s="298"/>
      <c r="F609" s="300">
        <v>3127629674</v>
      </c>
      <c r="G609" s="298">
        <v>80197551</v>
      </c>
      <c r="H609" s="298" t="s">
        <v>8738</v>
      </c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</row>
    <row r="610" spans="1:26" ht="14">
      <c r="A610" s="298" t="s">
        <v>8739</v>
      </c>
      <c r="B610" s="298" t="s">
        <v>8740</v>
      </c>
      <c r="C610" s="299">
        <v>403</v>
      </c>
      <c r="D610" s="298" t="s">
        <v>8741</v>
      </c>
      <c r="E610" s="298"/>
      <c r="F610" s="300">
        <v>3153215156</v>
      </c>
      <c r="G610" s="298">
        <v>79949727</v>
      </c>
      <c r="H610" s="298" t="s">
        <v>8742</v>
      </c>
      <c r="I610" s="302">
        <v>46083</v>
      </c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</row>
    <row r="611" spans="1:26" ht="14">
      <c r="A611" s="298" t="s">
        <v>8743</v>
      </c>
      <c r="B611" s="298" t="s">
        <v>8744</v>
      </c>
      <c r="C611" s="299">
        <v>201</v>
      </c>
      <c r="D611" s="298"/>
      <c r="E611" s="298"/>
      <c r="F611" s="300">
        <v>3202743324</v>
      </c>
      <c r="G611" s="298">
        <v>52695050</v>
      </c>
      <c r="H611" s="298" t="s">
        <v>8745</v>
      </c>
      <c r="I611" s="302">
        <v>46083</v>
      </c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</row>
    <row r="612" spans="1:26" ht="14">
      <c r="A612" s="298" t="s">
        <v>8746</v>
      </c>
      <c r="B612" s="298" t="s">
        <v>8747</v>
      </c>
      <c r="C612" s="299">
        <v>702</v>
      </c>
      <c r="D612" s="298"/>
      <c r="E612" s="298"/>
      <c r="F612" s="300">
        <v>3206243370</v>
      </c>
      <c r="G612" s="298">
        <v>52993877</v>
      </c>
      <c r="H612" s="298" t="s">
        <v>8748</v>
      </c>
      <c r="I612" s="302">
        <v>46083</v>
      </c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</row>
    <row r="613" spans="1:26" ht="14">
      <c r="A613" s="298" t="s">
        <v>8749</v>
      </c>
      <c r="B613" s="298" t="s">
        <v>8750</v>
      </c>
      <c r="C613" s="299">
        <v>102</v>
      </c>
      <c r="D613" s="298" t="s">
        <v>8751</v>
      </c>
      <c r="E613" s="298"/>
      <c r="F613" s="300">
        <v>3002429793</v>
      </c>
      <c r="G613" s="298">
        <v>1085298172</v>
      </c>
      <c r="H613" s="298" t="s">
        <v>8752</v>
      </c>
      <c r="I613" s="302">
        <v>46083</v>
      </c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</row>
    <row r="614" spans="1:26" ht="14">
      <c r="A614" s="298" t="s">
        <v>8753</v>
      </c>
      <c r="B614" s="298" t="s">
        <v>8754</v>
      </c>
      <c r="C614" s="299" t="s">
        <v>8755</v>
      </c>
      <c r="D614" s="298" t="s">
        <v>8756</v>
      </c>
      <c r="E614" s="298"/>
      <c r="F614" s="300">
        <v>3132063485</v>
      </c>
      <c r="G614" s="298">
        <v>20684175</v>
      </c>
      <c r="H614" s="298" t="s">
        <v>8757</v>
      </c>
      <c r="I614" s="302">
        <v>46083</v>
      </c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</row>
    <row r="615" spans="1:26" ht="14">
      <c r="A615" s="298" t="s">
        <v>8758</v>
      </c>
      <c r="B615" s="298" t="s">
        <v>8759</v>
      </c>
      <c r="C615" s="299">
        <v>301</v>
      </c>
      <c r="D615" s="298"/>
      <c r="E615" s="298"/>
      <c r="F615" s="300">
        <v>3164002053</v>
      </c>
      <c r="G615" s="298">
        <v>52869872</v>
      </c>
      <c r="H615" s="298" t="s">
        <v>8760</v>
      </c>
      <c r="I615" s="302">
        <v>46083</v>
      </c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</row>
    <row r="616" spans="1:26" ht="14">
      <c r="A616" s="298" t="s">
        <v>8761</v>
      </c>
      <c r="B616" s="298" t="s">
        <v>8762</v>
      </c>
      <c r="C616" s="299">
        <v>501</v>
      </c>
      <c r="D616" s="298"/>
      <c r="E616" s="298"/>
      <c r="F616" s="300">
        <v>3123922138</v>
      </c>
      <c r="G616" s="298">
        <v>51847759</v>
      </c>
      <c r="H616" s="298"/>
      <c r="I616" s="302">
        <v>46083</v>
      </c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</row>
    <row r="617" spans="1:26" ht="14">
      <c r="A617" s="298" t="s">
        <v>8763</v>
      </c>
      <c r="B617" s="298" t="s">
        <v>8764</v>
      </c>
      <c r="C617" s="299"/>
      <c r="D617" s="298" t="s">
        <v>8765</v>
      </c>
      <c r="E617" s="298"/>
      <c r="F617" s="300">
        <v>50766779797</v>
      </c>
      <c r="G617" s="298"/>
      <c r="H617" s="298" t="s">
        <v>8766</v>
      </c>
      <c r="I617" s="302">
        <v>46083</v>
      </c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</row>
    <row r="618" spans="1:26" ht="14">
      <c r="A618" s="298" t="s">
        <v>8767</v>
      </c>
      <c r="B618" s="298" t="s">
        <v>8768</v>
      </c>
      <c r="C618" s="299">
        <v>406</v>
      </c>
      <c r="D618" s="298" t="s">
        <v>8769</v>
      </c>
      <c r="E618" s="298"/>
      <c r="F618" s="300">
        <v>3176447417</v>
      </c>
      <c r="G618" s="298">
        <v>41712536</v>
      </c>
      <c r="H618" s="298" t="s">
        <v>8770</v>
      </c>
      <c r="I618" s="302">
        <v>46083</v>
      </c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</row>
    <row r="619" spans="1:26" ht="14">
      <c r="A619" s="298" t="s">
        <v>8771</v>
      </c>
      <c r="B619" s="298" t="s">
        <v>8772</v>
      </c>
      <c r="C619" s="299">
        <v>303</v>
      </c>
      <c r="D619" s="298"/>
      <c r="E619" s="298"/>
      <c r="F619" s="300">
        <v>3176387968</v>
      </c>
      <c r="G619" s="298">
        <v>52866174</v>
      </c>
      <c r="H619" s="298" t="s">
        <v>8773</v>
      </c>
      <c r="I619" s="302">
        <v>46083</v>
      </c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</row>
    <row r="620" spans="1:26" ht="14">
      <c r="A620" s="298" t="s">
        <v>25</v>
      </c>
      <c r="B620" s="298" t="s">
        <v>8774</v>
      </c>
      <c r="C620" s="299">
        <v>1307</v>
      </c>
      <c r="D620" s="298" t="s">
        <v>8775</v>
      </c>
      <c r="E620" s="298"/>
      <c r="F620" s="300">
        <v>3192451186</v>
      </c>
      <c r="G620" s="298">
        <v>80215594</v>
      </c>
      <c r="H620" s="298" t="s">
        <v>8776</v>
      </c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</row>
    <row r="621" spans="1:26" ht="14">
      <c r="A621" s="298" t="s">
        <v>8777</v>
      </c>
      <c r="B621" s="298" t="s">
        <v>8778</v>
      </c>
      <c r="C621" s="299">
        <v>303</v>
      </c>
      <c r="D621" s="298" t="s">
        <v>8779</v>
      </c>
      <c r="E621" s="298"/>
      <c r="F621" s="300">
        <v>3102451752</v>
      </c>
      <c r="G621" s="298">
        <v>100252</v>
      </c>
      <c r="H621" s="298" t="s">
        <v>8780</v>
      </c>
      <c r="I621" s="302">
        <v>46083</v>
      </c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</row>
    <row r="622" spans="1:26" ht="14">
      <c r="A622" s="298" t="s">
        <v>38</v>
      </c>
      <c r="B622" s="298" t="s">
        <v>8781</v>
      </c>
      <c r="C622" s="299">
        <v>401</v>
      </c>
      <c r="D622" s="298" t="s">
        <v>7970</v>
      </c>
      <c r="E622" s="298"/>
      <c r="F622" s="300">
        <v>3153612176</v>
      </c>
      <c r="G622" s="298">
        <v>1020735843</v>
      </c>
      <c r="H622" s="298" t="s">
        <v>8782</v>
      </c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</row>
    <row r="623" spans="1:26" ht="14">
      <c r="A623" s="298" t="s">
        <v>53</v>
      </c>
      <c r="B623" s="298" t="s">
        <v>8783</v>
      </c>
      <c r="C623" s="299">
        <v>501</v>
      </c>
      <c r="D623" s="313"/>
      <c r="E623" s="298"/>
      <c r="F623" s="300">
        <v>3132074272</v>
      </c>
      <c r="G623" s="298">
        <v>39692550</v>
      </c>
      <c r="H623" s="298"/>
      <c r="I623" s="302">
        <v>46092</v>
      </c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</row>
    <row r="624" spans="1:26" ht="14">
      <c r="A624" s="298" t="s">
        <v>8784</v>
      </c>
      <c r="B624" s="298" t="s">
        <v>8785</v>
      </c>
      <c r="C624" s="299">
        <v>201</v>
      </c>
      <c r="D624" s="298" t="s">
        <v>8786</v>
      </c>
      <c r="E624" s="298"/>
      <c r="F624" s="300">
        <v>3162776401</v>
      </c>
      <c r="G624" s="298">
        <v>45421190</v>
      </c>
      <c r="H624" s="298"/>
      <c r="I624" s="302">
        <v>46092</v>
      </c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</row>
    <row r="625" spans="1:26" ht="14">
      <c r="A625" s="298" t="s">
        <v>148</v>
      </c>
      <c r="B625" s="298" t="s">
        <v>8787</v>
      </c>
      <c r="C625" s="299">
        <v>101</v>
      </c>
      <c r="D625" s="298"/>
      <c r="E625" s="298"/>
      <c r="F625" s="300">
        <v>3202820275</v>
      </c>
      <c r="G625" s="298">
        <v>52274542</v>
      </c>
      <c r="H625" s="298" t="s">
        <v>8788</v>
      </c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</row>
    <row r="626" spans="1:26" ht="14">
      <c r="A626" s="298" t="s">
        <v>8789</v>
      </c>
      <c r="B626" s="298" t="s">
        <v>8790</v>
      </c>
      <c r="C626" s="299">
        <v>605</v>
      </c>
      <c r="D626" s="298"/>
      <c r="E626" s="298"/>
      <c r="F626" s="300">
        <v>3046244621</v>
      </c>
      <c r="G626" s="298">
        <v>1053807355</v>
      </c>
      <c r="H626" s="298" t="s">
        <v>8791</v>
      </c>
      <c r="I626" s="302">
        <v>46092</v>
      </c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</row>
    <row r="627" spans="1:26" ht="14">
      <c r="A627" s="298" t="s">
        <v>8792</v>
      </c>
      <c r="B627" s="298" t="s">
        <v>8793</v>
      </c>
      <c r="C627" s="299"/>
      <c r="D627" s="298"/>
      <c r="E627" s="298"/>
      <c r="F627" s="300">
        <v>3152551714</v>
      </c>
      <c r="G627" s="298"/>
      <c r="H627" s="298" t="s">
        <v>8794</v>
      </c>
      <c r="I627" s="302">
        <v>46092</v>
      </c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</row>
    <row r="628" spans="1:26" ht="14">
      <c r="A628" s="298" t="s">
        <v>401</v>
      </c>
      <c r="B628" s="298" t="s">
        <v>8795</v>
      </c>
      <c r="C628" s="299">
        <v>701</v>
      </c>
      <c r="D628" s="298"/>
      <c r="E628" s="298"/>
      <c r="F628" s="300">
        <v>3002984310</v>
      </c>
      <c r="G628" s="298" t="s">
        <v>8796</v>
      </c>
      <c r="H628" s="298" t="s">
        <v>8797</v>
      </c>
      <c r="I628" s="302">
        <v>46092</v>
      </c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</row>
    <row r="629" spans="1:26" ht="14">
      <c r="A629" s="332" t="s">
        <v>39</v>
      </c>
      <c r="B629" s="333" t="s">
        <v>8798</v>
      </c>
      <c r="C629" s="334"/>
      <c r="D629" s="333"/>
      <c r="E629" s="333"/>
      <c r="F629" s="335">
        <v>3196094789</v>
      </c>
      <c r="G629" s="333">
        <v>80774957</v>
      </c>
      <c r="H629" s="333" t="s">
        <v>8799</v>
      </c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</row>
    <row r="630" spans="1:26" ht="14">
      <c r="A630" s="298" t="s">
        <v>8800</v>
      </c>
      <c r="B630" s="298" t="s">
        <v>8801</v>
      </c>
      <c r="C630" s="299">
        <v>304</v>
      </c>
      <c r="D630" s="298"/>
      <c r="E630" s="298"/>
      <c r="F630" s="300">
        <v>3163341951</v>
      </c>
      <c r="G630" s="298">
        <v>1020761578</v>
      </c>
      <c r="H630" s="298" t="s">
        <v>8802</v>
      </c>
      <c r="I630" s="302">
        <v>46092</v>
      </c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</row>
    <row r="631" spans="1:26" ht="14">
      <c r="A631" s="298" t="s">
        <v>8803</v>
      </c>
      <c r="B631" s="298" t="s">
        <v>8804</v>
      </c>
      <c r="C631" s="299"/>
      <c r="D631" s="298"/>
      <c r="E631" s="298"/>
      <c r="F631" s="300">
        <v>3112087741</v>
      </c>
      <c r="G631" s="298">
        <v>52916329</v>
      </c>
      <c r="H631" s="298" t="s">
        <v>8805</v>
      </c>
      <c r="I631" s="302">
        <v>46092</v>
      </c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</row>
    <row r="632" spans="1:26" ht="14">
      <c r="A632" s="298" t="s">
        <v>8806</v>
      </c>
      <c r="B632" s="298" t="s">
        <v>8807</v>
      </c>
      <c r="C632" s="299"/>
      <c r="D632" s="298"/>
      <c r="E632" s="298"/>
      <c r="F632" s="300">
        <v>639629751980</v>
      </c>
      <c r="G632" s="298">
        <v>1126909846</v>
      </c>
      <c r="H632" s="298" t="s">
        <v>8808</v>
      </c>
      <c r="I632" s="302">
        <v>46092</v>
      </c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</row>
    <row r="633" spans="1:26" ht="14">
      <c r="A633" s="298" t="s">
        <v>407</v>
      </c>
      <c r="B633" s="298" t="s">
        <v>8809</v>
      </c>
      <c r="C633" s="299">
        <v>304</v>
      </c>
      <c r="D633" s="298"/>
      <c r="E633" s="298"/>
      <c r="F633" s="300">
        <v>3192492656</v>
      </c>
      <c r="G633" s="298">
        <v>52993202</v>
      </c>
      <c r="H633" s="298" t="s">
        <v>8810</v>
      </c>
      <c r="I633" s="302">
        <v>46092</v>
      </c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</row>
    <row r="634" spans="1:26" ht="14">
      <c r="A634" s="298" t="s">
        <v>8811</v>
      </c>
      <c r="B634" s="298" t="s">
        <v>8812</v>
      </c>
      <c r="C634" s="299"/>
      <c r="D634" s="298"/>
      <c r="E634" s="298"/>
      <c r="F634" s="300">
        <v>3204850490</v>
      </c>
      <c r="G634" s="298">
        <v>53123073</v>
      </c>
      <c r="H634" s="298" t="s">
        <v>8813</v>
      </c>
      <c r="I634" s="302">
        <v>46092</v>
      </c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</row>
    <row r="635" spans="1:26" ht="14">
      <c r="A635" s="298" t="s">
        <v>666</v>
      </c>
      <c r="B635" s="298" t="s">
        <v>8814</v>
      </c>
      <c r="C635" s="299">
        <v>505</v>
      </c>
      <c r="D635" s="298" t="s">
        <v>8723</v>
      </c>
      <c r="E635" s="298"/>
      <c r="F635" s="300">
        <v>3144631176</v>
      </c>
      <c r="G635" s="298">
        <v>1019038675</v>
      </c>
      <c r="H635" s="298" t="s">
        <v>8815</v>
      </c>
      <c r="I635" s="302">
        <v>46092</v>
      </c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</row>
    <row r="636" spans="1:26" ht="14">
      <c r="A636" s="298" t="s">
        <v>8816</v>
      </c>
      <c r="B636" s="298" t="s">
        <v>8817</v>
      </c>
      <c r="C636" s="299">
        <v>704</v>
      </c>
      <c r="D636" s="298" t="s">
        <v>7052</v>
      </c>
      <c r="E636" s="298"/>
      <c r="F636" s="300">
        <v>3102800779</v>
      </c>
      <c r="G636" s="298">
        <v>52713923</v>
      </c>
      <c r="H636" s="298" t="s">
        <v>8818</v>
      </c>
      <c r="I636" s="302">
        <v>46092</v>
      </c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</row>
    <row r="637" spans="1:26" ht="14">
      <c r="A637" s="298" t="s">
        <v>288</v>
      </c>
      <c r="B637" s="298" t="s">
        <v>8819</v>
      </c>
      <c r="C637" s="299">
        <v>204</v>
      </c>
      <c r="D637" s="298"/>
      <c r="E637" s="298"/>
      <c r="F637" s="300">
        <v>3024907259</v>
      </c>
      <c r="G637" s="298">
        <v>52997317</v>
      </c>
      <c r="H637" s="298" t="s">
        <v>8820</v>
      </c>
      <c r="I637" s="302">
        <v>46092</v>
      </c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</row>
    <row r="638" spans="1:26" ht="14">
      <c r="A638" s="298" t="s">
        <v>8821</v>
      </c>
      <c r="B638" s="298" t="s">
        <v>8822</v>
      </c>
      <c r="C638" s="299">
        <v>502</v>
      </c>
      <c r="D638" s="298"/>
      <c r="E638" s="298"/>
      <c r="F638" s="300">
        <v>3202853096</v>
      </c>
      <c r="G638" s="298">
        <v>1015481489</v>
      </c>
      <c r="H638" s="298" t="s">
        <v>8823</v>
      </c>
      <c r="I638" s="302">
        <v>46092</v>
      </c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</row>
    <row r="639" spans="1:26" ht="14">
      <c r="A639" s="298" t="s">
        <v>8824</v>
      </c>
      <c r="B639" s="298" t="s">
        <v>8825</v>
      </c>
      <c r="C639" s="299">
        <v>603</v>
      </c>
      <c r="D639" s="298"/>
      <c r="E639" s="298"/>
      <c r="F639" s="300">
        <v>3116602186</v>
      </c>
      <c r="G639" s="298">
        <v>22521196</v>
      </c>
      <c r="H639" s="298"/>
      <c r="I639" s="302">
        <v>46092</v>
      </c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</row>
    <row r="640" spans="1:26" ht="14">
      <c r="A640" s="298" t="s">
        <v>8826</v>
      </c>
      <c r="B640" s="298" t="s">
        <v>8827</v>
      </c>
      <c r="C640" s="299">
        <v>304</v>
      </c>
      <c r="D640" s="298"/>
      <c r="E640" s="298"/>
      <c r="F640" s="300">
        <v>3192492656</v>
      </c>
      <c r="G640" s="298">
        <v>52993202</v>
      </c>
      <c r="H640" s="298" t="s">
        <v>8810</v>
      </c>
      <c r="I640" s="302">
        <v>46092</v>
      </c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</row>
    <row r="641" spans="1:26" ht="14">
      <c r="A641" s="298" t="s">
        <v>1473</v>
      </c>
      <c r="B641" s="298" t="s">
        <v>8828</v>
      </c>
      <c r="C641" s="299">
        <v>4</v>
      </c>
      <c r="D641" s="298"/>
      <c r="E641" s="298"/>
      <c r="F641" s="300">
        <v>3104177470</v>
      </c>
      <c r="G641" s="298">
        <v>16690160</v>
      </c>
      <c r="H641" s="298" t="s">
        <v>8829</v>
      </c>
      <c r="I641" s="302">
        <v>46092</v>
      </c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</row>
    <row r="642" spans="1:26" ht="14">
      <c r="A642" s="298" t="s">
        <v>161</v>
      </c>
      <c r="B642" s="298" t="s">
        <v>8830</v>
      </c>
      <c r="C642" s="299">
        <v>204</v>
      </c>
      <c r="D642" s="298" t="s">
        <v>8831</v>
      </c>
      <c r="E642" s="298" t="s">
        <v>8832</v>
      </c>
      <c r="F642" s="300">
        <v>3206683417</v>
      </c>
      <c r="G642" s="298">
        <v>52213368</v>
      </c>
      <c r="H642" s="298" t="s">
        <v>8833</v>
      </c>
      <c r="I642" s="302">
        <v>46092</v>
      </c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</row>
    <row r="643" spans="1:26" ht="14">
      <c r="A643" s="298" t="s">
        <v>8834</v>
      </c>
      <c r="B643" s="298" t="s">
        <v>8835</v>
      </c>
      <c r="C643" s="299">
        <v>702</v>
      </c>
      <c r="D643" s="298"/>
      <c r="E643" s="298"/>
      <c r="F643" s="300">
        <v>3153807711</v>
      </c>
      <c r="G643" s="298">
        <v>52645960</v>
      </c>
      <c r="H643" s="298"/>
      <c r="I643" s="302">
        <v>46092</v>
      </c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</row>
    <row r="644" spans="1:26" ht="15" customHeight="1">
      <c r="A644" s="298" t="s">
        <v>345</v>
      </c>
      <c r="B644" s="298" t="s">
        <v>8836</v>
      </c>
      <c r="C644" s="299">
        <v>1104</v>
      </c>
      <c r="D644" s="298"/>
      <c r="E644" s="298"/>
      <c r="F644" s="300">
        <v>3214690617</v>
      </c>
      <c r="G644" s="298">
        <v>80875164</v>
      </c>
      <c r="H644" s="298" t="s">
        <v>8837</v>
      </c>
      <c r="I644" s="302">
        <v>46092</v>
      </c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</row>
    <row r="645" spans="1:26" ht="14">
      <c r="A645" s="298" t="s">
        <v>8838</v>
      </c>
      <c r="B645" s="298" t="s">
        <v>8839</v>
      </c>
      <c r="C645" s="299">
        <v>701</v>
      </c>
      <c r="D645" s="298"/>
      <c r="E645" s="298"/>
      <c r="F645" s="300">
        <v>3007109192</v>
      </c>
      <c r="G645" s="298">
        <v>14639679</v>
      </c>
      <c r="H645" s="298" t="s">
        <v>8840</v>
      </c>
      <c r="I645" s="302">
        <v>46092</v>
      </c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</row>
    <row r="646" spans="1:26" ht="14">
      <c r="A646" s="298" t="s">
        <v>8841</v>
      </c>
      <c r="B646" s="298" t="s">
        <v>8842</v>
      </c>
      <c r="C646" s="299">
        <v>407</v>
      </c>
      <c r="D646" s="298"/>
      <c r="E646" s="298"/>
      <c r="F646" s="300">
        <v>3124346770</v>
      </c>
      <c r="G646" s="298">
        <v>52880571</v>
      </c>
      <c r="H646" s="298" t="s">
        <v>8843</v>
      </c>
      <c r="I646" s="302">
        <v>46092</v>
      </c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</row>
    <row r="647" spans="1:26" ht="14">
      <c r="A647" s="298" t="s">
        <v>8844</v>
      </c>
      <c r="B647" s="298" t="s">
        <v>8845</v>
      </c>
      <c r="C647" s="299">
        <v>501</v>
      </c>
      <c r="D647" s="298"/>
      <c r="E647" s="298"/>
      <c r="F647" s="300">
        <v>3187173947</v>
      </c>
      <c r="G647" s="298">
        <v>41561151</v>
      </c>
      <c r="H647" s="298" t="s">
        <v>8846</v>
      </c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</row>
    <row r="648" spans="1:26" ht="14">
      <c r="A648" s="298" t="s">
        <v>8847</v>
      </c>
      <c r="B648" s="298" t="s">
        <v>8848</v>
      </c>
      <c r="C648" s="299">
        <v>1303</v>
      </c>
      <c r="D648" s="298" t="s">
        <v>8849</v>
      </c>
      <c r="E648" s="298"/>
      <c r="F648" s="300">
        <v>3115147913</v>
      </c>
      <c r="G648" s="298">
        <v>1049615044</v>
      </c>
      <c r="H648" s="298" t="s">
        <v>8850</v>
      </c>
      <c r="I648" s="302">
        <v>46092</v>
      </c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</row>
    <row r="649" spans="1:26" ht="14">
      <c r="A649" s="298" t="s">
        <v>8851</v>
      </c>
      <c r="B649" s="298" t="s">
        <v>8852</v>
      </c>
      <c r="C649" s="299">
        <v>403</v>
      </c>
      <c r="D649" s="298" t="s">
        <v>7189</v>
      </c>
      <c r="E649" s="298" t="s">
        <v>7189</v>
      </c>
      <c r="F649" s="300">
        <v>3134440663</v>
      </c>
      <c r="G649" s="298">
        <v>51964188</v>
      </c>
      <c r="H649" s="298" t="s">
        <v>8853</v>
      </c>
      <c r="I649" s="302">
        <v>46092</v>
      </c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</row>
    <row r="650" spans="1:26" ht="14">
      <c r="A650" s="298" t="s">
        <v>8854</v>
      </c>
      <c r="B650" s="298" t="s">
        <v>8855</v>
      </c>
      <c r="C650" s="299">
        <v>301</v>
      </c>
      <c r="D650" s="298"/>
      <c r="E650" s="298"/>
      <c r="F650" s="300">
        <v>3226063822</v>
      </c>
      <c r="G650" s="298">
        <v>52866517</v>
      </c>
      <c r="H650" s="298" t="s">
        <v>8856</v>
      </c>
      <c r="I650" s="302">
        <v>46065</v>
      </c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</row>
    <row r="651" spans="1:26" ht="14">
      <c r="A651" s="298" t="s">
        <v>8857</v>
      </c>
      <c r="B651" s="298" t="s">
        <v>8858</v>
      </c>
      <c r="C651" s="299">
        <v>401</v>
      </c>
      <c r="D651" s="298" t="s">
        <v>8859</v>
      </c>
      <c r="E651" s="298"/>
      <c r="F651" s="300">
        <v>3102825850</v>
      </c>
      <c r="G651" s="298">
        <v>16628425</v>
      </c>
      <c r="H651" s="298" t="s">
        <v>8860</v>
      </c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</row>
    <row r="652" spans="1:26" ht="14">
      <c r="A652" s="298" t="s">
        <v>17</v>
      </c>
      <c r="B652" s="298" t="s">
        <v>8861</v>
      </c>
      <c r="C652" s="299">
        <v>919</v>
      </c>
      <c r="D652" s="298" t="s">
        <v>8862</v>
      </c>
      <c r="E652" s="298" t="s">
        <v>8863</v>
      </c>
      <c r="F652" s="300">
        <v>3180777795</v>
      </c>
      <c r="G652" s="298">
        <v>39780422</v>
      </c>
      <c r="H652" s="298" t="s">
        <v>8864</v>
      </c>
      <c r="I652" s="302">
        <v>46092</v>
      </c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</row>
    <row r="653" spans="1:26" ht="14">
      <c r="A653" s="298" t="s">
        <v>159</v>
      </c>
      <c r="B653" s="298" t="s">
        <v>8865</v>
      </c>
      <c r="C653" s="299"/>
      <c r="D653" s="298"/>
      <c r="E653" s="298"/>
      <c r="F653" s="300">
        <v>3017249366</v>
      </c>
      <c r="G653" s="298">
        <v>1018409517</v>
      </c>
      <c r="H653" s="298" t="s">
        <v>8866</v>
      </c>
      <c r="I653" s="302">
        <v>46092</v>
      </c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</row>
    <row r="654" spans="1:26" ht="14">
      <c r="A654" s="298" t="s">
        <v>8867</v>
      </c>
      <c r="B654" s="298" t="s">
        <v>8868</v>
      </c>
      <c r="C654" s="299">
        <v>701</v>
      </c>
      <c r="D654" s="298"/>
      <c r="E654" s="298"/>
      <c r="F654" s="300">
        <v>3123663624</v>
      </c>
      <c r="G654" s="298">
        <v>1020789187</v>
      </c>
      <c r="H654" s="298" t="s">
        <v>8869</v>
      </c>
      <c r="I654" s="302">
        <v>46092</v>
      </c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</row>
    <row r="655" spans="1:26" ht="14">
      <c r="A655" s="286" t="s">
        <v>8870</v>
      </c>
      <c r="B655" s="286" t="s">
        <v>8871</v>
      </c>
      <c r="C655" s="286">
        <v>503</v>
      </c>
      <c r="D655" s="286" t="s">
        <v>8872</v>
      </c>
      <c r="E655" s="286"/>
      <c r="F655" s="289">
        <v>3114400689</v>
      </c>
      <c r="G655" s="286">
        <v>1032454624</v>
      </c>
      <c r="H655" s="286" t="s">
        <v>8873</v>
      </c>
      <c r="I655" s="302">
        <v>46092</v>
      </c>
      <c r="J655" s="336"/>
      <c r="K655" s="336"/>
      <c r="L655" s="336"/>
      <c r="M655" s="336"/>
      <c r="N655" s="336"/>
      <c r="O655" s="336"/>
      <c r="P655" s="336"/>
      <c r="Q655" s="336"/>
      <c r="R655" s="336"/>
      <c r="S655" s="336"/>
      <c r="T655" s="336"/>
      <c r="U655" s="336"/>
      <c r="V655" s="336"/>
      <c r="W655" s="336"/>
      <c r="X655" s="336"/>
      <c r="Y655" s="336"/>
      <c r="Z655" s="336"/>
    </row>
    <row r="656" spans="1:26" ht="14">
      <c r="A656" s="298" t="s">
        <v>8874</v>
      </c>
      <c r="B656" s="298" t="s">
        <v>8875</v>
      </c>
      <c r="C656" s="299">
        <v>404</v>
      </c>
      <c r="D656" s="298" t="s">
        <v>8876</v>
      </c>
      <c r="E656" s="298"/>
      <c r="F656" s="313">
        <v>3238885527</v>
      </c>
      <c r="G656" s="286">
        <v>1098644333</v>
      </c>
      <c r="H656" s="313" t="s">
        <v>8877</v>
      </c>
      <c r="I656" s="302">
        <v>46092</v>
      </c>
      <c r="J656" s="337"/>
      <c r="K656" s="337"/>
      <c r="L656" s="337"/>
      <c r="M656" s="337"/>
      <c r="N656" s="337"/>
      <c r="O656" s="337"/>
      <c r="P656" s="337"/>
      <c r="Q656" s="337"/>
      <c r="R656" s="337"/>
      <c r="S656" s="337"/>
      <c r="T656" s="337"/>
      <c r="U656" s="337"/>
      <c r="V656" s="337"/>
      <c r="W656" s="337"/>
      <c r="X656" s="337"/>
      <c r="Y656" s="337"/>
      <c r="Z656" s="337"/>
    </row>
    <row r="657" spans="1:26" ht="14">
      <c r="A657" s="298" t="s">
        <v>8878</v>
      </c>
      <c r="B657" s="298" t="s">
        <v>8879</v>
      </c>
      <c r="C657" s="299">
        <v>401</v>
      </c>
      <c r="D657" s="298"/>
      <c r="E657" s="298"/>
      <c r="F657" s="300">
        <v>3123743384</v>
      </c>
      <c r="G657" s="298">
        <v>1020770488</v>
      </c>
      <c r="H657" s="298" t="s">
        <v>8880</v>
      </c>
      <c r="I657" s="302">
        <v>46092</v>
      </c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</row>
    <row r="658" spans="1:26" ht="14">
      <c r="A658" s="298" t="s">
        <v>8881</v>
      </c>
      <c r="B658" s="298" t="s">
        <v>8882</v>
      </c>
      <c r="C658" s="299">
        <v>703</v>
      </c>
      <c r="D658" s="298" t="s">
        <v>8883</v>
      </c>
      <c r="E658" s="298"/>
      <c r="F658" s="300">
        <v>3124785234</v>
      </c>
      <c r="G658" s="298">
        <v>19475574</v>
      </c>
      <c r="H658" s="298" t="s">
        <v>8884</v>
      </c>
      <c r="I658" s="302">
        <v>46092</v>
      </c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</row>
    <row r="659" spans="1:26" ht="14">
      <c r="A659" s="298" t="s">
        <v>878</v>
      </c>
      <c r="B659" s="298" t="s">
        <v>8885</v>
      </c>
      <c r="C659" s="299">
        <v>304</v>
      </c>
      <c r="D659" s="298"/>
      <c r="E659" s="298"/>
      <c r="F659" s="300">
        <v>3003005552</v>
      </c>
      <c r="G659" s="298">
        <v>52207108</v>
      </c>
      <c r="H659" s="298" t="s">
        <v>8886</v>
      </c>
      <c r="I659" s="302">
        <v>46092</v>
      </c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</row>
    <row r="660" spans="1:26" ht="14">
      <c r="A660" s="298" t="s">
        <v>8887</v>
      </c>
      <c r="B660" s="298" t="s">
        <v>8888</v>
      </c>
      <c r="C660" s="299">
        <v>301</v>
      </c>
      <c r="D660" s="298"/>
      <c r="E660" s="298"/>
      <c r="F660" s="300">
        <v>3187424028</v>
      </c>
      <c r="G660" s="298">
        <v>1113310687</v>
      </c>
      <c r="H660" s="298"/>
      <c r="I660" s="302">
        <v>46065</v>
      </c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</row>
    <row r="661" spans="1:26" ht="14">
      <c r="A661" s="298" t="s">
        <v>1001</v>
      </c>
      <c r="B661" s="298" t="s">
        <v>8889</v>
      </c>
      <c r="C661" s="299">
        <v>302</v>
      </c>
      <c r="D661" s="298"/>
      <c r="E661" s="298"/>
      <c r="F661" s="300">
        <v>3213868379</v>
      </c>
      <c r="G661" s="298">
        <v>1020830975</v>
      </c>
      <c r="H661" s="298" t="s">
        <v>8890</v>
      </c>
      <c r="I661" s="302">
        <v>46069</v>
      </c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</row>
    <row r="662" spans="1:26" ht="14">
      <c r="A662" s="298" t="s">
        <v>8891</v>
      </c>
      <c r="B662" s="298" t="s">
        <v>8892</v>
      </c>
      <c r="C662" s="299">
        <v>307</v>
      </c>
      <c r="D662" s="298" t="s">
        <v>8893</v>
      </c>
      <c r="E662" s="298" t="s">
        <v>8894</v>
      </c>
      <c r="F662" s="300">
        <v>3124741745</v>
      </c>
      <c r="G662" s="298">
        <v>39773408</v>
      </c>
      <c r="H662" s="298" t="s">
        <v>8895</v>
      </c>
      <c r="I662" s="302">
        <v>46092</v>
      </c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</row>
    <row r="663" spans="1:26" ht="14">
      <c r="A663" s="298" t="s">
        <v>760</v>
      </c>
      <c r="B663" s="298" t="s">
        <v>8896</v>
      </c>
      <c r="C663" s="299">
        <v>118</v>
      </c>
      <c r="D663" s="298" t="s">
        <v>8897</v>
      </c>
      <c r="E663" s="298"/>
      <c r="F663" s="300">
        <v>3107034403</v>
      </c>
      <c r="G663" s="298">
        <v>1045682861</v>
      </c>
      <c r="H663" s="298" t="s">
        <v>8898</v>
      </c>
      <c r="I663" s="302">
        <v>46071</v>
      </c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</row>
    <row r="664" spans="1:26" ht="19.5" customHeight="1">
      <c r="A664" s="298" t="s">
        <v>8899</v>
      </c>
      <c r="B664" s="298" t="s">
        <v>8900</v>
      </c>
      <c r="C664" s="299">
        <v>1801</v>
      </c>
      <c r="D664" s="298" t="s">
        <v>8901</v>
      </c>
      <c r="E664" s="298"/>
      <c r="F664" s="300">
        <v>3103344074</v>
      </c>
      <c r="G664" s="298">
        <v>635253460</v>
      </c>
      <c r="H664" s="298" t="s">
        <v>8902</v>
      </c>
      <c r="I664" s="302">
        <v>46094</v>
      </c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</row>
    <row r="665" spans="1:26" ht="14">
      <c r="A665" s="298" t="s">
        <v>8903</v>
      </c>
      <c r="B665" s="298" t="s">
        <v>8904</v>
      </c>
      <c r="C665" s="299"/>
      <c r="D665" s="298" t="s">
        <v>7319</v>
      </c>
      <c r="E665" s="298"/>
      <c r="F665" s="300">
        <v>3206798068</v>
      </c>
      <c r="G665" s="298">
        <v>79154380</v>
      </c>
      <c r="H665" s="298" t="s">
        <v>8905</v>
      </c>
      <c r="I665" s="302">
        <v>46094</v>
      </c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</row>
    <row r="666" spans="1:26" ht="14">
      <c r="A666" s="298" t="s">
        <v>8906</v>
      </c>
      <c r="B666" s="298" t="s">
        <v>8907</v>
      </c>
      <c r="C666" s="299">
        <v>103</v>
      </c>
      <c r="D666" s="298" t="s">
        <v>8908</v>
      </c>
      <c r="E666" s="298"/>
      <c r="F666" s="300">
        <v>3113647954</v>
      </c>
      <c r="G666" s="298">
        <v>51601719</v>
      </c>
      <c r="H666" s="298" t="s">
        <v>8909</v>
      </c>
      <c r="I666" s="302">
        <v>46094</v>
      </c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</row>
    <row r="667" spans="1:26" ht="14">
      <c r="A667" s="298" t="s">
        <v>8910</v>
      </c>
      <c r="B667" s="298" t="s">
        <v>8911</v>
      </c>
      <c r="C667" s="299">
        <v>304</v>
      </c>
      <c r="D667" s="298" t="s">
        <v>8912</v>
      </c>
      <c r="E667" s="298" t="s">
        <v>8913</v>
      </c>
      <c r="F667" s="300">
        <v>3046646885</v>
      </c>
      <c r="G667" s="298">
        <v>1019133366</v>
      </c>
      <c r="H667" s="298" t="s">
        <v>8914</v>
      </c>
      <c r="I667" s="302">
        <v>46094</v>
      </c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</row>
    <row r="668" spans="1:26" ht="14">
      <c r="A668" s="298" t="s">
        <v>1038</v>
      </c>
      <c r="B668" s="298" t="s">
        <v>8915</v>
      </c>
      <c r="C668" s="299">
        <v>201</v>
      </c>
      <c r="D668" s="298"/>
      <c r="E668" s="298"/>
      <c r="F668" s="300">
        <v>3107005012</v>
      </c>
      <c r="G668" s="298">
        <v>521941</v>
      </c>
      <c r="H668" s="298" t="s">
        <v>8916</v>
      </c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</row>
    <row r="669" spans="1:26" ht="14">
      <c r="A669" s="298" t="s">
        <v>8917</v>
      </c>
      <c r="B669" s="298" t="s">
        <v>8918</v>
      </c>
      <c r="C669" s="299">
        <v>401</v>
      </c>
      <c r="D669" s="298" t="s">
        <v>8919</v>
      </c>
      <c r="E669" s="298"/>
      <c r="F669" s="300">
        <v>3182585124</v>
      </c>
      <c r="G669" s="298">
        <v>52390442</v>
      </c>
      <c r="H669" s="298" t="s">
        <v>8920</v>
      </c>
      <c r="I669" s="302">
        <v>46094</v>
      </c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</row>
    <row r="670" spans="1:26" ht="14">
      <c r="A670" s="333" t="s">
        <v>8921</v>
      </c>
      <c r="B670" s="333" t="s">
        <v>8922</v>
      </c>
      <c r="C670" s="334">
        <v>602</v>
      </c>
      <c r="D670" s="338" t="s">
        <v>8923</v>
      </c>
      <c r="E670" s="333"/>
      <c r="F670" s="335">
        <v>3164708647</v>
      </c>
      <c r="G670" s="333" t="s">
        <v>8924</v>
      </c>
      <c r="H670" s="333" t="s">
        <v>8925</v>
      </c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4">
      <c r="A671" s="298" t="s">
        <v>8926</v>
      </c>
      <c r="B671" s="298" t="s">
        <v>8927</v>
      </c>
      <c r="C671" s="299">
        <v>409</v>
      </c>
      <c r="D671" s="298" t="s">
        <v>8928</v>
      </c>
      <c r="E671" s="298"/>
      <c r="F671" s="300">
        <v>3102039475</v>
      </c>
      <c r="G671" s="298">
        <v>32845788</v>
      </c>
      <c r="H671" s="298" t="s">
        <v>8929</v>
      </c>
      <c r="I671" s="302">
        <v>46097</v>
      </c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</row>
    <row r="672" spans="1:26" ht="14">
      <c r="A672" s="298" t="s">
        <v>8930</v>
      </c>
      <c r="B672" s="298" t="s">
        <v>8931</v>
      </c>
      <c r="C672" s="299">
        <v>703</v>
      </c>
      <c r="D672" s="298" t="s">
        <v>6014</v>
      </c>
      <c r="E672" s="298"/>
      <c r="F672" s="300">
        <v>3134304453</v>
      </c>
      <c r="G672" s="298">
        <v>39686340</v>
      </c>
      <c r="H672" s="298" t="s">
        <v>8932</v>
      </c>
      <c r="I672" s="302">
        <v>46097</v>
      </c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</row>
    <row r="673" spans="1:26" ht="14">
      <c r="A673" s="333" t="s">
        <v>8933</v>
      </c>
      <c r="B673" s="333" t="s">
        <v>8934</v>
      </c>
      <c r="C673" s="334">
        <v>302</v>
      </c>
      <c r="D673" s="338" t="s">
        <v>8935</v>
      </c>
      <c r="E673" s="333"/>
      <c r="F673" s="335">
        <v>3002482832</v>
      </c>
      <c r="G673" s="333">
        <v>52866728</v>
      </c>
      <c r="H673" s="333" t="s">
        <v>8936</v>
      </c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4">
      <c r="A674" s="298" t="s">
        <v>8937</v>
      </c>
      <c r="B674" s="298" t="s">
        <v>8938</v>
      </c>
      <c r="C674" s="299">
        <v>401</v>
      </c>
      <c r="D674" s="298" t="s">
        <v>8939</v>
      </c>
      <c r="E674" s="298"/>
      <c r="F674" s="300">
        <v>3164675692</v>
      </c>
      <c r="G674" s="298">
        <v>51691006</v>
      </c>
      <c r="H674" s="298" t="s">
        <v>8940</v>
      </c>
      <c r="I674" s="340">
        <v>46097</v>
      </c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</row>
    <row r="675" spans="1:26" ht="14">
      <c r="A675" s="298" t="s">
        <v>8941</v>
      </c>
      <c r="B675" s="298" t="s">
        <v>8942</v>
      </c>
      <c r="C675" s="299"/>
      <c r="D675" s="298"/>
      <c r="E675" s="298"/>
      <c r="F675" s="300">
        <v>3102341062</v>
      </c>
      <c r="G675" s="298">
        <v>39792730</v>
      </c>
      <c r="H675" s="298" t="s">
        <v>8943</v>
      </c>
      <c r="I675" s="302">
        <v>46097</v>
      </c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</row>
    <row r="676" spans="1:26" ht="14">
      <c r="A676" s="298" t="s">
        <v>8944</v>
      </c>
      <c r="B676" s="298" t="s">
        <v>8945</v>
      </c>
      <c r="C676" s="299">
        <v>508</v>
      </c>
      <c r="D676" s="298" t="s">
        <v>8946</v>
      </c>
      <c r="E676" s="298"/>
      <c r="F676" s="300">
        <v>3206618456</v>
      </c>
      <c r="G676" s="298">
        <v>52712797</v>
      </c>
      <c r="H676" s="298" t="s">
        <v>8947</v>
      </c>
      <c r="I676" s="302">
        <v>46097</v>
      </c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</row>
    <row r="677" spans="1:26" ht="20.25" customHeight="1">
      <c r="A677" s="298" t="s">
        <v>8948</v>
      </c>
      <c r="B677" s="298" t="s">
        <v>8949</v>
      </c>
      <c r="C677" s="299"/>
      <c r="D677" s="298" t="s">
        <v>8950</v>
      </c>
      <c r="E677" s="298"/>
      <c r="F677" s="300">
        <v>3212328674</v>
      </c>
      <c r="G677" s="298">
        <v>52717200</v>
      </c>
      <c r="H677" s="298" t="s">
        <v>8951</v>
      </c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</row>
    <row r="678" spans="1:26" ht="23.25" customHeight="1">
      <c r="A678" s="298" t="s">
        <v>8952</v>
      </c>
      <c r="B678" s="298" t="s">
        <v>8953</v>
      </c>
      <c r="C678" s="299">
        <v>1003</v>
      </c>
      <c r="D678" s="298" t="s">
        <v>8954</v>
      </c>
      <c r="E678" s="298"/>
      <c r="F678" s="300">
        <v>3183607083</v>
      </c>
      <c r="G678" s="298">
        <v>52185424</v>
      </c>
      <c r="H678" s="298" t="s">
        <v>8955</v>
      </c>
      <c r="I678" s="302">
        <v>46097</v>
      </c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</row>
    <row r="679" spans="1:26" ht="14">
      <c r="A679" s="298" t="s">
        <v>239</v>
      </c>
      <c r="B679" s="298" t="s">
        <v>8956</v>
      </c>
      <c r="C679" s="299" t="s">
        <v>8957</v>
      </c>
      <c r="D679" s="298" t="s">
        <v>8958</v>
      </c>
      <c r="E679" s="298"/>
      <c r="F679" s="300">
        <v>3057542134</v>
      </c>
      <c r="G679" s="298">
        <v>1023961083</v>
      </c>
      <c r="H679" s="298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</row>
    <row r="680" spans="1:26" ht="14">
      <c r="A680" s="298" t="s">
        <v>8959</v>
      </c>
      <c r="B680" s="298" t="s">
        <v>8960</v>
      </c>
      <c r="C680" s="299"/>
      <c r="D680" s="298"/>
      <c r="E680" s="298"/>
      <c r="F680" s="300">
        <v>17034246910</v>
      </c>
      <c r="G680" s="298">
        <v>104380</v>
      </c>
      <c r="H680" s="298" t="s">
        <v>8961</v>
      </c>
      <c r="I680" s="302">
        <v>46097</v>
      </c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</row>
    <row r="681" spans="1:26" ht="23.25" customHeight="1">
      <c r="A681" s="298" t="s">
        <v>8962</v>
      </c>
      <c r="B681" s="298" t="s">
        <v>8963</v>
      </c>
      <c r="C681" s="299">
        <v>601</v>
      </c>
      <c r="D681" s="298"/>
      <c r="E681" s="298"/>
      <c r="F681" s="300">
        <v>3017867425</v>
      </c>
      <c r="G681" s="298">
        <v>319588</v>
      </c>
      <c r="H681" s="298" t="s">
        <v>8964</v>
      </c>
      <c r="I681" s="302">
        <v>46097</v>
      </c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</row>
    <row r="682" spans="1:26" ht="14">
      <c r="A682" s="298" t="s">
        <v>8965</v>
      </c>
      <c r="B682" s="298" t="s">
        <v>8966</v>
      </c>
      <c r="C682" s="299">
        <v>601</v>
      </c>
      <c r="D682" s="298" t="s">
        <v>8967</v>
      </c>
      <c r="E682" s="298"/>
      <c r="F682" s="300">
        <v>3176589864</v>
      </c>
      <c r="G682" s="298">
        <v>51787262</v>
      </c>
      <c r="H682" s="298" t="s">
        <v>8968</v>
      </c>
      <c r="I682" s="302">
        <v>46097</v>
      </c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</row>
    <row r="683" spans="1:26" ht="14">
      <c r="A683" s="298" t="s">
        <v>8969</v>
      </c>
      <c r="B683" s="298" t="s">
        <v>8970</v>
      </c>
      <c r="C683" s="299"/>
      <c r="D683" s="298" t="s">
        <v>8971</v>
      </c>
      <c r="E683" s="298"/>
      <c r="F683" s="300">
        <v>3223871805</v>
      </c>
      <c r="G683" s="298">
        <v>1032363781</v>
      </c>
      <c r="H683" s="298" t="s">
        <v>8972</v>
      </c>
      <c r="I683" s="302">
        <v>46097</v>
      </c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</row>
    <row r="684" spans="1:26" ht="14">
      <c r="A684" s="298" t="s">
        <v>442</v>
      </c>
      <c r="B684" s="298" t="s">
        <v>8973</v>
      </c>
      <c r="C684" s="299">
        <v>208</v>
      </c>
      <c r="D684" s="298" t="s">
        <v>8974</v>
      </c>
      <c r="E684" s="298"/>
      <c r="F684" s="300">
        <v>3107930895</v>
      </c>
      <c r="G684" s="298">
        <v>1022388786</v>
      </c>
      <c r="H684" s="298" t="s">
        <v>8975</v>
      </c>
      <c r="I684" s="302">
        <v>46097</v>
      </c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</row>
    <row r="685" spans="1:26" ht="14">
      <c r="A685" s="298" t="s">
        <v>8976</v>
      </c>
      <c r="B685" s="298" t="s">
        <v>8977</v>
      </c>
      <c r="C685" s="299">
        <v>201</v>
      </c>
      <c r="D685" s="298" t="s">
        <v>7201</v>
      </c>
      <c r="E685" s="298"/>
      <c r="F685" s="300">
        <v>3102258747</v>
      </c>
      <c r="G685" s="298">
        <v>51552116</v>
      </c>
      <c r="H685" s="298" t="s">
        <v>8978</v>
      </c>
      <c r="I685" s="302">
        <v>46097</v>
      </c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</row>
    <row r="686" spans="1:26" ht="14">
      <c r="A686" s="298" t="s">
        <v>8979</v>
      </c>
      <c r="B686" s="298" t="s">
        <v>8980</v>
      </c>
      <c r="C686" s="299">
        <v>401</v>
      </c>
      <c r="D686" s="298" t="s">
        <v>7201</v>
      </c>
      <c r="E686" s="298"/>
      <c r="F686" s="300">
        <v>3108927603</v>
      </c>
      <c r="G686" s="298">
        <v>1020749890</v>
      </c>
      <c r="H686" s="298" t="s">
        <v>8981</v>
      </c>
      <c r="I686" s="302">
        <v>46097</v>
      </c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</row>
    <row r="687" spans="1:26" ht="14">
      <c r="A687" s="298" t="s">
        <v>1128</v>
      </c>
      <c r="B687" s="298" t="s">
        <v>8982</v>
      </c>
      <c r="C687" s="299">
        <v>202</v>
      </c>
      <c r="D687" s="298"/>
      <c r="E687" s="298"/>
      <c r="F687" s="300">
        <v>3176395692</v>
      </c>
      <c r="G687" s="298">
        <v>1032413226</v>
      </c>
      <c r="H687" s="298" t="s">
        <v>8983</v>
      </c>
      <c r="I687" s="302">
        <v>46065</v>
      </c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</row>
    <row r="688" spans="1:26" ht="14">
      <c r="A688" s="298" t="s">
        <v>8984</v>
      </c>
      <c r="B688" s="298" t="s">
        <v>8985</v>
      </c>
      <c r="C688" s="299">
        <v>402</v>
      </c>
      <c r="D688" s="298" t="s">
        <v>8986</v>
      </c>
      <c r="E688" s="298" t="s">
        <v>8987</v>
      </c>
      <c r="F688" s="300">
        <v>3223103885</v>
      </c>
      <c r="G688" s="298">
        <v>80041908</v>
      </c>
      <c r="H688" s="298" t="s">
        <v>8988</v>
      </c>
      <c r="I688" s="302">
        <v>46097</v>
      </c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</row>
    <row r="689" spans="1:26" ht="14">
      <c r="A689" s="298" t="s">
        <v>8989</v>
      </c>
      <c r="B689" s="298" t="s">
        <v>8990</v>
      </c>
      <c r="C689" s="299" t="s">
        <v>8991</v>
      </c>
      <c r="D689" s="298"/>
      <c r="E689" s="298"/>
      <c r="F689" s="300">
        <v>3007917744</v>
      </c>
      <c r="G689" s="298">
        <v>80871012</v>
      </c>
      <c r="H689" s="298" t="s">
        <v>8992</v>
      </c>
      <c r="I689" s="302">
        <v>46097</v>
      </c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</row>
    <row r="690" spans="1:26" ht="14">
      <c r="A690" s="298" t="s">
        <v>1751</v>
      </c>
      <c r="B690" s="298" t="s">
        <v>8993</v>
      </c>
      <c r="C690" s="299">
        <v>402</v>
      </c>
      <c r="D690" s="298" t="s">
        <v>8994</v>
      </c>
      <c r="E690" s="298"/>
      <c r="F690" s="300">
        <v>3173697600</v>
      </c>
      <c r="G690" s="298">
        <v>19194351</v>
      </c>
      <c r="H690" s="298" t="s">
        <v>8995</v>
      </c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</row>
    <row r="691" spans="1:26" ht="14">
      <c r="A691" s="298" t="s">
        <v>8996</v>
      </c>
      <c r="B691" s="298" t="s">
        <v>8997</v>
      </c>
      <c r="C691" s="299">
        <v>403</v>
      </c>
      <c r="D691" s="298" t="s">
        <v>8998</v>
      </c>
      <c r="E691" s="298"/>
      <c r="F691" s="300">
        <v>3007439055</v>
      </c>
      <c r="G691" s="298">
        <v>1098695848</v>
      </c>
      <c r="H691" s="298" t="s">
        <v>8999</v>
      </c>
      <c r="I691" s="302">
        <v>46097</v>
      </c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</row>
    <row r="692" spans="1:26" ht="14">
      <c r="A692" s="298" t="s">
        <v>9000</v>
      </c>
      <c r="B692" s="298" t="s">
        <v>9001</v>
      </c>
      <c r="C692" s="299">
        <v>102</v>
      </c>
      <c r="D692" s="298" t="s">
        <v>9002</v>
      </c>
      <c r="E692" s="298"/>
      <c r="F692" s="300">
        <v>3106975283</v>
      </c>
      <c r="G692" s="298">
        <v>19447192</v>
      </c>
      <c r="H692" s="298" t="s">
        <v>9003</v>
      </c>
      <c r="I692" s="302">
        <v>46097</v>
      </c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</row>
    <row r="693" spans="1:26" ht="14">
      <c r="A693" s="298" t="s">
        <v>1094</v>
      </c>
      <c r="B693" s="298" t="s">
        <v>9004</v>
      </c>
      <c r="C693" s="299">
        <v>808</v>
      </c>
      <c r="D693" s="298"/>
      <c r="E693" s="298"/>
      <c r="F693" s="300">
        <v>3102590161</v>
      </c>
      <c r="G693" s="298">
        <v>41619690</v>
      </c>
      <c r="H693" s="298" t="s">
        <v>9005</v>
      </c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</row>
    <row r="694" spans="1:26" ht="14">
      <c r="A694" s="298" t="s">
        <v>9006</v>
      </c>
      <c r="B694" s="298" t="s">
        <v>9007</v>
      </c>
      <c r="C694" s="299">
        <v>502</v>
      </c>
      <c r="D694" s="298"/>
      <c r="E694" s="298"/>
      <c r="F694" s="300">
        <v>3156064456</v>
      </c>
      <c r="G694" s="298">
        <v>1018445979</v>
      </c>
      <c r="H694" s="298" t="s">
        <v>9008</v>
      </c>
      <c r="I694" s="302">
        <v>46097</v>
      </c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</row>
    <row r="695" spans="1:26" ht="14">
      <c r="A695" s="298" t="s">
        <v>144</v>
      </c>
      <c r="B695" s="298" t="s">
        <v>9009</v>
      </c>
      <c r="C695" s="299">
        <v>402</v>
      </c>
      <c r="D695" s="298" t="s">
        <v>7201</v>
      </c>
      <c r="E695" s="298"/>
      <c r="F695" s="300">
        <v>3113137056</v>
      </c>
      <c r="G695" s="298">
        <v>1002201810</v>
      </c>
      <c r="H695" s="298" t="s">
        <v>9010</v>
      </c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</row>
    <row r="696" spans="1:26" ht="14">
      <c r="A696" s="298" t="s">
        <v>1875</v>
      </c>
      <c r="B696" s="298" t="s">
        <v>9011</v>
      </c>
      <c r="C696" s="299">
        <v>504</v>
      </c>
      <c r="D696" s="298" t="s">
        <v>9012</v>
      </c>
      <c r="E696" s="298"/>
      <c r="F696" s="300">
        <v>3103202893</v>
      </c>
      <c r="G696" s="298">
        <v>33104106</v>
      </c>
      <c r="H696" s="298"/>
      <c r="I696" s="302">
        <v>46097</v>
      </c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</row>
    <row r="697" spans="1:26" ht="14">
      <c r="A697" s="298" t="s">
        <v>9013</v>
      </c>
      <c r="B697" s="298" t="s">
        <v>9014</v>
      </c>
      <c r="C697" s="299">
        <v>404</v>
      </c>
      <c r="D697" s="298" t="s">
        <v>9015</v>
      </c>
      <c r="E697" s="298"/>
      <c r="F697" s="300">
        <v>3153468732</v>
      </c>
      <c r="G697" s="298">
        <v>1075314772</v>
      </c>
      <c r="H697" s="298" t="s">
        <v>9016</v>
      </c>
      <c r="I697" s="302">
        <v>46097</v>
      </c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</row>
    <row r="698" spans="1:26" ht="14">
      <c r="A698" s="298" t="s">
        <v>9017</v>
      </c>
      <c r="B698" s="298" t="s">
        <v>9018</v>
      </c>
      <c r="C698" s="299">
        <v>3</v>
      </c>
      <c r="D698" s="298" t="s">
        <v>9019</v>
      </c>
      <c r="E698" s="298"/>
      <c r="F698" s="300">
        <v>3007765524</v>
      </c>
      <c r="G698" s="298">
        <v>1014183279</v>
      </c>
      <c r="H698" s="298" t="s">
        <v>9020</v>
      </c>
      <c r="I698" s="302">
        <v>46097</v>
      </c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</row>
    <row r="699" spans="1:26" ht="14">
      <c r="A699" s="298" t="s">
        <v>9021</v>
      </c>
      <c r="B699" s="298" t="s">
        <v>9022</v>
      </c>
      <c r="C699" s="299">
        <v>701</v>
      </c>
      <c r="D699" s="298"/>
      <c r="E699" s="298"/>
      <c r="F699" s="300">
        <v>3022729219</v>
      </c>
      <c r="G699" s="298">
        <v>873418</v>
      </c>
      <c r="H699" s="298" t="s">
        <v>9023</v>
      </c>
      <c r="I699" s="302">
        <v>46097</v>
      </c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</row>
    <row r="700" spans="1:26" ht="14">
      <c r="A700" s="298" t="s">
        <v>9024</v>
      </c>
      <c r="B700" s="298" t="s">
        <v>9025</v>
      </c>
      <c r="C700" s="299">
        <v>205</v>
      </c>
      <c r="D700" s="298" t="s">
        <v>9026</v>
      </c>
      <c r="E700" s="298"/>
      <c r="F700" s="300">
        <v>3123019977</v>
      </c>
      <c r="G700" s="298">
        <v>52382885</v>
      </c>
      <c r="H700" s="298" t="s">
        <v>9027</v>
      </c>
      <c r="I700" s="302">
        <v>46097</v>
      </c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</row>
    <row r="701" spans="1:26" ht="14">
      <c r="A701" s="298" t="s">
        <v>9028</v>
      </c>
      <c r="B701" s="298" t="s">
        <v>9029</v>
      </c>
      <c r="C701" s="299"/>
      <c r="D701" s="298"/>
      <c r="E701" s="298"/>
      <c r="F701" s="300">
        <v>3124791397</v>
      </c>
      <c r="G701" s="298">
        <v>39538085</v>
      </c>
      <c r="H701" s="298" t="s">
        <v>9030</v>
      </c>
      <c r="I701" s="302">
        <v>46097</v>
      </c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</row>
    <row r="702" spans="1:26" ht="14">
      <c r="A702" s="298" t="s">
        <v>9031</v>
      </c>
      <c r="B702" s="298" t="s">
        <v>9032</v>
      </c>
      <c r="C702" s="299">
        <v>921</v>
      </c>
      <c r="D702" s="298" t="s">
        <v>9033</v>
      </c>
      <c r="E702" s="298"/>
      <c r="F702" s="300">
        <v>3214181609</v>
      </c>
      <c r="G702" s="298">
        <v>1014260408</v>
      </c>
      <c r="H702" s="298" t="s">
        <v>9034</v>
      </c>
      <c r="I702" s="302">
        <v>6693510</v>
      </c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</row>
    <row r="703" spans="1:26" ht="14">
      <c r="A703" s="298" t="s">
        <v>9035</v>
      </c>
      <c r="B703" s="298" t="s">
        <v>9036</v>
      </c>
      <c r="C703" s="299">
        <v>201</v>
      </c>
      <c r="D703" s="298"/>
      <c r="E703" s="298"/>
      <c r="F703" s="300">
        <v>3108776159</v>
      </c>
      <c r="G703" s="298">
        <v>39693129</v>
      </c>
      <c r="H703" s="298" t="s">
        <v>9037</v>
      </c>
      <c r="I703" s="302">
        <v>6693510</v>
      </c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</row>
    <row r="704" spans="1:26" ht="14">
      <c r="A704" s="298" t="s">
        <v>9038</v>
      </c>
      <c r="B704" s="298" t="s">
        <v>9039</v>
      </c>
      <c r="C704" s="299"/>
      <c r="D704" s="298"/>
      <c r="E704" s="298"/>
      <c r="F704" s="300">
        <v>3203457770</v>
      </c>
      <c r="G704" s="298">
        <v>1020729596</v>
      </c>
      <c r="H704" s="298" t="s">
        <v>9040</v>
      </c>
      <c r="I704" s="302">
        <v>6693510</v>
      </c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</row>
    <row r="705" spans="1:26" ht="14">
      <c r="A705" s="298" t="s">
        <v>9041</v>
      </c>
      <c r="B705" s="298" t="s">
        <v>9042</v>
      </c>
      <c r="C705" s="299">
        <v>501</v>
      </c>
      <c r="D705" s="298"/>
      <c r="E705" s="298"/>
      <c r="F705" s="300">
        <v>3144936464</v>
      </c>
      <c r="G705" s="298">
        <v>1000604841</v>
      </c>
      <c r="H705" s="298" t="s">
        <v>9043</v>
      </c>
      <c r="I705" s="302">
        <v>6693510</v>
      </c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</row>
    <row r="706" spans="1:26" ht="14">
      <c r="A706" s="298" t="s">
        <v>9044</v>
      </c>
      <c r="B706" s="298" t="s">
        <v>9045</v>
      </c>
      <c r="C706" s="299" t="s">
        <v>9046</v>
      </c>
      <c r="D706" s="298" t="s">
        <v>9047</v>
      </c>
      <c r="E706" s="298"/>
      <c r="F706" s="300">
        <v>3176492501</v>
      </c>
      <c r="G706" s="298">
        <v>52968187</v>
      </c>
      <c r="H706" s="298" t="s">
        <v>9048</v>
      </c>
      <c r="I706" s="302">
        <v>6693510</v>
      </c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</row>
    <row r="707" spans="1:26" ht="14">
      <c r="A707" s="298" t="s">
        <v>460</v>
      </c>
      <c r="B707" s="298" t="s">
        <v>9049</v>
      </c>
      <c r="C707" s="299">
        <v>401</v>
      </c>
      <c r="D707" s="298" t="s">
        <v>9050</v>
      </c>
      <c r="E707" s="298"/>
      <c r="F707" s="300">
        <v>3508294051</v>
      </c>
      <c r="G707" s="298">
        <v>1014180715</v>
      </c>
      <c r="H707" s="298" t="s">
        <v>9051</v>
      </c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</row>
    <row r="708" spans="1:26" ht="14">
      <c r="A708" s="298" t="s">
        <v>9052</v>
      </c>
      <c r="B708" s="298" t="s">
        <v>9053</v>
      </c>
      <c r="C708" s="299">
        <v>604</v>
      </c>
      <c r="D708" s="298"/>
      <c r="E708" s="298"/>
      <c r="F708" s="300">
        <v>3212154081</v>
      </c>
      <c r="G708" s="298">
        <v>53053042</v>
      </c>
      <c r="H708" s="298" t="s">
        <v>9054</v>
      </c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</row>
    <row r="709" spans="1:26" ht="14">
      <c r="A709" s="298" t="s">
        <v>9055</v>
      </c>
      <c r="B709" s="298" t="s">
        <v>9056</v>
      </c>
      <c r="C709" s="299">
        <v>506</v>
      </c>
      <c r="D709" s="298" t="s">
        <v>9057</v>
      </c>
      <c r="E709" s="298"/>
      <c r="F709" s="300">
        <v>3142200739</v>
      </c>
      <c r="G709" s="298">
        <v>102625317</v>
      </c>
      <c r="H709" s="298" t="s">
        <v>9058</v>
      </c>
      <c r="I709" s="302">
        <v>6693510</v>
      </c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</row>
    <row r="710" spans="1:26" ht="14">
      <c r="A710" s="298" t="s">
        <v>9059</v>
      </c>
      <c r="B710" s="298" t="s">
        <v>9060</v>
      </c>
      <c r="C710" s="299">
        <v>802</v>
      </c>
      <c r="D710" s="298" t="s">
        <v>9061</v>
      </c>
      <c r="E710" s="298"/>
      <c r="F710" s="300">
        <v>3157776027</v>
      </c>
      <c r="G710" s="298">
        <v>1019015522</v>
      </c>
      <c r="H710" s="298" t="s">
        <v>9062</v>
      </c>
      <c r="I710" s="302">
        <v>6693510</v>
      </c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</row>
    <row r="711" spans="1:26" ht="14">
      <c r="A711" s="298" t="s">
        <v>69</v>
      </c>
      <c r="B711" s="298" t="s">
        <v>9063</v>
      </c>
      <c r="C711" s="299" t="s">
        <v>9064</v>
      </c>
      <c r="D711" s="298"/>
      <c r="E711" s="298"/>
      <c r="F711" s="300">
        <v>3173718442</v>
      </c>
      <c r="G711" s="298">
        <v>79938326</v>
      </c>
      <c r="H711" s="298" t="s">
        <v>9065</v>
      </c>
      <c r="I711" s="302">
        <v>6693510</v>
      </c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</row>
    <row r="712" spans="1:26" ht="14">
      <c r="A712" s="298" t="s">
        <v>9066</v>
      </c>
      <c r="B712" s="298" t="s">
        <v>9067</v>
      </c>
      <c r="C712" s="299">
        <v>806</v>
      </c>
      <c r="D712" s="298"/>
      <c r="E712" s="298"/>
      <c r="F712" s="300">
        <v>3128516592</v>
      </c>
      <c r="G712" s="298">
        <v>71778411</v>
      </c>
      <c r="H712" s="298" t="s">
        <v>9068</v>
      </c>
      <c r="I712" s="302">
        <v>6693510</v>
      </c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</row>
    <row r="713" spans="1:26" ht="14">
      <c r="A713" s="298" t="s">
        <v>9069</v>
      </c>
      <c r="B713" s="298" t="s">
        <v>9070</v>
      </c>
      <c r="C713" s="299">
        <v>605</v>
      </c>
      <c r="D713" s="298" t="s">
        <v>9071</v>
      </c>
      <c r="E713" s="298"/>
      <c r="F713" s="300">
        <v>3042430812</v>
      </c>
      <c r="G713" s="298">
        <v>1004425366</v>
      </c>
      <c r="H713" s="298" t="s">
        <v>9072</v>
      </c>
      <c r="I713" s="302">
        <v>6693510</v>
      </c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</row>
    <row r="714" spans="1:26" ht="14">
      <c r="A714" s="298" t="s">
        <v>9073</v>
      </c>
      <c r="B714" s="298" t="s">
        <v>9074</v>
      </c>
      <c r="C714" s="299">
        <v>607</v>
      </c>
      <c r="D714" s="298" t="s">
        <v>9075</v>
      </c>
      <c r="E714" s="298"/>
      <c r="F714" s="300">
        <v>3184558418</v>
      </c>
      <c r="G714" s="298">
        <v>1019064949</v>
      </c>
      <c r="H714" s="298" t="s">
        <v>9076</v>
      </c>
      <c r="I714" s="302">
        <v>46097</v>
      </c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</row>
    <row r="715" spans="1:26" ht="14">
      <c r="A715" s="298" t="s">
        <v>9077</v>
      </c>
      <c r="B715" s="298" t="s">
        <v>9078</v>
      </c>
      <c r="C715" s="299">
        <v>403</v>
      </c>
      <c r="D715" s="298"/>
      <c r="E715" s="298"/>
      <c r="F715" s="300">
        <v>3112862426</v>
      </c>
      <c r="G715" s="298">
        <v>1018514404</v>
      </c>
      <c r="H715" s="298" t="s">
        <v>9079</v>
      </c>
      <c r="I715" s="302">
        <v>46097</v>
      </c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</row>
    <row r="716" spans="1:26" ht="14">
      <c r="A716" s="298" t="s">
        <v>9080</v>
      </c>
      <c r="B716" s="298" t="s">
        <v>9081</v>
      </c>
      <c r="C716" s="299">
        <v>102</v>
      </c>
      <c r="D716" s="298"/>
      <c r="E716" s="298"/>
      <c r="F716" s="300">
        <v>3223115269</v>
      </c>
      <c r="G716" s="298">
        <v>52862670</v>
      </c>
      <c r="H716" s="298" t="s">
        <v>9082</v>
      </c>
      <c r="I716" s="302">
        <v>46097</v>
      </c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</row>
    <row r="717" spans="1:26" ht="14">
      <c r="A717" s="298" t="s">
        <v>693</v>
      </c>
      <c r="B717" s="298" t="s">
        <v>9083</v>
      </c>
      <c r="C717" s="299">
        <v>503</v>
      </c>
      <c r="D717" s="298" t="s">
        <v>8237</v>
      </c>
      <c r="E717" s="298"/>
      <c r="F717" s="300">
        <v>3175862407</v>
      </c>
      <c r="G717" s="298">
        <v>80417441</v>
      </c>
      <c r="H717" s="298" t="s">
        <v>9084</v>
      </c>
      <c r="I717" s="302">
        <v>46097</v>
      </c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</row>
    <row r="718" spans="1:26" ht="14">
      <c r="A718" s="298" t="s">
        <v>9085</v>
      </c>
      <c r="B718" s="298" t="s">
        <v>9086</v>
      </c>
      <c r="C718" s="299">
        <v>201</v>
      </c>
      <c r="D718" s="298" t="s">
        <v>9087</v>
      </c>
      <c r="E718" s="298"/>
      <c r="F718" s="300">
        <v>3176793111</v>
      </c>
      <c r="G718" s="298">
        <v>1098663768</v>
      </c>
      <c r="H718" s="298" t="s">
        <v>9088</v>
      </c>
      <c r="I718" s="302">
        <v>46097</v>
      </c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</row>
    <row r="719" spans="1:26" ht="14">
      <c r="A719" s="298" t="s">
        <v>9089</v>
      </c>
      <c r="B719" s="298" t="s">
        <v>9090</v>
      </c>
      <c r="C719" s="299">
        <v>403</v>
      </c>
      <c r="D719" s="298" t="s">
        <v>9091</v>
      </c>
      <c r="E719" s="298"/>
      <c r="F719" s="300">
        <v>3134087508</v>
      </c>
      <c r="G719" s="298">
        <v>43157806</v>
      </c>
      <c r="H719" s="298" t="s">
        <v>9092</v>
      </c>
      <c r="I719" s="302">
        <v>46097</v>
      </c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</row>
    <row r="720" spans="1:26" ht="14">
      <c r="A720" s="298" t="s">
        <v>19</v>
      </c>
      <c r="B720" s="298" t="s">
        <v>9093</v>
      </c>
      <c r="C720" s="299" t="s">
        <v>9094</v>
      </c>
      <c r="D720" s="298" t="s">
        <v>9095</v>
      </c>
      <c r="E720" s="298"/>
      <c r="F720" s="300">
        <v>3142475848</v>
      </c>
      <c r="G720" s="298">
        <v>1026586596</v>
      </c>
      <c r="H720" s="298" t="s">
        <v>9096</v>
      </c>
      <c r="I720" s="302">
        <v>46097</v>
      </c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</row>
    <row r="721" spans="1:26" ht="14">
      <c r="A721" s="298" t="s">
        <v>9097</v>
      </c>
      <c r="B721" s="298" t="s">
        <v>9098</v>
      </c>
      <c r="C721" s="299" t="s">
        <v>9099</v>
      </c>
      <c r="D721" s="298" t="s">
        <v>9100</v>
      </c>
      <c r="E721" s="298"/>
      <c r="F721" s="300">
        <v>3204528410</v>
      </c>
      <c r="G721" s="298">
        <v>1032493295</v>
      </c>
      <c r="H721" s="298" t="s">
        <v>9101</v>
      </c>
      <c r="I721" s="302">
        <v>46097</v>
      </c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</row>
    <row r="722" spans="1:26" ht="14">
      <c r="A722" s="298" t="s">
        <v>9102</v>
      </c>
      <c r="B722" s="298" t="s">
        <v>9103</v>
      </c>
      <c r="C722" s="299">
        <v>304</v>
      </c>
      <c r="D722" s="298" t="s">
        <v>9104</v>
      </c>
      <c r="E722" s="298"/>
      <c r="F722" s="300">
        <v>3213119231</v>
      </c>
      <c r="G722" s="298">
        <v>1020805079</v>
      </c>
      <c r="H722" s="298" t="s">
        <v>9105</v>
      </c>
      <c r="I722" s="302">
        <v>46097</v>
      </c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</row>
    <row r="723" spans="1:26" ht="14">
      <c r="A723" s="298" t="s">
        <v>9106</v>
      </c>
      <c r="B723" s="298" t="s">
        <v>9107</v>
      </c>
      <c r="C723" s="299">
        <v>123</v>
      </c>
      <c r="D723" s="298" t="s">
        <v>9108</v>
      </c>
      <c r="E723" s="298"/>
      <c r="F723" s="300">
        <v>3005339919</v>
      </c>
      <c r="G723" s="298">
        <v>1019118763</v>
      </c>
      <c r="H723" s="298" t="s">
        <v>9109</v>
      </c>
      <c r="I723" s="302">
        <v>46097</v>
      </c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</row>
    <row r="724" spans="1:26" ht="14">
      <c r="A724" s="298" t="s">
        <v>9110</v>
      </c>
      <c r="B724" s="298" t="s">
        <v>9111</v>
      </c>
      <c r="C724" s="299">
        <v>203</v>
      </c>
      <c r="D724" s="298"/>
      <c r="E724" s="298"/>
      <c r="F724" s="300">
        <v>3103291287</v>
      </c>
      <c r="G724" s="298">
        <v>80876358</v>
      </c>
      <c r="H724" s="298" t="s">
        <v>9112</v>
      </c>
      <c r="I724" s="302">
        <v>46098</v>
      </c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</row>
    <row r="725" spans="1:26" ht="14">
      <c r="A725" s="298" t="s">
        <v>9113</v>
      </c>
      <c r="B725" s="298" t="s">
        <v>9114</v>
      </c>
      <c r="C725" s="299">
        <v>1802</v>
      </c>
      <c r="D725" s="298" t="s">
        <v>9115</v>
      </c>
      <c r="E725" s="298"/>
      <c r="F725" s="300">
        <v>3183971435</v>
      </c>
      <c r="G725" s="298">
        <v>53133274</v>
      </c>
      <c r="H725" s="298" t="s">
        <v>9116</v>
      </c>
      <c r="I725" s="302">
        <v>46098</v>
      </c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</row>
    <row r="726" spans="1:26" ht="14">
      <c r="A726" s="298" t="s">
        <v>9117</v>
      </c>
      <c r="B726" s="298" t="s">
        <v>9118</v>
      </c>
      <c r="C726" s="299"/>
      <c r="D726" s="298"/>
      <c r="E726" s="298"/>
      <c r="F726" s="300">
        <v>3163480874</v>
      </c>
      <c r="G726" s="298">
        <v>1019092342</v>
      </c>
      <c r="H726" s="298" t="s">
        <v>9119</v>
      </c>
      <c r="I726" s="302">
        <v>46098</v>
      </c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</row>
    <row r="727" spans="1:26" ht="14">
      <c r="A727" s="298" t="s">
        <v>9120</v>
      </c>
      <c r="B727" s="298" t="s">
        <v>9121</v>
      </c>
      <c r="C727" s="299" t="s">
        <v>9122</v>
      </c>
      <c r="D727" s="298" t="s">
        <v>9123</v>
      </c>
      <c r="E727" s="298"/>
      <c r="F727" s="300">
        <v>3143332946</v>
      </c>
      <c r="G727" s="298">
        <v>79622311</v>
      </c>
      <c r="H727" s="298" t="s">
        <v>9124</v>
      </c>
      <c r="I727" s="302">
        <v>46098</v>
      </c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</row>
    <row r="728" spans="1:26" ht="14">
      <c r="A728" s="298" t="s">
        <v>9125</v>
      </c>
      <c r="B728" s="298" t="s">
        <v>9126</v>
      </c>
      <c r="C728" s="299">
        <v>501</v>
      </c>
      <c r="D728" s="298" t="s">
        <v>9127</v>
      </c>
      <c r="E728" s="298"/>
      <c r="F728" s="300">
        <v>3203395406</v>
      </c>
      <c r="G728" s="298">
        <v>1026274960</v>
      </c>
      <c r="H728" s="298" t="s">
        <v>9128</v>
      </c>
      <c r="I728" s="302">
        <v>46098</v>
      </c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</row>
    <row r="729" spans="1:26" ht="14">
      <c r="A729" s="298" t="s">
        <v>2654</v>
      </c>
      <c r="B729" s="298" t="s">
        <v>9129</v>
      </c>
      <c r="C729" s="299"/>
      <c r="D729" s="298" t="s">
        <v>9130</v>
      </c>
      <c r="E729" s="298"/>
      <c r="F729" s="300">
        <v>3114643047</v>
      </c>
      <c r="G729" s="298">
        <v>52997836</v>
      </c>
      <c r="H729" s="298" t="s">
        <v>9131</v>
      </c>
      <c r="I729" s="302">
        <v>46098</v>
      </c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</row>
    <row r="730" spans="1:26" ht="14">
      <c r="A730" s="298" t="s">
        <v>9132</v>
      </c>
      <c r="B730" s="298" t="s">
        <v>9133</v>
      </c>
      <c r="C730" s="299">
        <v>501</v>
      </c>
      <c r="D730" s="298"/>
      <c r="E730" s="298"/>
      <c r="F730" s="300">
        <v>3112709657</v>
      </c>
      <c r="G730" s="298">
        <v>1000595823</v>
      </c>
      <c r="H730" s="298" t="s">
        <v>9134</v>
      </c>
      <c r="I730" s="302">
        <v>46098</v>
      </c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</row>
    <row r="731" spans="1:26" ht="14">
      <c r="A731" s="298" t="s">
        <v>9135</v>
      </c>
      <c r="B731" s="298" t="s">
        <v>9136</v>
      </c>
      <c r="C731" s="299">
        <v>1131</v>
      </c>
      <c r="D731" s="298" t="s">
        <v>9137</v>
      </c>
      <c r="E731" s="298" t="s">
        <v>9138</v>
      </c>
      <c r="F731" s="300">
        <v>3133207503</v>
      </c>
      <c r="G731" s="298">
        <v>20760244</v>
      </c>
      <c r="H731" s="298" t="s">
        <v>9139</v>
      </c>
      <c r="I731" s="302">
        <v>46098</v>
      </c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</row>
    <row r="732" spans="1:26" ht="14">
      <c r="A732" s="298" t="s">
        <v>9140</v>
      </c>
      <c r="B732" s="298" t="s">
        <v>9141</v>
      </c>
      <c r="C732" s="299">
        <v>304</v>
      </c>
      <c r="D732" s="298" t="s">
        <v>9142</v>
      </c>
      <c r="E732" s="298"/>
      <c r="F732" s="300">
        <v>3118650533</v>
      </c>
      <c r="G732" s="298">
        <v>1018434407</v>
      </c>
      <c r="H732" s="298" t="s">
        <v>9143</v>
      </c>
      <c r="I732" s="302">
        <v>46098</v>
      </c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</row>
    <row r="733" spans="1:26" ht="14">
      <c r="A733" s="298" t="s">
        <v>9144</v>
      </c>
      <c r="B733" s="298" t="s">
        <v>9145</v>
      </c>
      <c r="C733" s="299">
        <v>302</v>
      </c>
      <c r="D733" s="298" t="s">
        <v>9146</v>
      </c>
      <c r="E733" s="298"/>
      <c r="F733" s="300">
        <v>3142963032</v>
      </c>
      <c r="G733" s="298">
        <v>1020833446</v>
      </c>
      <c r="H733" s="298" t="s">
        <v>9147</v>
      </c>
      <c r="I733" s="302">
        <v>46098</v>
      </c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</row>
    <row r="734" spans="1:26" ht="14">
      <c r="A734" s="298" t="s">
        <v>9148</v>
      </c>
      <c r="B734" s="298" t="s">
        <v>9149</v>
      </c>
      <c r="C734" s="299">
        <v>1025</v>
      </c>
      <c r="D734" s="298" t="s">
        <v>9150</v>
      </c>
      <c r="E734" s="298"/>
      <c r="F734" s="313">
        <v>3003512514</v>
      </c>
      <c r="G734" s="298">
        <v>52709356</v>
      </c>
      <c r="H734" s="298" t="s">
        <v>9151</v>
      </c>
      <c r="I734" s="302">
        <v>46098</v>
      </c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</row>
    <row r="735" spans="1:26" ht="14">
      <c r="A735" s="298" t="s">
        <v>1315</v>
      </c>
      <c r="B735" s="298" t="s">
        <v>9152</v>
      </c>
      <c r="C735" s="299">
        <v>301</v>
      </c>
      <c r="D735" s="298"/>
      <c r="E735" s="298"/>
      <c r="F735" s="300">
        <v>3143316287</v>
      </c>
      <c r="G735" s="298">
        <v>1020731676</v>
      </c>
      <c r="H735" s="298" t="s">
        <v>9153</v>
      </c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</row>
    <row r="736" spans="1:26" ht="14">
      <c r="A736" s="298" t="s">
        <v>9154</v>
      </c>
      <c r="B736" s="298" t="s">
        <v>9155</v>
      </c>
      <c r="C736" s="299" t="s">
        <v>9156</v>
      </c>
      <c r="D736" s="298"/>
      <c r="E736" s="298"/>
      <c r="F736" s="300">
        <v>3118536308</v>
      </c>
      <c r="G736" s="298">
        <v>1018409784</v>
      </c>
      <c r="H736" s="298" t="s">
        <v>9157</v>
      </c>
      <c r="I736" s="302">
        <v>46098</v>
      </c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</row>
    <row r="737" spans="1:26" ht="14">
      <c r="A737" s="298" t="s">
        <v>9158</v>
      </c>
      <c r="B737" s="298" t="s">
        <v>9159</v>
      </c>
      <c r="C737" s="299">
        <v>304</v>
      </c>
      <c r="D737" s="298"/>
      <c r="E737" s="298"/>
      <c r="F737" s="300">
        <v>3112807036</v>
      </c>
      <c r="G737" s="298">
        <v>1032454933</v>
      </c>
      <c r="H737" s="298" t="s">
        <v>9160</v>
      </c>
      <c r="I737" s="302">
        <v>46098</v>
      </c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</row>
    <row r="738" spans="1:26" ht="14">
      <c r="A738" s="298" t="s">
        <v>107</v>
      </c>
      <c r="B738" s="298" t="s">
        <v>9161</v>
      </c>
      <c r="C738" s="299">
        <v>303</v>
      </c>
      <c r="D738" s="298" t="s">
        <v>9162</v>
      </c>
      <c r="E738" s="298"/>
      <c r="F738" s="300">
        <v>3122747097</v>
      </c>
      <c r="G738" s="298">
        <v>1037667174</v>
      </c>
      <c r="H738" s="298" t="s">
        <v>9163</v>
      </c>
      <c r="I738" s="302">
        <v>46098</v>
      </c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</row>
    <row r="739" spans="1:26" ht="14">
      <c r="A739" s="298" t="s">
        <v>1304</v>
      </c>
      <c r="B739" s="298" t="s">
        <v>9164</v>
      </c>
      <c r="C739" s="299">
        <v>403</v>
      </c>
      <c r="D739" s="298" t="s">
        <v>9165</v>
      </c>
      <c r="E739" s="298"/>
      <c r="F739" s="300">
        <v>3148800984</v>
      </c>
      <c r="G739" s="298">
        <v>51626685</v>
      </c>
      <c r="H739" s="298" t="s">
        <v>9166</v>
      </c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</row>
    <row r="740" spans="1:26" ht="14">
      <c r="A740" s="298" t="s">
        <v>79</v>
      </c>
      <c r="B740" s="298" t="s">
        <v>9167</v>
      </c>
      <c r="C740" s="299">
        <v>203</v>
      </c>
      <c r="D740" s="298" t="s">
        <v>9168</v>
      </c>
      <c r="E740" s="298"/>
      <c r="F740" s="300">
        <v>3043827126</v>
      </c>
      <c r="G740" s="298">
        <v>1020816071</v>
      </c>
      <c r="H740" s="298" t="s">
        <v>9169</v>
      </c>
      <c r="I740" s="302">
        <v>46098</v>
      </c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</row>
    <row r="741" spans="1:26" ht="14">
      <c r="A741" s="298" t="s">
        <v>9170</v>
      </c>
      <c r="B741" s="298" t="s">
        <v>9171</v>
      </c>
      <c r="C741" s="299">
        <v>801</v>
      </c>
      <c r="D741" s="298" t="s">
        <v>9172</v>
      </c>
      <c r="E741" s="298"/>
      <c r="F741" s="300">
        <v>3185935094</v>
      </c>
      <c r="G741" s="298">
        <v>1026291869</v>
      </c>
      <c r="H741" s="298" t="s">
        <v>9173</v>
      </c>
      <c r="I741" s="302">
        <v>46098</v>
      </c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</row>
    <row r="742" spans="1:26" ht="14">
      <c r="A742" s="298" t="s">
        <v>2211</v>
      </c>
      <c r="B742" s="298" t="s">
        <v>9174</v>
      </c>
      <c r="C742" s="299">
        <v>501</v>
      </c>
      <c r="D742" s="298"/>
      <c r="E742" s="298"/>
      <c r="F742" s="300">
        <v>3205185923</v>
      </c>
      <c r="G742" s="298">
        <v>41938741</v>
      </c>
      <c r="H742" s="298" t="s">
        <v>9175</v>
      </c>
      <c r="I742" s="302">
        <v>46071</v>
      </c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</row>
    <row r="743" spans="1:26" ht="14">
      <c r="A743" s="298" t="s">
        <v>100</v>
      </c>
      <c r="B743" s="298" t="s">
        <v>9176</v>
      </c>
      <c r="C743" s="299">
        <v>603</v>
      </c>
      <c r="D743" s="298" t="s">
        <v>9177</v>
      </c>
      <c r="E743" s="298"/>
      <c r="F743" s="300">
        <v>3108708343</v>
      </c>
      <c r="G743" s="298">
        <v>1032447310</v>
      </c>
      <c r="H743" s="298" t="s">
        <v>9178</v>
      </c>
      <c r="I743" s="302">
        <v>46098</v>
      </c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</row>
    <row r="744" spans="1:26" ht="14">
      <c r="A744" s="298" t="s">
        <v>9179</v>
      </c>
      <c r="B744" s="298" t="s">
        <v>9180</v>
      </c>
      <c r="C744" s="299">
        <v>401</v>
      </c>
      <c r="D744" s="298" t="s">
        <v>9181</v>
      </c>
      <c r="E744" s="298"/>
      <c r="F744" s="300">
        <v>3012469826</v>
      </c>
      <c r="G744" s="298">
        <v>1018419032</v>
      </c>
      <c r="H744" s="298" t="s">
        <v>9182</v>
      </c>
      <c r="I744" s="302">
        <v>46098</v>
      </c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</row>
    <row r="745" spans="1:26" ht="14">
      <c r="A745" s="298" t="s">
        <v>23</v>
      </c>
      <c r="B745" s="298" t="s">
        <v>9183</v>
      </c>
      <c r="C745" s="299">
        <v>208</v>
      </c>
      <c r="D745" s="298"/>
      <c r="E745" s="298"/>
      <c r="F745" s="300">
        <v>3144458008</v>
      </c>
      <c r="G745" s="298">
        <v>1020792057</v>
      </c>
      <c r="H745" s="298" t="s">
        <v>9184</v>
      </c>
      <c r="I745" s="302">
        <v>46098</v>
      </c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</row>
    <row r="746" spans="1:26" ht="14">
      <c r="A746" s="298" t="s">
        <v>9185</v>
      </c>
      <c r="B746" s="298" t="s">
        <v>9186</v>
      </c>
      <c r="C746" s="299">
        <v>101</v>
      </c>
      <c r="D746" s="298" t="s">
        <v>9187</v>
      </c>
      <c r="E746" s="298" t="s">
        <v>9188</v>
      </c>
      <c r="F746" s="300">
        <v>3168305364</v>
      </c>
      <c r="G746" s="298">
        <v>1010178951</v>
      </c>
      <c r="H746" s="298" t="s">
        <v>9189</v>
      </c>
      <c r="I746" s="302">
        <v>46098</v>
      </c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</row>
    <row r="747" spans="1:26" ht="14">
      <c r="A747" s="298" t="s">
        <v>9190</v>
      </c>
      <c r="B747" s="298" t="s">
        <v>9191</v>
      </c>
      <c r="C747" s="299">
        <v>505</v>
      </c>
      <c r="D747" s="298"/>
      <c r="E747" s="298"/>
      <c r="F747" s="300" t="s">
        <v>9192</v>
      </c>
      <c r="G747" s="298">
        <v>80096375</v>
      </c>
      <c r="H747" s="298" t="s">
        <v>9193</v>
      </c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</row>
    <row r="748" spans="1:26" ht="14">
      <c r="A748" s="298" t="s">
        <v>9194</v>
      </c>
      <c r="B748" s="298" t="s">
        <v>9195</v>
      </c>
      <c r="C748" s="299">
        <v>511</v>
      </c>
      <c r="D748" s="298" t="s">
        <v>9196</v>
      </c>
      <c r="E748" s="298"/>
      <c r="F748" s="300">
        <v>3148807747</v>
      </c>
      <c r="G748" s="298">
        <v>1037589922</v>
      </c>
      <c r="H748" s="298" t="s">
        <v>9197</v>
      </c>
      <c r="I748" s="302">
        <v>46098</v>
      </c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</row>
    <row r="749" spans="1:26" ht="14">
      <c r="A749" s="298" t="s">
        <v>9198</v>
      </c>
      <c r="B749" s="298" t="s">
        <v>9199</v>
      </c>
      <c r="C749" s="299">
        <v>602</v>
      </c>
      <c r="D749" s="298"/>
      <c r="E749" s="298"/>
      <c r="F749" s="300">
        <v>3164602574</v>
      </c>
      <c r="G749" s="298">
        <v>35467002</v>
      </c>
      <c r="H749" s="298" t="s">
        <v>9200</v>
      </c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</row>
    <row r="750" spans="1:26" ht="14">
      <c r="A750" s="298" t="s">
        <v>1494</v>
      </c>
      <c r="B750" s="298" t="s">
        <v>9201</v>
      </c>
      <c r="C750" s="299">
        <v>416</v>
      </c>
      <c r="D750" s="298"/>
      <c r="E750" s="298"/>
      <c r="F750" s="300">
        <v>3158350404</v>
      </c>
      <c r="G750" s="298">
        <v>52696797</v>
      </c>
      <c r="H750" s="298" t="s">
        <v>9202</v>
      </c>
      <c r="I750" s="302">
        <v>46098</v>
      </c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</row>
    <row r="751" spans="1:26" ht="14">
      <c r="A751" s="298" t="s">
        <v>9203</v>
      </c>
      <c r="B751" s="298" t="s">
        <v>9204</v>
      </c>
      <c r="C751" s="299"/>
      <c r="D751" s="298"/>
      <c r="E751" s="298"/>
      <c r="F751" s="300">
        <v>3043121528</v>
      </c>
      <c r="G751" s="298">
        <v>1001288215</v>
      </c>
      <c r="H751" s="298" t="s">
        <v>9205</v>
      </c>
      <c r="I751" s="302">
        <v>46098</v>
      </c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</row>
    <row r="752" spans="1:26" ht="14">
      <c r="A752" s="332" t="s">
        <v>9206</v>
      </c>
      <c r="B752" s="332" t="s">
        <v>9207</v>
      </c>
      <c r="C752" s="341"/>
      <c r="D752" s="332" t="s">
        <v>9208</v>
      </c>
      <c r="E752" s="332"/>
      <c r="F752" s="342">
        <v>3202137917</v>
      </c>
      <c r="G752" s="332">
        <v>1016051050</v>
      </c>
      <c r="H752" s="332" t="s">
        <v>9209</v>
      </c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</row>
    <row r="753" spans="1:26" ht="14">
      <c r="A753" s="298" t="s">
        <v>136</v>
      </c>
      <c r="B753" s="298" t="s">
        <v>9210</v>
      </c>
      <c r="C753" s="299">
        <v>302</v>
      </c>
      <c r="D753" s="298"/>
      <c r="E753" s="298"/>
      <c r="F753" s="300">
        <v>3134802036</v>
      </c>
      <c r="G753" s="298">
        <v>52716222</v>
      </c>
      <c r="H753" s="298" t="s">
        <v>9211</v>
      </c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</row>
    <row r="754" spans="1:26" ht="19.5" customHeight="1">
      <c r="A754" s="298" t="s">
        <v>99</v>
      </c>
      <c r="B754" s="298" t="s">
        <v>9212</v>
      </c>
      <c r="C754" s="299">
        <v>502</v>
      </c>
      <c r="D754" s="298"/>
      <c r="E754" s="298"/>
      <c r="F754" s="300">
        <v>3167403237</v>
      </c>
      <c r="G754" s="298">
        <v>52453764</v>
      </c>
      <c r="H754" s="298" t="s">
        <v>9213</v>
      </c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</row>
    <row r="755" spans="1:26" ht="14">
      <c r="A755" s="332" t="s">
        <v>9214</v>
      </c>
      <c r="B755" s="332" t="s">
        <v>9215</v>
      </c>
      <c r="C755" s="341">
        <v>602</v>
      </c>
      <c r="D755" s="332" t="s">
        <v>9216</v>
      </c>
      <c r="E755" s="332"/>
      <c r="F755" s="342">
        <v>3182702844</v>
      </c>
      <c r="G755" s="332">
        <v>1143877561</v>
      </c>
      <c r="H755" s="332" t="s">
        <v>9217</v>
      </c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</row>
    <row r="756" spans="1:26" ht="14">
      <c r="A756" s="298" t="s">
        <v>150</v>
      </c>
      <c r="B756" s="298" t="s">
        <v>9218</v>
      </c>
      <c r="C756" s="299">
        <v>605</v>
      </c>
      <c r="D756" s="298"/>
      <c r="E756" s="298"/>
      <c r="F756" s="300">
        <v>3108860501</v>
      </c>
      <c r="G756" s="298">
        <v>1013645159</v>
      </c>
      <c r="H756" s="298" t="s">
        <v>9219</v>
      </c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</row>
    <row r="757" spans="1:26" ht="14">
      <c r="A757" s="298" t="s">
        <v>9220</v>
      </c>
      <c r="B757" s="298" t="s">
        <v>9221</v>
      </c>
      <c r="C757" s="299">
        <v>201</v>
      </c>
      <c r="D757" s="298"/>
      <c r="E757" s="298"/>
      <c r="F757" s="300">
        <v>3166526277</v>
      </c>
      <c r="G757" s="298">
        <v>52057077</v>
      </c>
      <c r="H757" s="298" t="s">
        <v>9222</v>
      </c>
      <c r="I757" s="302">
        <v>46098</v>
      </c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</row>
    <row r="758" spans="1:26" ht="14">
      <c r="A758" s="332" t="s">
        <v>9223</v>
      </c>
      <c r="B758" s="332" t="s">
        <v>9224</v>
      </c>
      <c r="C758" s="341">
        <v>708</v>
      </c>
      <c r="D758" s="332" t="s">
        <v>9225</v>
      </c>
      <c r="E758" s="332"/>
      <c r="F758" s="342">
        <v>3105919795</v>
      </c>
      <c r="G758" s="332">
        <v>67029058</v>
      </c>
      <c r="H758" s="332" t="s">
        <v>9226</v>
      </c>
      <c r="I758" s="343"/>
      <c r="J758" s="343"/>
      <c r="K758" s="343"/>
      <c r="L758" s="343"/>
      <c r="M758" s="343"/>
      <c r="N758" s="343"/>
      <c r="O758" s="343"/>
      <c r="P758" s="343"/>
      <c r="Q758" s="343"/>
      <c r="R758" s="343"/>
      <c r="S758" s="343"/>
      <c r="T758" s="343"/>
      <c r="U758" s="343"/>
      <c r="V758" s="343"/>
      <c r="W758" s="343"/>
      <c r="X758" s="343"/>
      <c r="Y758" s="343"/>
      <c r="Z758" s="343"/>
    </row>
    <row r="759" spans="1:26" ht="14">
      <c r="A759" s="298" t="s">
        <v>137</v>
      </c>
      <c r="B759" s="298" t="s">
        <v>9227</v>
      </c>
      <c r="C759" s="299">
        <v>202</v>
      </c>
      <c r="D759" s="298" t="s">
        <v>9228</v>
      </c>
      <c r="E759" s="298"/>
      <c r="F759" s="300">
        <v>3153630900</v>
      </c>
      <c r="G759" s="298">
        <v>19288103</v>
      </c>
      <c r="H759" s="298" t="s">
        <v>9229</v>
      </c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</row>
    <row r="760" spans="1:26" ht="14">
      <c r="A760" s="298" t="s">
        <v>378</v>
      </c>
      <c r="B760" s="298" t="s">
        <v>9230</v>
      </c>
      <c r="C760" s="299">
        <v>401</v>
      </c>
      <c r="D760" s="298"/>
      <c r="E760" s="298"/>
      <c r="F760" s="300">
        <v>3144362300</v>
      </c>
      <c r="G760" s="298">
        <v>41332177</v>
      </c>
      <c r="H760" s="298" t="s">
        <v>9231</v>
      </c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</row>
    <row r="761" spans="1:26" ht="14">
      <c r="A761" s="298" t="s">
        <v>9232</v>
      </c>
      <c r="B761" s="298" t="s">
        <v>9233</v>
      </c>
      <c r="C761" s="299">
        <v>201</v>
      </c>
      <c r="D761" s="298"/>
      <c r="E761" s="298"/>
      <c r="F761" s="300">
        <v>3142470182</v>
      </c>
      <c r="G761" s="298">
        <v>1014197109</v>
      </c>
      <c r="H761" s="298" t="s">
        <v>9234</v>
      </c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</row>
    <row r="762" spans="1:26" ht="14">
      <c r="A762" s="298" t="s">
        <v>497</v>
      </c>
      <c r="B762" s="298" t="s">
        <v>9235</v>
      </c>
      <c r="C762" s="299">
        <v>501</v>
      </c>
      <c r="D762" s="298"/>
      <c r="E762" s="298"/>
      <c r="F762" s="300">
        <v>3203428138</v>
      </c>
      <c r="G762" s="298">
        <v>1019097179</v>
      </c>
      <c r="H762" s="298" t="s">
        <v>9236</v>
      </c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</row>
    <row r="763" spans="1:26" ht="14">
      <c r="A763" s="298" t="s">
        <v>9237</v>
      </c>
      <c r="B763" s="298" t="s">
        <v>9238</v>
      </c>
      <c r="C763" s="299">
        <v>204</v>
      </c>
      <c r="D763" s="298" t="s">
        <v>9239</v>
      </c>
      <c r="E763" s="298"/>
      <c r="F763" s="300">
        <v>3164931682</v>
      </c>
      <c r="G763" s="298">
        <v>1007557853</v>
      </c>
      <c r="H763" s="298" t="s">
        <v>9240</v>
      </c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</row>
    <row r="764" spans="1:26" ht="14">
      <c r="A764" s="298" t="s">
        <v>385</v>
      </c>
      <c r="B764" s="298" t="s">
        <v>9241</v>
      </c>
      <c r="C764" s="299">
        <v>215</v>
      </c>
      <c r="D764" s="298"/>
      <c r="E764" s="298"/>
      <c r="F764" s="300">
        <v>3177147486</v>
      </c>
      <c r="G764" s="298">
        <v>80424105</v>
      </c>
      <c r="H764" s="298" t="s">
        <v>9242</v>
      </c>
      <c r="I764" s="302">
        <v>46098</v>
      </c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</row>
    <row r="765" spans="1:26" ht="14">
      <c r="A765" s="298" t="s">
        <v>2549</v>
      </c>
      <c r="B765" s="298" t="s">
        <v>9243</v>
      </c>
      <c r="C765" s="299">
        <v>203</v>
      </c>
      <c r="D765" s="298" t="s">
        <v>9244</v>
      </c>
      <c r="E765" s="298"/>
      <c r="F765" s="300">
        <v>3042655804</v>
      </c>
      <c r="G765" s="298">
        <v>1001063766</v>
      </c>
      <c r="H765" s="298" t="s">
        <v>9245</v>
      </c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</row>
    <row r="766" spans="1:26" ht="14">
      <c r="A766" s="298" t="s">
        <v>1232</v>
      </c>
      <c r="B766" s="298" t="s">
        <v>9246</v>
      </c>
      <c r="C766" s="299"/>
      <c r="D766" s="298" t="s">
        <v>9247</v>
      </c>
      <c r="E766" s="298"/>
      <c r="F766" s="300">
        <v>3228237520</v>
      </c>
      <c r="G766" s="298">
        <v>8152999</v>
      </c>
      <c r="H766" s="298" t="s">
        <v>9248</v>
      </c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</row>
    <row r="767" spans="1:26" ht="14">
      <c r="A767" s="298" t="s">
        <v>9249</v>
      </c>
      <c r="B767" s="298" t="s">
        <v>9250</v>
      </c>
      <c r="C767" s="299" t="s">
        <v>7072</v>
      </c>
      <c r="D767" s="298" t="s">
        <v>9251</v>
      </c>
      <c r="E767" s="298" t="s">
        <v>9252</v>
      </c>
      <c r="F767" s="300">
        <v>3195848387</v>
      </c>
      <c r="G767" s="298">
        <v>1013597831</v>
      </c>
      <c r="H767" s="298" t="s">
        <v>9253</v>
      </c>
      <c r="I767" s="302">
        <v>46098</v>
      </c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</row>
    <row r="768" spans="1:26" ht="14">
      <c r="A768" s="298" t="s">
        <v>9254</v>
      </c>
      <c r="B768" s="298" t="s">
        <v>9255</v>
      </c>
      <c r="C768" s="299" t="s">
        <v>7072</v>
      </c>
      <c r="D768" s="298" t="s">
        <v>9256</v>
      </c>
      <c r="E768" s="298"/>
      <c r="F768" s="300">
        <v>3107604881</v>
      </c>
      <c r="G768" s="298">
        <v>79388919</v>
      </c>
      <c r="H768" s="298" t="s">
        <v>9257</v>
      </c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</row>
    <row r="769" spans="1:26" ht="14">
      <c r="A769" s="298" t="s">
        <v>1648</v>
      </c>
      <c r="B769" s="298" t="s">
        <v>9258</v>
      </c>
      <c r="C769" s="299"/>
      <c r="D769" s="298"/>
      <c r="E769" s="298"/>
      <c r="F769" s="300">
        <v>3134992090</v>
      </c>
      <c r="G769" s="298">
        <v>1020816973</v>
      </c>
      <c r="H769" s="298" t="s">
        <v>9259</v>
      </c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</row>
    <row r="770" spans="1:26" ht="14">
      <c r="A770" s="298" t="s">
        <v>285</v>
      </c>
      <c r="B770" s="298" t="s">
        <v>9260</v>
      </c>
      <c r="C770" s="299">
        <v>108</v>
      </c>
      <c r="D770" s="298"/>
      <c r="E770" s="298"/>
      <c r="F770" s="300">
        <v>3167440678</v>
      </c>
      <c r="G770" s="298">
        <v>79340064</v>
      </c>
      <c r="H770" s="298" t="s">
        <v>9261</v>
      </c>
      <c r="I770" s="302">
        <v>46098</v>
      </c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</row>
    <row r="771" spans="1:26" ht="14">
      <c r="A771" s="298" t="s">
        <v>9262</v>
      </c>
      <c r="B771" s="298" t="s">
        <v>9263</v>
      </c>
      <c r="C771" s="299">
        <v>201</v>
      </c>
      <c r="D771" s="298" t="s">
        <v>9264</v>
      </c>
      <c r="E771" s="298"/>
      <c r="F771" s="300">
        <v>3214995962</v>
      </c>
      <c r="G771" s="298">
        <v>1094282579</v>
      </c>
      <c r="H771" s="298" t="s">
        <v>9265</v>
      </c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</row>
    <row r="772" spans="1:26" ht="14">
      <c r="A772" s="298" t="s">
        <v>14</v>
      </c>
      <c r="B772" s="298" t="s">
        <v>9266</v>
      </c>
      <c r="C772" s="299">
        <v>605</v>
      </c>
      <c r="D772" s="298"/>
      <c r="E772" s="298" t="s">
        <v>9267</v>
      </c>
      <c r="F772" s="300">
        <v>3118905788</v>
      </c>
      <c r="G772" s="298">
        <v>1024553035</v>
      </c>
      <c r="H772" s="298" t="s">
        <v>9268</v>
      </c>
      <c r="I772" s="302">
        <v>46098</v>
      </c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</row>
    <row r="773" spans="1:26" ht="14">
      <c r="A773" s="298" t="s">
        <v>83</v>
      </c>
      <c r="B773" s="298" t="s">
        <v>9269</v>
      </c>
      <c r="C773" s="299"/>
      <c r="D773" s="298" t="s">
        <v>9270</v>
      </c>
      <c r="E773" s="298"/>
      <c r="F773" s="300">
        <v>3174463701</v>
      </c>
      <c r="G773" s="298">
        <v>1032471990</v>
      </c>
      <c r="H773" s="298" t="s">
        <v>9271</v>
      </c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</row>
    <row r="774" spans="1:26" ht="14">
      <c r="A774" s="298" t="s">
        <v>9272</v>
      </c>
      <c r="B774" s="298" t="s">
        <v>9273</v>
      </c>
      <c r="C774" s="299">
        <v>1215</v>
      </c>
      <c r="D774" s="298" t="s">
        <v>9274</v>
      </c>
      <c r="E774" s="298"/>
      <c r="F774" s="300">
        <v>3028309027</v>
      </c>
      <c r="G774" s="298">
        <v>1072665231</v>
      </c>
      <c r="H774" s="298" t="s">
        <v>9275</v>
      </c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</row>
    <row r="775" spans="1:26" ht="14">
      <c r="A775" s="298" t="s">
        <v>9276</v>
      </c>
      <c r="B775" s="298" t="s">
        <v>9277</v>
      </c>
      <c r="C775" s="299">
        <v>727</v>
      </c>
      <c r="D775" s="298" t="s">
        <v>9278</v>
      </c>
      <c r="E775" s="298"/>
      <c r="F775" s="300">
        <v>3144459842</v>
      </c>
      <c r="G775" s="298">
        <v>45514562</v>
      </c>
      <c r="H775" s="298" t="s">
        <v>9279</v>
      </c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</row>
    <row r="776" spans="1:26" ht="14">
      <c r="A776" s="298" t="s">
        <v>9280</v>
      </c>
      <c r="B776" s="298" t="s">
        <v>9281</v>
      </c>
      <c r="C776" s="299" t="s">
        <v>9282</v>
      </c>
      <c r="D776" s="298" t="s">
        <v>9283</v>
      </c>
      <c r="E776" s="298"/>
      <c r="F776" s="300">
        <v>3206737615</v>
      </c>
      <c r="G776" s="298">
        <v>52108133</v>
      </c>
      <c r="H776" s="298" t="s">
        <v>9284</v>
      </c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</row>
    <row r="777" spans="1:26" ht="14">
      <c r="A777" s="298" t="s">
        <v>9285</v>
      </c>
      <c r="B777" s="298" t="s">
        <v>9286</v>
      </c>
      <c r="C777" s="299">
        <v>717</v>
      </c>
      <c r="D777" s="298" t="s">
        <v>9287</v>
      </c>
      <c r="E777" s="298"/>
      <c r="F777" s="300">
        <v>3167346657</v>
      </c>
      <c r="G777" s="298">
        <v>1047427038</v>
      </c>
      <c r="H777" s="298" t="s">
        <v>9288</v>
      </c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</row>
    <row r="778" spans="1:26" ht="14">
      <c r="A778" s="298" t="s">
        <v>9289</v>
      </c>
      <c r="B778" s="298" t="s">
        <v>9290</v>
      </c>
      <c r="C778" s="299">
        <v>402</v>
      </c>
      <c r="D778" s="298" t="s">
        <v>9291</v>
      </c>
      <c r="E778" s="298"/>
      <c r="F778" s="300">
        <v>3105661520</v>
      </c>
      <c r="G778" s="298">
        <v>1001088435</v>
      </c>
      <c r="H778" s="298" t="s">
        <v>9292</v>
      </c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</row>
    <row r="779" spans="1:26" ht="14">
      <c r="A779" s="298" t="s">
        <v>9293</v>
      </c>
      <c r="B779" s="298" t="s">
        <v>9294</v>
      </c>
      <c r="C779" s="299">
        <v>105</v>
      </c>
      <c r="D779" s="298"/>
      <c r="E779" s="298"/>
      <c r="F779" s="300">
        <v>3168015891</v>
      </c>
      <c r="G779" s="298">
        <v>1018437583</v>
      </c>
      <c r="H779" s="298" t="s">
        <v>9295</v>
      </c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</row>
    <row r="780" spans="1:26" ht="14">
      <c r="A780" s="298" t="s">
        <v>1538</v>
      </c>
      <c r="B780" s="298" t="s">
        <v>9296</v>
      </c>
      <c r="C780" s="299" t="s">
        <v>9297</v>
      </c>
      <c r="D780" s="298" t="s">
        <v>9298</v>
      </c>
      <c r="E780" s="298"/>
      <c r="F780" s="300">
        <v>3196603199</v>
      </c>
      <c r="G780" s="298">
        <v>1031163214</v>
      </c>
      <c r="H780" s="298" t="s">
        <v>9299</v>
      </c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</row>
    <row r="781" spans="1:26" ht="14">
      <c r="A781" s="298" t="s">
        <v>9300</v>
      </c>
      <c r="B781" s="298" t="s">
        <v>9301</v>
      </c>
      <c r="C781" s="299">
        <v>424</v>
      </c>
      <c r="D781" s="298" t="s">
        <v>3129</v>
      </c>
      <c r="E781" s="298"/>
      <c r="F781" s="300">
        <v>3212017916</v>
      </c>
      <c r="G781" s="313">
        <v>1010234223</v>
      </c>
      <c r="H781" s="298" t="s">
        <v>9302</v>
      </c>
      <c r="I781" s="301" t="s">
        <v>9303</v>
      </c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</row>
    <row r="782" spans="1:26" ht="14">
      <c r="A782" s="298" t="s">
        <v>9304</v>
      </c>
      <c r="B782" s="298" t="s">
        <v>9305</v>
      </c>
      <c r="C782" s="299">
        <v>532</v>
      </c>
      <c r="D782" s="298"/>
      <c r="E782" s="298"/>
      <c r="F782" s="300">
        <v>3177001910</v>
      </c>
      <c r="G782" s="298">
        <v>1020784353</v>
      </c>
      <c r="H782" s="298" t="s">
        <v>9306</v>
      </c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</row>
    <row r="783" spans="1:26" ht="14">
      <c r="A783" s="298" t="s">
        <v>9307</v>
      </c>
      <c r="B783" s="298" t="s">
        <v>9308</v>
      </c>
      <c r="C783" s="299">
        <v>301</v>
      </c>
      <c r="D783" s="298" t="s">
        <v>9309</v>
      </c>
      <c r="E783" s="298"/>
      <c r="F783" s="300">
        <v>3178250914</v>
      </c>
      <c r="G783" s="298">
        <v>1005744169</v>
      </c>
      <c r="H783" s="298" t="s">
        <v>9310</v>
      </c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</row>
    <row r="784" spans="1:26" ht="14">
      <c r="A784" s="298" t="s">
        <v>9311</v>
      </c>
      <c r="B784" s="298" t="s">
        <v>9312</v>
      </c>
      <c r="C784" s="299">
        <v>2304</v>
      </c>
      <c r="D784" s="298" t="s">
        <v>9313</v>
      </c>
      <c r="E784" s="298"/>
      <c r="F784" s="300">
        <v>3153640078</v>
      </c>
      <c r="G784" s="298">
        <v>1026592873</v>
      </c>
      <c r="H784" s="298" t="s">
        <v>9314</v>
      </c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</row>
    <row r="785" spans="1:26" ht="14">
      <c r="A785" s="298" t="s">
        <v>9315</v>
      </c>
      <c r="B785" s="298" t="s">
        <v>9316</v>
      </c>
      <c r="C785" s="299">
        <v>501</v>
      </c>
      <c r="D785" s="298" t="s">
        <v>9317</v>
      </c>
      <c r="E785" s="298"/>
      <c r="F785" s="300">
        <v>3105724825</v>
      </c>
      <c r="G785" s="298">
        <v>1000145602</v>
      </c>
      <c r="H785" s="298" t="s">
        <v>9318</v>
      </c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</row>
    <row r="786" spans="1:26" ht="14">
      <c r="A786" s="298" t="s">
        <v>9319</v>
      </c>
      <c r="B786" s="298" t="s">
        <v>9320</v>
      </c>
      <c r="C786" s="299">
        <v>106</v>
      </c>
      <c r="D786" s="298" t="s">
        <v>9321</v>
      </c>
      <c r="E786" s="298"/>
      <c r="F786" s="300">
        <v>3103465401</v>
      </c>
      <c r="G786" s="298">
        <v>1018457534</v>
      </c>
      <c r="H786" s="298" t="s">
        <v>9322</v>
      </c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</row>
    <row r="787" spans="1:26" ht="14">
      <c r="A787" s="298" t="s">
        <v>9323</v>
      </c>
      <c r="B787" s="298" t="s">
        <v>9324</v>
      </c>
      <c r="C787" s="299"/>
      <c r="D787" s="298"/>
      <c r="E787" s="298"/>
      <c r="F787" s="300">
        <v>3108628079</v>
      </c>
      <c r="G787" s="298">
        <v>1026269636</v>
      </c>
      <c r="H787" s="298" t="s">
        <v>9325</v>
      </c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</row>
    <row r="788" spans="1:26" ht="14">
      <c r="A788" s="298" t="s">
        <v>35</v>
      </c>
      <c r="B788" s="298" t="s">
        <v>9326</v>
      </c>
      <c r="C788" s="299">
        <v>603</v>
      </c>
      <c r="D788" s="298" t="s">
        <v>9033</v>
      </c>
      <c r="E788" s="298"/>
      <c r="F788" s="300">
        <v>3125844654</v>
      </c>
      <c r="G788" s="298">
        <v>1098654975</v>
      </c>
      <c r="H788" s="298" t="s">
        <v>9327</v>
      </c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</row>
    <row r="789" spans="1:26" ht="14">
      <c r="A789" s="298" t="s">
        <v>591</v>
      </c>
      <c r="B789" s="298" t="s">
        <v>9328</v>
      </c>
      <c r="C789" s="299">
        <v>604</v>
      </c>
      <c r="D789" s="298" t="s">
        <v>9329</v>
      </c>
      <c r="E789" s="298"/>
      <c r="F789" s="300">
        <v>3214515417</v>
      </c>
      <c r="G789" s="298">
        <v>1020806207</v>
      </c>
      <c r="H789" s="298" t="s">
        <v>9330</v>
      </c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</row>
    <row r="790" spans="1:26" ht="14">
      <c r="A790" s="298" t="s">
        <v>9331</v>
      </c>
      <c r="B790" s="298" t="s">
        <v>9332</v>
      </c>
      <c r="C790" s="299">
        <v>204</v>
      </c>
      <c r="D790" s="298"/>
      <c r="E790" s="298"/>
      <c r="F790" s="300">
        <v>3115106914</v>
      </c>
      <c r="G790" s="298">
        <v>52911319</v>
      </c>
      <c r="H790" s="298" t="s">
        <v>9333</v>
      </c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</row>
    <row r="791" spans="1:26" ht="14">
      <c r="A791" s="298" t="s">
        <v>426</v>
      </c>
      <c r="B791" s="298" t="s">
        <v>9334</v>
      </c>
      <c r="C791" s="299">
        <v>504</v>
      </c>
      <c r="D791" s="298" t="s">
        <v>2949</v>
      </c>
      <c r="E791" s="298"/>
      <c r="F791" s="313" t="s">
        <v>9335</v>
      </c>
      <c r="G791" s="298">
        <v>52453764</v>
      </c>
      <c r="H791" s="298" t="s">
        <v>9213</v>
      </c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</row>
    <row r="792" spans="1:26" ht="14">
      <c r="A792" s="298" t="s">
        <v>9336</v>
      </c>
      <c r="B792" s="298" t="s">
        <v>9337</v>
      </c>
      <c r="C792" s="313" t="s">
        <v>9338</v>
      </c>
      <c r="D792" s="298" t="s">
        <v>9339</v>
      </c>
      <c r="E792" s="298" t="s">
        <v>9340</v>
      </c>
      <c r="F792" s="300">
        <v>3187083298</v>
      </c>
      <c r="G792" s="298">
        <v>79648601</v>
      </c>
      <c r="H792" s="298" t="s">
        <v>9341</v>
      </c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</row>
    <row r="793" spans="1:26" ht="14">
      <c r="A793" s="298" t="s">
        <v>9342</v>
      </c>
      <c r="B793" s="298" t="s">
        <v>9343</v>
      </c>
      <c r="C793" s="299">
        <v>110</v>
      </c>
      <c r="D793" s="298" t="s">
        <v>9344</v>
      </c>
      <c r="E793" s="298"/>
      <c r="F793" s="300">
        <v>3027170786</v>
      </c>
      <c r="G793" s="298">
        <v>1034314627</v>
      </c>
      <c r="H793" s="298" t="s">
        <v>9345</v>
      </c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</row>
    <row r="794" spans="1:26" ht="14">
      <c r="A794" s="298" t="s">
        <v>9346</v>
      </c>
      <c r="B794" s="298" t="s">
        <v>9347</v>
      </c>
      <c r="C794" s="299">
        <v>601</v>
      </c>
      <c r="D794" s="298"/>
      <c r="E794" s="298"/>
      <c r="F794" s="300">
        <v>3019861308</v>
      </c>
      <c r="G794" s="298">
        <v>20508440</v>
      </c>
      <c r="H794" s="298" t="s">
        <v>9348</v>
      </c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</row>
    <row r="795" spans="1:26" ht="14">
      <c r="A795" s="298" t="s">
        <v>9349</v>
      </c>
      <c r="B795" s="298" t="s">
        <v>9350</v>
      </c>
      <c r="C795" s="299">
        <v>502</v>
      </c>
      <c r="D795" s="298" t="s">
        <v>9351</v>
      </c>
      <c r="E795" s="298"/>
      <c r="F795" s="300">
        <v>3005788821</v>
      </c>
      <c r="G795" s="298">
        <v>1020835352</v>
      </c>
      <c r="H795" s="298" t="s">
        <v>9352</v>
      </c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</row>
    <row r="796" spans="1:26" ht="14">
      <c r="A796" s="298" t="s">
        <v>101</v>
      </c>
      <c r="B796" s="298" t="s">
        <v>9353</v>
      </c>
      <c r="C796" s="299">
        <v>404</v>
      </c>
      <c r="D796" s="298" t="s">
        <v>9354</v>
      </c>
      <c r="E796" s="298"/>
      <c r="F796" s="300">
        <v>3144735652</v>
      </c>
      <c r="G796" s="298">
        <v>51993584</v>
      </c>
      <c r="H796" s="298" t="s">
        <v>9355</v>
      </c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</row>
    <row r="797" spans="1:26" ht="14">
      <c r="A797" s="298" t="s">
        <v>46</v>
      </c>
      <c r="B797" s="298" t="s">
        <v>9356</v>
      </c>
      <c r="C797" s="299">
        <v>302</v>
      </c>
      <c r="D797" s="298" t="s">
        <v>7201</v>
      </c>
      <c r="E797" s="298"/>
      <c r="F797" s="300">
        <v>3106576024</v>
      </c>
      <c r="G797" s="298">
        <v>52389415</v>
      </c>
      <c r="H797" s="298" t="s">
        <v>9357</v>
      </c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</row>
    <row r="798" spans="1:26" ht="14">
      <c r="A798" s="298" t="s">
        <v>13</v>
      </c>
      <c r="B798" s="298" t="s">
        <v>9358</v>
      </c>
      <c r="C798" s="299" t="s">
        <v>9359</v>
      </c>
      <c r="D798" s="298"/>
      <c r="E798" s="298"/>
      <c r="F798" s="300">
        <v>3103092886</v>
      </c>
      <c r="G798" s="298">
        <v>22589361</v>
      </c>
      <c r="H798" s="298" t="s">
        <v>9360</v>
      </c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</row>
    <row r="799" spans="1:26" ht="14">
      <c r="A799" s="298" t="s">
        <v>484</v>
      </c>
      <c r="B799" s="298" t="s">
        <v>9361</v>
      </c>
      <c r="C799" s="299"/>
      <c r="D799" s="298"/>
      <c r="E799" s="298"/>
      <c r="F799" s="300">
        <v>3507917385</v>
      </c>
      <c r="G799" s="298">
        <v>1026591098</v>
      </c>
      <c r="H799" s="298" t="s">
        <v>9362</v>
      </c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</row>
    <row r="800" spans="1:26" ht="14">
      <c r="A800" s="298" t="s">
        <v>621</v>
      </c>
      <c r="B800" s="298" t="s">
        <v>9363</v>
      </c>
      <c r="C800" s="299">
        <v>157</v>
      </c>
      <c r="D800" s="298" t="s">
        <v>9364</v>
      </c>
      <c r="E800" s="298" t="s">
        <v>9365</v>
      </c>
      <c r="F800" s="300">
        <v>3503353183</v>
      </c>
      <c r="G800" s="298">
        <v>1052393661</v>
      </c>
      <c r="H800" s="298" t="s">
        <v>9366</v>
      </c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</row>
    <row r="801" spans="1:26" ht="14">
      <c r="A801" s="298" t="s">
        <v>9367</v>
      </c>
      <c r="B801" s="298" t="s">
        <v>9368</v>
      </c>
      <c r="C801" s="299">
        <v>207</v>
      </c>
      <c r="D801" s="298" t="s">
        <v>9369</v>
      </c>
      <c r="E801" s="298"/>
      <c r="F801" s="300">
        <v>3215385090</v>
      </c>
      <c r="G801" s="298">
        <v>1047343684</v>
      </c>
      <c r="H801" s="298" t="s">
        <v>9370</v>
      </c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</row>
    <row r="802" spans="1:26" ht="14">
      <c r="A802" s="298" t="s">
        <v>9</v>
      </c>
      <c r="B802" s="298" t="s">
        <v>9371</v>
      </c>
      <c r="C802" s="299">
        <v>506</v>
      </c>
      <c r="D802" s="298"/>
      <c r="E802" s="298"/>
      <c r="F802" s="300">
        <v>3107627455</v>
      </c>
      <c r="G802" s="298">
        <v>52417129</v>
      </c>
      <c r="H802" s="298" t="s">
        <v>9372</v>
      </c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</row>
    <row r="803" spans="1:26" ht="14">
      <c r="A803" s="298" t="s">
        <v>6</v>
      </c>
      <c r="B803" s="298" t="s">
        <v>9373</v>
      </c>
      <c r="C803" s="299">
        <v>404</v>
      </c>
      <c r="D803" s="298" t="s">
        <v>9374</v>
      </c>
      <c r="E803" s="298" t="s">
        <v>7903</v>
      </c>
      <c r="F803" s="300">
        <v>3212059027</v>
      </c>
      <c r="G803" s="298">
        <v>52516622</v>
      </c>
      <c r="H803" s="298" t="s">
        <v>9375</v>
      </c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</row>
    <row r="804" spans="1:26" ht="14">
      <c r="A804" s="298" t="s">
        <v>22</v>
      </c>
      <c r="B804" s="298" t="s">
        <v>9376</v>
      </c>
      <c r="C804" s="299">
        <v>202</v>
      </c>
      <c r="D804" s="298"/>
      <c r="E804" s="298"/>
      <c r="F804" s="300">
        <v>3102649858</v>
      </c>
      <c r="G804" s="298">
        <v>51563679</v>
      </c>
      <c r="H804" s="298" t="s">
        <v>9377</v>
      </c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</row>
    <row r="805" spans="1:26" ht="14">
      <c r="A805" s="298" t="s">
        <v>9378</v>
      </c>
      <c r="B805" s="298" t="s">
        <v>9379</v>
      </c>
      <c r="C805" s="299"/>
      <c r="D805" s="298" t="s">
        <v>9380</v>
      </c>
      <c r="E805" s="298"/>
      <c r="F805" s="300">
        <v>3124304268</v>
      </c>
      <c r="G805" s="298">
        <v>1127620935</v>
      </c>
      <c r="H805" s="298" t="s">
        <v>9381</v>
      </c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</row>
    <row r="806" spans="1:26" ht="14">
      <c r="A806" s="298" t="s">
        <v>31</v>
      </c>
      <c r="B806" s="298" t="s">
        <v>9382</v>
      </c>
      <c r="C806" s="299">
        <v>504</v>
      </c>
      <c r="D806" s="298" t="s">
        <v>9383</v>
      </c>
      <c r="E806" s="298"/>
      <c r="F806" s="300">
        <v>3008310176</v>
      </c>
      <c r="G806" s="298">
        <v>52265642</v>
      </c>
      <c r="H806" s="298" t="s">
        <v>9384</v>
      </c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</row>
    <row r="807" spans="1:26" ht="14">
      <c r="A807" s="298" t="s">
        <v>32</v>
      </c>
      <c r="B807" s="298" t="s">
        <v>9385</v>
      </c>
      <c r="C807" s="299">
        <v>1012</v>
      </c>
      <c r="D807" s="298" t="s">
        <v>9386</v>
      </c>
      <c r="E807" s="298"/>
      <c r="F807" s="300">
        <v>3165392585</v>
      </c>
      <c r="G807" s="298">
        <v>1022411180</v>
      </c>
      <c r="H807" s="298" t="s">
        <v>9387</v>
      </c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</row>
    <row r="808" spans="1:26" ht="14">
      <c r="A808" s="298" t="s">
        <v>36</v>
      </c>
      <c r="B808" s="298" t="s">
        <v>9388</v>
      </c>
      <c r="C808" s="299">
        <v>1205</v>
      </c>
      <c r="D808" s="298"/>
      <c r="E808" s="298"/>
      <c r="F808" s="300">
        <v>3166977602</v>
      </c>
      <c r="G808" s="298">
        <v>52392993</v>
      </c>
      <c r="H808" s="298" t="s">
        <v>9389</v>
      </c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</row>
    <row r="809" spans="1:26" ht="14">
      <c r="A809" s="298" t="s">
        <v>37</v>
      </c>
      <c r="B809" s="298" t="s">
        <v>9390</v>
      </c>
      <c r="C809" s="299">
        <v>406</v>
      </c>
      <c r="D809" s="298" t="s">
        <v>9391</v>
      </c>
      <c r="E809" s="298" t="s">
        <v>7480</v>
      </c>
      <c r="F809" s="300">
        <v>3117420603</v>
      </c>
      <c r="G809" s="298">
        <v>1077086564</v>
      </c>
      <c r="H809" s="298" t="s">
        <v>9392</v>
      </c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</row>
    <row r="810" spans="1:26" ht="14">
      <c r="A810" s="298" t="s">
        <v>9393</v>
      </c>
      <c r="B810" s="298" t="s">
        <v>9394</v>
      </c>
      <c r="C810" s="299">
        <v>401</v>
      </c>
      <c r="D810" s="298"/>
      <c r="E810" s="298"/>
      <c r="F810" s="300">
        <v>3214097944</v>
      </c>
      <c r="G810" s="298">
        <v>1020745683</v>
      </c>
      <c r="H810" s="298" t="s">
        <v>9395</v>
      </c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</row>
    <row r="811" spans="1:26" ht="14">
      <c r="A811" s="298" t="s">
        <v>9396</v>
      </c>
      <c r="B811" s="298" t="s">
        <v>9397</v>
      </c>
      <c r="C811" s="299"/>
      <c r="D811" s="298"/>
      <c r="E811" s="298"/>
      <c r="F811" s="300">
        <v>3005603872</v>
      </c>
      <c r="G811" s="298">
        <v>1127336361</v>
      </c>
      <c r="H811" s="298" t="s">
        <v>9398</v>
      </c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</row>
    <row r="812" spans="1:26" ht="14">
      <c r="A812" s="298" t="s">
        <v>42</v>
      </c>
      <c r="B812" s="298" t="s">
        <v>9399</v>
      </c>
      <c r="C812" s="299">
        <v>704</v>
      </c>
      <c r="D812" s="298" t="s">
        <v>9400</v>
      </c>
      <c r="E812" s="298"/>
      <c r="F812" s="300">
        <v>3214401534</v>
      </c>
      <c r="G812" s="298">
        <v>31415894</v>
      </c>
      <c r="H812" s="298" t="s">
        <v>9401</v>
      </c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</row>
    <row r="813" spans="1:26" ht="14">
      <c r="A813" s="298" t="s">
        <v>43</v>
      </c>
      <c r="B813" s="298" t="s">
        <v>9402</v>
      </c>
      <c r="C813" s="299"/>
      <c r="D813" s="298"/>
      <c r="E813" s="298"/>
      <c r="F813" s="300">
        <v>3115695020</v>
      </c>
      <c r="G813" s="298">
        <v>1020718179</v>
      </c>
      <c r="H813" s="298" t="s">
        <v>9403</v>
      </c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</row>
    <row r="814" spans="1:26" ht="14">
      <c r="A814" s="298" t="s">
        <v>52</v>
      </c>
      <c r="B814" s="298" t="s">
        <v>9404</v>
      </c>
      <c r="C814" s="299">
        <v>407</v>
      </c>
      <c r="D814" s="298" t="s">
        <v>9405</v>
      </c>
      <c r="E814" s="298" t="s">
        <v>9406</v>
      </c>
      <c r="F814" s="300">
        <v>3134957970</v>
      </c>
      <c r="G814" s="298">
        <v>1015400958</v>
      </c>
      <c r="H814" s="298" t="s">
        <v>9407</v>
      </c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</row>
    <row r="815" spans="1:26" ht="14">
      <c r="A815" s="298" t="s">
        <v>9408</v>
      </c>
      <c r="B815" s="298" t="s">
        <v>9409</v>
      </c>
      <c r="C815" s="299">
        <v>605</v>
      </c>
      <c r="D815" s="298" t="s">
        <v>9410</v>
      </c>
      <c r="E815" s="298"/>
      <c r="F815" s="300">
        <v>3234669326</v>
      </c>
      <c r="G815" s="298">
        <v>1032496761</v>
      </c>
      <c r="H815" s="298" t="s">
        <v>9411</v>
      </c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</row>
    <row r="816" spans="1:26" ht="14">
      <c r="A816" s="298" t="s">
        <v>59</v>
      </c>
      <c r="B816" s="298" t="s">
        <v>9412</v>
      </c>
      <c r="C816" s="299"/>
      <c r="D816" s="298" t="s">
        <v>9413</v>
      </c>
      <c r="E816" s="298">
        <v>3183263059</v>
      </c>
      <c r="F816" s="300">
        <v>3184015341</v>
      </c>
      <c r="G816" s="298">
        <v>7183527</v>
      </c>
      <c r="H816" s="298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</row>
    <row r="817" spans="1:26" ht="14">
      <c r="A817" s="298" t="s">
        <v>9414</v>
      </c>
      <c r="B817" s="298" t="s">
        <v>9415</v>
      </c>
      <c r="C817" s="299" t="s">
        <v>7072</v>
      </c>
      <c r="D817" s="298"/>
      <c r="E817" s="298"/>
      <c r="F817" s="300">
        <v>3214048979</v>
      </c>
      <c r="G817" s="298">
        <v>1026589978</v>
      </c>
      <c r="H817" s="298" t="s">
        <v>9416</v>
      </c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</row>
    <row r="818" spans="1:26" ht="14">
      <c r="A818" s="298" t="s">
        <v>61</v>
      </c>
      <c r="B818" s="298" t="s">
        <v>9417</v>
      </c>
      <c r="C818" s="299">
        <v>806</v>
      </c>
      <c r="D818" s="298"/>
      <c r="E818" s="298"/>
      <c r="F818" s="300">
        <v>3243125335</v>
      </c>
      <c r="G818" s="298">
        <v>1020782709</v>
      </c>
      <c r="H818" s="298" t="s">
        <v>9418</v>
      </c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</row>
    <row r="819" spans="1:26" ht="14">
      <c r="A819" s="298" t="s">
        <v>63</v>
      </c>
      <c r="B819" s="298" t="s">
        <v>9419</v>
      </c>
      <c r="C819" s="299"/>
      <c r="D819" s="298"/>
      <c r="E819" s="298"/>
      <c r="F819" s="300">
        <v>3012782895</v>
      </c>
      <c r="G819" s="298" t="s">
        <v>9420</v>
      </c>
      <c r="H819" s="298" t="s">
        <v>9421</v>
      </c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</row>
    <row r="820" spans="1:26" ht="14">
      <c r="A820" s="298" t="s">
        <v>62</v>
      </c>
      <c r="B820" s="298" t="s">
        <v>9422</v>
      </c>
      <c r="C820" s="299">
        <v>601</v>
      </c>
      <c r="D820" s="298"/>
      <c r="E820" s="298"/>
      <c r="F820" s="300">
        <v>3112546471</v>
      </c>
      <c r="G820" s="298">
        <v>51871903</v>
      </c>
      <c r="H820" s="298" t="s">
        <v>9423</v>
      </c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</row>
    <row r="821" spans="1:26" ht="14">
      <c r="A821" s="298" t="s">
        <v>64</v>
      </c>
      <c r="B821" s="298" t="s">
        <v>9424</v>
      </c>
      <c r="C821" s="299">
        <v>601</v>
      </c>
      <c r="D821" s="298" t="s">
        <v>9425</v>
      </c>
      <c r="E821" s="298"/>
      <c r="F821" s="300">
        <v>3505276868</v>
      </c>
      <c r="G821" s="298">
        <v>1013649297</v>
      </c>
      <c r="H821" s="298" t="s">
        <v>9426</v>
      </c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</row>
    <row r="822" spans="1:26" ht="14">
      <c r="A822" s="298" t="s">
        <v>65</v>
      </c>
      <c r="B822" s="298" t="s">
        <v>9427</v>
      </c>
      <c r="C822" s="299"/>
      <c r="D822" s="298"/>
      <c r="E822" s="298"/>
      <c r="F822" s="300">
        <v>3124315477</v>
      </c>
      <c r="G822" s="298">
        <v>52340774</v>
      </c>
      <c r="H822" s="298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</row>
    <row r="823" spans="1:26" ht="14">
      <c r="A823" s="298" t="s">
        <v>974</v>
      </c>
      <c r="B823" s="298" t="s">
        <v>9428</v>
      </c>
      <c r="C823" s="299" t="s">
        <v>9429</v>
      </c>
      <c r="D823" s="298" t="s">
        <v>9430</v>
      </c>
      <c r="E823" s="298"/>
      <c r="F823" s="300">
        <v>3134814327</v>
      </c>
      <c r="G823" s="298" t="s">
        <v>9431</v>
      </c>
      <c r="H823" s="298" t="s">
        <v>9432</v>
      </c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</row>
    <row r="824" spans="1:26" ht="14">
      <c r="A824" s="298" t="s">
        <v>74</v>
      </c>
      <c r="B824" s="298" t="s">
        <v>9433</v>
      </c>
      <c r="C824" s="299" t="s">
        <v>9434</v>
      </c>
      <c r="D824" s="344" t="s">
        <v>9435</v>
      </c>
      <c r="E824" s="298"/>
      <c r="F824" s="300">
        <v>3004494878</v>
      </c>
      <c r="G824" s="298">
        <v>1014204967</v>
      </c>
      <c r="H824" s="298" t="s">
        <v>9436</v>
      </c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</row>
    <row r="825" spans="1:26" ht="14">
      <c r="A825" s="298" t="s">
        <v>75</v>
      </c>
      <c r="B825" s="298" t="s">
        <v>9437</v>
      </c>
      <c r="C825" s="299"/>
      <c r="D825" s="298"/>
      <c r="E825" s="298"/>
      <c r="F825" s="300">
        <v>3154274621</v>
      </c>
      <c r="G825" s="298">
        <v>1075875631</v>
      </c>
      <c r="H825" s="298" t="s">
        <v>9438</v>
      </c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</row>
    <row r="826" spans="1:26" ht="14">
      <c r="A826" s="298" t="s">
        <v>1518</v>
      </c>
      <c r="B826" s="298" t="s">
        <v>9439</v>
      </c>
      <c r="C826" s="299" t="s">
        <v>9440</v>
      </c>
      <c r="D826" s="298"/>
      <c r="E826" s="298"/>
      <c r="F826" s="300">
        <v>3103216633</v>
      </c>
      <c r="G826" s="298">
        <v>748856</v>
      </c>
      <c r="H826" s="298" t="s">
        <v>9441</v>
      </c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</row>
    <row r="827" spans="1:26" ht="14">
      <c r="A827" s="298" t="s">
        <v>92</v>
      </c>
      <c r="B827" s="298" t="s">
        <v>9442</v>
      </c>
      <c r="C827" s="299">
        <v>201</v>
      </c>
      <c r="D827" s="298"/>
      <c r="E827" s="298"/>
      <c r="F827" s="300">
        <v>3222178941</v>
      </c>
      <c r="G827" s="298">
        <v>1015462055</v>
      </c>
      <c r="H827" s="298" t="s">
        <v>9443</v>
      </c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</row>
    <row r="828" spans="1:26" ht="14">
      <c r="A828" s="298" t="s">
        <v>96</v>
      </c>
      <c r="B828" s="298" t="s">
        <v>9444</v>
      </c>
      <c r="C828" s="299">
        <v>141</v>
      </c>
      <c r="D828" s="298" t="s">
        <v>9445</v>
      </c>
      <c r="E828" s="298"/>
      <c r="F828" s="300">
        <v>3208997520</v>
      </c>
      <c r="G828" s="298">
        <v>-52387178</v>
      </c>
      <c r="H828" s="298" t="s">
        <v>9446</v>
      </c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</row>
    <row r="829" spans="1:26" ht="14">
      <c r="A829" s="298" t="s">
        <v>98</v>
      </c>
      <c r="B829" s="298" t="s">
        <v>9447</v>
      </c>
      <c r="C829" s="299"/>
      <c r="D829" s="298" t="s">
        <v>9448</v>
      </c>
      <c r="E829" s="298"/>
      <c r="F829" s="300">
        <v>3017649404</v>
      </c>
      <c r="G829" s="298">
        <v>45554234</v>
      </c>
      <c r="H829" s="298" t="s">
        <v>9449</v>
      </c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</row>
    <row r="830" spans="1:26" ht="14">
      <c r="A830" s="298" t="s">
        <v>106</v>
      </c>
      <c r="B830" s="298" t="s">
        <v>9450</v>
      </c>
      <c r="C830" s="299"/>
      <c r="D830" s="298"/>
      <c r="E830" s="298"/>
      <c r="F830" s="300">
        <v>3233674149</v>
      </c>
      <c r="G830" s="298">
        <v>1017199867</v>
      </c>
      <c r="H830" s="298" t="s">
        <v>9451</v>
      </c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</row>
    <row r="831" spans="1:26" ht="14">
      <c r="A831" s="298" t="s">
        <v>615</v>
      </c>
      <c r="B831" s="298" t="s">
        <v>9452</v>
      </c>
      <c r="C831" s="299">
        <v>201</v>
      </c>
      <c r="D831" s="298" t="s">
        <v>9453</v>
      </c>
      <c r="E831" s="298"/>
      <c r="F831" s="300">
        <v>3103326684</v>
      </c>
      <c r="G831" s="298">
        <v>35495088</v>
      </c>
      <c r="H831" s="298" t="s">
        <v>9454</v>
      </c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</row>
    <row r="832" spans="1:26" ht="14">
      <c r="A832" s="298" t="s">
        <v>116</v>
      </c>
      <c r="B832" s="298" t="s">
        <v>9455</v>
      </c>
      <c r="C832" s="299">
        <v>207</v>
      </c>
      <c r="D832" s="298"/>
      <c r="E832" s="298"/>
      <c r="F832" s="300">
        <v>3023895622</v>
      </c>
      <c r="G832" s="298">
        <v>1019119294</v>
      </c>
      <c r="H832" s="298" t="s">
        <v>9456</v>
      </c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</row>
    <row r="833" spans="1:26" ht="14">
      <c r="A833" s="298" t="s">
        <v>118</v>
      </c>
      <c r="B833" s="298" t="s">
        <v>9457</v>
      </c>
      <c r="C833" s="299">
        <v>104</v>
      </c>
      <c r="D833" s="298" t="s">
        <v>9458</v>
      </c>
      <c r="E833" s="298"/>
      <c r="F833" s="300">
        <v>3508972282</v>
      </c>
      <c r="G833" s="298">
        <v>45501825</v>
      </c>
      <c r="H833" s="298" t="s">
        <v>9459</v>
      </c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</row>
    <row r="834" spans="1:26" ht="14">
      <c r="A834" s="298" t="s">
        <v>121</v>
      </c>
      <c r="B834" s="298" t="s">
        <v>9460</v>
      </c>
      <c r="C834" s="299"/>
      <c r="D834" s="298"/>
      <c r="E834" s="298"/>
      <c r="F834" s="300">
        <v>3144771222</v>
      </c>
      <c r="G834" s="300">
        <v>1018464048</v>
      </c>
      <c r="H834" s="298" t="s">
        <v>9461</v>
      </c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</row>
    <row r="835" spans="1:26" ht="14">
      <c r="A835" s="298" t="s">
        <v>9462</v>
      </c>
      <c r="B835" s="298" t="s">
        <v>9463</v>
      </c>
      <c r="C835" s="299">
        <v>204</v>
      </c>
      <c r="D835" s="298" t="s">
        <v>9464</v>
      </c>
      <c r="E835" s="298"/>
      <c r="F835" s="300">
        <v>3214524619</v>
      </c>
      <c r="G835" s="298">
        <v>1026284796</v>
      </c>
      <c r="H835" s="298" t="s">
        <v>9465</v>
      </c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</row>
    <row r="836" spans="1:26" ht="16.5" customHeight="1">
      <c r="A836" s="298" t="s">
        <v>123</v>
      </c>
      <c r="B836" s="298" t="s">
        <v>9466</v>
      </c>
      <c r="C836" s="299">
        <v>301</v>
      </c>
      <c r="D836" s="298"/>
      <c r="E836" s="298"/>
      <c r="F836" s="300">
        <v>3168348707</v>
      </c>
      <c r="G836" s="298">
        <v>79948250</v>
      </c>
      <c r="H836" s="298" t="s">
        <v>9467</v>
      </c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</row>
    <row r="837" spans="1:26" ht="14">
      <c r="A837" s="298" t="s">
        <v>495</v>
      </c>
      <c r="B837" s="298" t="s">
        <v>9468</v>
      </c>
      <c r="C837" s="299">
        <v>311</v>
      </c>
      <c r="D837" s="298"/>
      <c r="E837" s="298"/>
      <c r="F837" s="300">
        <v>3013185171</v>
      </c>
      <c r="G837" s="298">
        <v>34321188</v>
      </c>
      <c r="H837" s="298" t="s">
        <v>9469</v>
      </c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</row>
    <row r="838" spans="1:26" ht="14">
      <c r="A838" s="298" t="s">
        <v>129</v>
      </c>
      <c r="B838" s="298" t="s">
        <v>9470</v>
      </c>
      <c r="C838" s="299">
        <v>601</v>
      </c>
      <c r="D838" s="298" t="s">
        <v>9033</v>
      </c>
      <c r="E838" s="298"/>
      <c r="F838" s="300">
        <v>3164314794</v>
      </c>
      <c r="G838" s="298">
        <v>1020754911</v>
      </c>
      <c r="H838" s="298" t="s">
        <v>9471</v>
      </c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</row>
    <row r="839" spans="1:26" ht="14">
      <c r="A839" s="298" t="s">
        <v>134</v>
      </c>
      <c r="B839" s="298" t="s">
        <v>9472</v>
      </c>
      <c r="C839" s="299" t="s">
        <v>9473</v>
      </c>
      <c r="D839" s="298" t="s">
        <v>9474</v>
      </c>
      <c r="E839" s="298" t="s">
        <v>9475</v>
      </c>
      <c r="F839" s="300">
        <v>3113687500</v>
      </c>
      <c r="G839" s="298">
        <v>43453319</v>
      </c>
      <c r="H839" s="298" t="s">
        <v>9476</v>
      </c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</row>
    <row r="840" spans="1:26" ht="14">
      <c r="A840" s="298" t="s">
        <v>135</v>
      </c>
      <c r="B840" s="298" t="s">
        <v>9477</v>
      </c>
      <c r="C840" s="299">
        <v>2604</v>
      </c>
      <c r="D840" s="298" t="s">
        <v>9478</v>
      </c>
      <c r="E840" s="298"/>
      <c r="F840" s="300">
        <v>3134892245</v>
      </c>
      <c r="G840" s="298">
        <v>1075655323</v>
      </c>
      <c r="H840" s="298" t="s">
        <v>9479</v>
      </c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</row>
    <row r="841" spans="1:26" ht="14">
      <c r="A841" s="298" t="s">
        <v>138</v>
      </c>
      <c r="B841" s="298" t="s">
        <v>9480</v>
      </c>
      <c r="C841" s="299">
        <v>302</v>
      </c>
      <c r="D841" s="298" t="s">
        <v>9146</v>
      </c>
      <c r="E841" s="298"/>
      <c r="F841" s="300">
        <v>3136263968</v>
      </c>
      <c r="G841" s="298">
        <v>1193136621</v>
      </c>
      <c r="H841" s="298" t="s">
        <v>9481</v>
      </c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</row>
    <row r="842" spans="1:26" ht="14">
      <c r="A842" s="298" t="s">
        <v>141</v>
      </c>
      <c r="B842" s="298" t="s">
        <v>9482</v>
      </c>
      <c r="C842" s="299">
        <v>301</v>
      </c>
      <c r="D842" s="298" t="s">
        <v>9483</v>
      </c>
      <c r="E842" s="298"/>
      <c r="F842" s="300">
        <v>3153747523</v>
      </c>
      <c r="G842" s="298">
        <v>1054864078</v>
      </c>
      <c r="H842" s="298" t="s">
        <v>9484</v>
      </c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</row>
    <row r="843" spans="1:26" ht="14">
      <c r="A843" s="298" t="s">
        <v>142</v>
      </c>
      <c r="B843" s="298" t="s">
        <v>9485</v>
      </c>
      <c r="C843" s="299">
        <v>2912</v>
      </c>
      <c r="D843" s="298"/>
      <c r="E843" s="298"/>
      <c r="F843" s="300">
        <v>3160168474</v>
      </c>
      <c r="G843" s="298">
        <v>1105371052</v>
      </c>
      <c r="H843" s="298" t="s">
        <v>9486</v>
      </c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</row>
    <row r="844" spans="1:26" ht="14">
      <c r="A844" s="298" t="s">
        <v>143</v>
      </c>
      <c r="B844" s="298" t="s">
        <v>9487</v>
      </c>
      <c r="C844" s="299">
        <v>204</v>
      </c>
      <c r="D844" s="298"/>
      <c r="E844" s="298"/>
      <c r="F844" s="300">
        <v>3157636344</v>
      </c>
      <c r="G844" s="298">
        <v>1019939</v>
      </c>
      <c r="H844" s="298" t="s">
        <v>9488</v>
      </c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</row>
    <row r="845" spans="1:26" ht="14">
      <c r="A845" s="298" t="s">
        <v>157</v>
      </c>
      <c r="B845" s="298" t="s">
        <v>9489</v>
      </c>
      <c r="C845" s="299">
        <v>301</v>
      </c>
      <c r="D845" s="298"/>
      <c r="E845" s="298"/>
      <c r="F845" s="300">
        <v>3153419128</v>
      </c>
      <c r="G845" s="298">
        <v>31249660</v>
      </c>
      <c r="H845" s="298" t="s">
        <v>9490</v>
      </c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</row>
    <row r="846" spans="1:26" ht="14">
      <c r="A846" s="298" t="s">
        <v>158</v>
      </c>
      <c r="B846" s="298" t="s">
        <v>9491</v>
      </c>
      <c r="C846" s="299">
        <v>603</v>
      </c>
      <c r="D846" s="298" t="s">
        <v>9492</v>
      </c>
      <c r="E846" s="298"/>
      <c r="F846" s="300">
        <v>3145433275</v>
      </c>
      <c r="G846" s="298">
        <v>52153170</v>
      </c>
      <c r="H846" s="298" t="s">
        <v>9493</v>
      </c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</row>
    <row r="847" spans="1:26" ht="14">
      <c r="A847" s="298" t="s">
        <v>162</v>
      </c>
      <c r="B847" s="298" t="s">
        <v>9494</v>
      </c>
      <c r="C847" s="299">
        <v>703</v>
      </c>
      <c r="D847" s="298" t="s">
        <v>8237</v>
      </c>
      <c r="E847" s="298"/>
      <c r="F847" s="300">
        <v>3112700149</v>
      </c>
      <c r="G847" s="298">
        <v>39781352</v>
      </c>
      <c r="H847" s="298" t="s">
        <v>9495</v>
      </c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</row>
    <row r="848" spans="1:26" ht="14">
      <c r="A848" s="298" t="s">
        <v>163</v>
      </c>
      <c r="B848" s="298" t="s">
        <v>9496</v>
      </c>
      <c r="C848" s="299">
        <v>401</v>
      </c>
      <c r="D848" s="298" t="s">
        <v>9497</v>
      </c>
      <c r="E848" s="298"/>
      <c r="F848" s="300">
        <v>3125503293</v>
      </c>
      <c r="G848" s="300">
        <v>1015468479</v>
      </c>
      <c r="H848" s="298" t="s">
        <v>9498</v>
      </c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</row>
    <row r="849" spans="1:26" ht="14">
      <c r="A849" s="298" t="s">
        <v>168</v>
      </c>
      <c r="B849" s="298" t="s">
        <v>9499</v>
      </c>
      <c r="C849" s="299">
        <v>706</v>
      </c>
      <c r="D849" s="298" t="s">
        <v>9500</v>
      </c>
      <c r="E849" s="298"/>
      <c r="F849" s="300">
        <v>3152932648</v>
      </c>
      <c r="G849" s="298">
        <v>1032398096</v>
      </c>
      <c r="H849" s="298" t="s">
        <v>9501</v>
      </c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</row>
    <row r="850" spans="1:26" ht="14">
      <c r="A850" s="298" t="s">
        <v>171</v>
      </c>
      <c r="B850" s="298" t="s">
        <v>9502</v>
      </c>
      <c r="C850" s="299">
        <v>506</v>
      </c>
      <c r="D850" s="298" t="s">
        <v>9503</v>
      </c>
      <c r="E850" s="298"/>
      <c r="F850" s="300">
        <v>3153386683</v>
      </c>
      <c r="G850" s="298">
        <v>20323336</v>
      </c>
      <c r="H850" s="298" t="s">
        <v>9504</v>
      </c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</row>
    <row r="851" spans="1:26" ht="14">
      <c r="A851" s="298" t="s">
        <v>173</v>
      </c>
      <c r="B851" s="298" t="s">
        <v>9505</v>
      </c>
      <c r="C851" s="299">
        <v>502</v>
      </c>
      <c r="D851" s="298"/>
      <c r="E851" s="298"/>
      <c r="F851" s="300">
        <v>3154955729</v>
      </c>
      <c r="G851" s="298">
        <v>1136887094</v>
      </c>
      <c r="H851" s="298" t="s">
        <v>9506</v>
      </c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</row>
    <row r="852" spans="1:26" ht="14">
      <c r="A852" s="298" t="s">
        <v>227</v>
      </c>
      <c r="B852" s="298" t="s">
        <v>9507</v>
      </c>
      <c r="C852" s="299">
        <v>201</v>
      </c>
      <c r="D852" s="298" t="s">
        <v>7052</v>
      </c>
      <c r="E852" s="298"/>
      <c r="F852" s="300">
        <v>3133485745</v>
      </c>
      <c r="G852" s="298">
        <v>30327921</v>
      </c>
      <c r="H852" s="298" t="s">
        <v>9508</v>
      </c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</row>
    <row r="853" spans="1:26" ht="14">
      <c r="A853" s="298" t="s">
        <v>256</v>
      </c>
      <c r="B853" s="298" t="s">
        <v>9509</v>
      </c>
      <c r="C853" s="299">
        <v>117</v>
      </c>
      <c r="D853" s="298" t="s">
        <v>9510</v>
      </c>
      <c r="E853" s="298"/>
      <c r="F853" s="300">
        <v>3014691581</v>
      </c>
      <c r="G853" s="298">
        <v>1012426469</v>
      </c>
      <c r="H853" s="298" t="s">
        <v>9511</v>
      </c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</row>
    <row r="854" spans="1:26" ht="14">
      <c r="A854" s="298" t="s">
        <v>258</v>
      </c>
      <c r="B854" s="298" t="s">
        <v>9512</v>
      </c>
      <c r="C854" s="299">
        <v>814</v>
      </c>
      <c r="D854" s="298" t="s">
        <v>9513</v>
      </c>
      <c r="E854" s="298" t="s">
        <v>9514</v>
      </c>
      <c r="F854" s="300">
        <v>3202098192</v>
      </c>
      <c r="G854" s="298">
        <v>1005968356</v>
      </c>
      <c r="H854" s="298" t="s">
        <v>9515</v>
      </c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</row>
    <row r="855" spans="1:26" ht="14">
      <c r="A855" s="298" t="s">
        <v>271</v>
      </c>
      <c r="B855" s="298" t="s">
        <v>9516</v>
      </c>
      <c r="C855" s="299">
        <v>605</v>
      </c>
      <c r="D855" s="298"/>
      <c r="E855" s="298"/>
      <c r="F855" s="300">
        <v>3002170330</v>
      </c>
      <c r="G855" s="298">
        <v>1015439385</v>
      </c>
      <c r="H855" s="298" t="s">
        <v>9517</v>
      </c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</row>
    <row r="856" spans="1:26" ht="14">
      <c r="A856" s="298" t="s">
        <v>293</v>
      </c>
      <c r="B856" s="298" t="s">
        <v>9518</v>
      </c>
      <c r="C856" s="299">
        <v>403</v>
      </c>
      <c r="D856" s="298" t="s">
        <v>9519</v>
      </c>
      <c r="E856" s="298"/>
      <c r="F856" s="300">
        <v>3186234730</v>
      </c>
      <c r="G856" s="298">
        <v>53064226</v>
      </c>
      <c r="H856" s="298" t="s">
        <v>9520</v>
      </c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</row>
    <row r="857" spans="1:26" ht="14">
      <c r="A857" s="298" t="s">
        <v>279</v>
      </c>
      <c r="B857" s="298" t="s">
        <v>9521</v>
      </c>
      <c r="C857" s="299"/>
      <c r="D857" s="298"/>
      <c r="E857" s="298"/>
      <c r="F857" s="300">
        <v>3138120438</v>
      </c>
      <c r="G857" s="298">
        <v>1018500022</v>
      </c>
      <c r="H857" s="298" t="s">
        <v>9522</v>
      </c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</row>
    <row r="858" spans="1:26" ht="14">
      <c r="A858" s="298" t="s">
        <v>9523</v>
      </c>
      <c r="B858" s="298" t="s">
        <v>9524</v>
      </c>
      <c r="C858" s="299" t="s">
        <v>9525</v>
      </c>
      <c r="D858" s="298" t="s">
        <v>9526</v>
      </c>
      <c r="E858" s="298" t="s">
        <v>7189</v>
      </c>
      <c r="F858" s="300">
        <v>3168228082</v>
      </c>
      <c r="G858" s="298">
        <v>1053664866</v>
      </c>
      <c r="H858" s="298" t="s">
        <v>9527</v>
      </c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</row>
    <row r="859" spans="1:26" ht="14">
      <c r="A859" s="298" t="s">
        <v>298</v>
      </c>
      <c r="B859" s="298" t="s">
        <v>9528</v>
      </c>
      <c r="C859" s="299">
        <v>409</v>
      </c>
      <c r="D859" s="298" t="s">
        <v>9529</v>
      </c>
      <c r="E859" s="298"/>
      <c r="F859" s="300">
        <v>3026436513</v>
      </c>
      <c r="G859" s="298">
        <v>52699621</v>
      </c>
      <c r="H859" s="298" t="s">
        <v>9530</v>
      </c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</row>
    <row r="860" spans="1:26" ht="14">
      <c r="A860" s="298" t="s">
        <v>304</v>
      </c>
      <c r="B860" s="298" t="s">
        <v>9531</v>
      </c>
      <c r="C860" s="299"/>
      <c r="D860" s="298"/>
      <c r="E860" s="298"/>
      <c r="F860" s="300">
        <v>3106880971</v>
      </c>
      <c r="G860" s="298">
        <v>80410868</v>
      </c>
      <c r="H860" s="298" t="s">
        <v>9532</v>
      </c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</row>
    <row r="861" spans="1:26" ht="14">
      <c r="A861" s="298" t="s">
        <v>316</v>
      </c>
      <c r="B861" s="298"/>
      <c r="C861" s="299"/>
      <c r="D861" s="298"/>
      <c r="E861" s="298"/>
      <c r="F861" s="300">
        <v>3508283925</v>
      </c>
      <c r="G861" s="298"/>
      <c r="H861" s="298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</row>
    <row r="862" spans="1:26" ht="14">
      <c r="A862" s="298" t="s">
        <v>319</v>
      </c>
      <c r="B862" s="298" t="s">
        <v>9533</v>
      </c>
      <c r="C862" s="299">
        <v>303</v>
      </c>
      <c r="D862" s="298" t="s">
        <v>9534</v>
      </c>
      <c r="E862" s="298"/>
      <c r="F862" s="300">
        <v>3102627762</v>
      </c>
      <c r="G862" s="298">
        <v>52261751</v>
      </c>
      <c r="H862" s="298" t="s">
        <v>9535</v>
      </c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</row>
    <row r="863" spans="1:26" ht="14">
      <c r="A863" s="298" t="s">
        <v>9536</v>
      </c>
      <c r="B863" s="298" t="s">
        <v>9537</v>
      </c>
      <c r="C863" s="299">
        <v>103</v>
      </c>
      <c r="D863" s="298"/>
      <c r="E863" s="298"/>
      <c r="F863" s="300">
        <v>3013989991</v>
      </c>
      <c r="G863" s="298">
        <v>1039456037</v>
      </c>
      <c r="H863" s="298" t="s">
        <v>9538</v>
      </c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</row>
    <row r="864" spans="1:26" ht="14">
      <c r="A864" s="298" t="s">
        <v>336</v>
      </c>
      <c r="B864" s="298" t="s">
        <v>9539</v>
      </c>
      <c r="C864" s="299">
        <v>1701</v>
      </c>
      <c r="D864" s="298" t="s">
        <v>8610</v>
      </c>
      <c r="E864" s="298"/>
      <c r="F864" s="300">
        <v>3138241079</v>
      </c>
      <c r="G864" s="298">
        <v>1032460804</v>
      </c>
      <c r="H864" s="298" t="s">
        <v>9540</v>
      </c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</row>
    <row r="865" spans="1:26" ht="14">
      <c r="A865" s="298" t="s">
        <v>338</v>
      </c>
      <c r="B865" s="298" t="s">
        <v>9541</v>
      </c>
      <c r="C865" s="299">
        <v>1002</v>
      </c>
      <c r="D865" s="298" t="s">
        <v>9542</v>
      </c>
      <c r="E865" s="298" t="s">
        <v>9543</v>
      </c>
      <c r="F865" s="300">
        <v>3001635331</v>
      </c>
      <c r="G865" s="298">
        <v>1030696751</v>
      </c>
      <c r="H865" s="298" t="s">
        <v>9544</v>
      </c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</row>
    <row r="866" spans="1:26" ht="14">
      <c r="A866" s="298" t="s">
        <v>340</v>
      </c>
      <c r="B866" s="298" t="s">
        <v>9545</v>
      </c>
      <c r="C866" s="299" t="s">
        <v>2936</v>
      </c>
      <c r="D866" s="298" t="s">
        <v>8954</v>
      </c>
      <c r="E866" s="298"/>
      <c r="F866" s="300">
        <v>3143594311</v>
      </c>
      <c r="G866" s="298">
        <v>10257736</v>
      </c>
      <c r="H866" s="298" t="s">
        <v>9546</v>
      </c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</row>
    <row r="867" spans="1:26" ht="14">
      <c r="A867" s="298" t="s">
        <v>342</v>
      </c>
      <c r="B867" s="298" t="s">
        <v>9547</v>
      </c>
      <c r="C867" s="299" t="s">
        <v>4958</v>
      </c>
      <c r="D867" s="298" t="s">
        <v>9548</v>
      </c>
      <c r="E867" s="298"/>
      <c r="F867" s="300">
        <v>3115166570</v>
      </c>
      <c r="G867" s="298">
        <v>52414375</v>
      </c>
      <c r="H867" s="298" t="s">
        <v>9549</v>
      </c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</row>
    <row r="868" spans="1:26" ht="14">
      <c r="A868" s="298" t="s">
        <v>397</v>
      </c>
      <c r="B868" s="298" t="s">
        <v>9550</v>
      </c>
      <c r="C868" s="299" t="s">
        <v>9551</v>
      </c>
      <c r="D868" s="298" t="s">
        <v>9552</v>
      </c>
      <c r="E868" s="298"/>
      <c r="F868" s="300">
        <v>3102890783</v>
      </c>
      <c r="G868" s="298">
        <v>1019126047</v>
      </c>
      <c r="H868" s="298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</row>
    <row r="869" spans="1:26" ht="14">
      <c r="A869" s="298" t="s">
        <v>419</v>
      </c>
      <c r="B869" s="345" t="s">
        <v>9553</v>
      </c>
      <c r="C869" s="299">
        <v>604</v>
      </c>
      <c r="D869" s="298"/>
      <c r="E869" s="298"/>
      <c r="F869" s="300">
        <v>3023480506</v>
      </c>
      <c r="G869" s="298">
        <v>1077036167</v>
      </c>
      <c r="H869" s="298" t="s">
        <v>9554</v>
      </c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</row>
    <row r="870" spans="1:26" ht="14">
      <c r="A870" s="298" t="s">
        <v>428</v>
      </c>
      <c r="B870" s="298" t="s">
        <v>9555</v>
      </c>
      <c r="C870" s="299">
        <v>602</v>
      </c>
      <c r="D870" s="298"/>
      <c r="E870" s="298"/>
      <c r="F870" s="300">
        <v>3108680270</v>
      </c>
      <c r="G870" s="298">
        <v>19150780</v>
      </c>
      <c r="H870" s="298" t="s">
        <v>9556</v>
      </c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</row>
    <row r="871" spans="1:26" ht="14">
      <c r="A871" s="298" t="s">
        <v>435</v>
      </c>
      <c r="B871" s="298" t="s">
        <v>9557</v>
      </c>
      <c r="C871" s="299">
        <v>203</v>
      </c>
      <c r="D871" s="298"/>
      <c r="E871" s="298"/>
      <c r="F871" s="300">
        <v>3218063829</v>
      </c>
      <c r="G871" s="298">
        <v>1193277848</v>
      </c>
      <c r="H871" s="298" t="s">
        <v>9558</v>
      </c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</row>
    <row r="872" spans="1:26" ht="14">
      <c r="A872" s="298" t="s">
        <v>437</v>
      </c>
      <c r="B872" s="345" t="s">
        <v>9559</v>
      </c>
      <c r="C872" s="299">
        <v>405</v>
      </c>
      <c r="D872" s="298" t="s">
        <v>9560</v>
      </c>
      <c r="E872" s="298"/>
      <c r="F872" s="300">
        <v>3158776637</v>
      </c>
      <c r="G872" s="298"/>
      <c r="H872" s="298" t="s">
        <v>9561</v>
      </c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</row>
    <row r="873" spans="1:26" ht="14">
      <c r="A873" s="298" t="s">
        <v>444</v>
      </c>
      <c r="B873" s="298" t="s">
        <v>9562</v>
      </c>
      <c r="C873" s="299">
        <v>502</v>
      </c>
      <c r="D873" s="298"/>
      <c r="E873" s="298"/>
      <c r="F873" s="300">
        <v>3126944916</v>
      </c>
      <c r="G873" s="298">
        <v>1026574923</v>
      </c>
      <c r="H873" s="298" t="s">
        <v>9563</v>
      </c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</row>
    <row r="874" spans="1:26" ht="14">
      <c r="A874" s="298" t="s">
        <v>452</v>
      </c>
      <c r="B874" s="298" t="s">
        <v>9564</v>
      </c>
      <c r="C874" s="299">
        <v>303</v>
      </c>
      <c r="D874" s="298"/>
      <c r="E874" s="298"/>
      <c r="F874" s="300">
        <v>3107647773</v>
      </c>
      <c r="G874" s="298">
        <v>72466312</v>
      </c>
      <c r="H874" s="298" t="s">
        <v>9565</v>
      </c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</row>
    <row r="875" spans="1:26" ht="14">
      <c r="A875" s="345" t="s">
        <v>454</v>
      </c>
      <c r="B875" s="298" t="s">
        <v>9566</v>
      </c>
      <c r="C875" s="299">
        <v>506</v>
      </c>
      <c r="D875" s="298" t="s">
        <v>9567</v>
      </c>
      <c r="E875" s="298"/>
      <c r="F875" s="300">
        <v>3118606342</v>
      </c>
      <c r="G875" s="298">
        <v>1020753968</v>
      </c>
      <c r="H875" s="298" t="s">
        <v>9568</v>
      </c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</row>
    <row r="876" spans="1:26" ht="14">
      <c r="A876" s="298" t="s">
        <v>456</v>
      </c>
      <c r="B876" s="345" t="s">
        <v>9569</v>
      </c>
      <c r="C876" s="299" t="s">
        <v>9434</v>
      </c>
      <c r="D876" s="298" t="s">
        <v>9570</v>
      </c>
      <c r="E876" s="298"/>
      <c r="F876" s="300">
        <v>3016227792</v>
      </c>
      <c r="G876" s="298">
        <v>8032780</v>
      </c>
      <c r="H876" s="298" t="s">
        <v>9571</v>
      </c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</row>
    <row r="877" spans="1:26" ht="14">
      <c r="A877" s="298" t="s">
        <v>466</v>
      </c>
      <c r="B877" s="298" t="s">
        <v>9572</v>
      </c>
      <c r="C877" s="299">
        <v>545</v>
      </c>
      <c r="D877" s="298" t="s">
        <v>9573</v>
      </c>
      <c r="E877" s="298"/>
      <c r="F877" s="300">
        <v>3128020598</v>
      </c>
      <c r="G877" s="298">
        <v>1000376721</v>
      </c>
      <c r="H877" s="298" t="s">
        <v>9574</v>
      </c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</row>
    <row r="878" spans="1:26" ht="14">
      <c r="A878" s="298" t="s">
        <v>470</v>
      </c>
      <c r="B878" s="298" t="s">
        <v>9575</v>
      </c>
      <c r="C878" s="299">
        <v>605</v>
      </c>
      <c r="D878" s="345" t="s">
        <v>9576</v>
      </c>
      <c r="E878" s="298"/>
      <c r="F878" s="300">
        <v>3184377044</v>
      </c>
      <c r="G878" s="298">
        <v>28813252</v>
      </c>
      <c r="H878" s="298" t="s">
        <v>9577</v>
      </c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</row>
    <row r="879" spans="1:26" ht="14">
      <c r="A879" s="298" t="s">
        <v>482</v>
      </c>
      <c r="B879" s="345" t="s">
        <v>9578</v>
      </c>
      <c r="C879" s="299">
        <v>303</v>
      </c>
      <c r="D879" s="298" t="s">
        <v>9579</v>
      </c>
      <c r="E879" s="298"/>
      <c r="F879" s="300">
        <v>3002098292</v>
      </c>
      <c r="G879" s="298">
        <v>51584451</v>
      </c>
      <c r="H879" s="298" t="s">
        <v>9580</v>
      </c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</row>
    <row r="880" spans="1:26" ht="14">
      <c r="A880" s="298" t="s">
        <v>489</v>
      </c>
      <c r="B880" s="298" t="s">
        <v>9581</v>
      </c>
      <c r="C880" s="299"/>
      <c r="D880" s="298"/>
      <c r="E880" s="298"/>
      <c r="F880" s="300">
        <v>3153582230</v>
      </c>
      <c r="G880" s="298">
        <v>1020723934</v>
      </c>
      <c r="H880" s="298" t="s">
        <v>9582</v>
      </c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</row>
    <row r="881" spans="1:26" ht="14">
      <c r="A881" s="298" t="s">
        <v>491</v>
      </c>
      <c r="B881" s="298" t="s">
        <v>9583</v>
      </c>
      <c r="C881" s="299">
        <v>1601</v>
      </c>
      <c r="D881" s="298" t="s">
        <v>9584</v>
      </c>
      <c r="E881" s="298"/>
      <c r="F881" s="300">
        <v>3134036207</v>
      </c>
      <c r="G881" s="298">
        <v>1019130076</v>
      </c>
      <c r="H881" s="298" t="s">
        <v>9585</v>
      </c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</row>
    <row r="882" spans="1:26" ht="14">
      <c r="A882" s="298" t="s">
        <v>499</v>
      </c>
      <c r="B882" s="298" t="s">
        <v>9586</v>
      </c>
      <c r="C882" s="299"/>
      <c r="D882" s="345" t="s">
        <v>9587</v>
      </c>
      <c r="E882" s="298"/>
      <c r="F882" s="300">
        <v>3007856419</v>
      </c>
      <c r="G882" s="298">
        <v>528185672</v>
      </c>
      <c r="H882" s="298" t="s">
        <v>9588</v>
      </c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</row>
    <row r="883" spans="1:26" ht="14">
      <c r="A883" s="298" t="s">
        <v>501</v>
      </c>
      <c r="B883" s="298" t="s">
        <v>9589</v>
      </c>
      <c r="C883" s="299">
        <v>407</v>
      </c>
      <c r="D883" s="298" t="s">
        <v>9590</v>
      </c>
      <c r="E883" s="298"/>
      <c r="F883" s="300">
        <v>3153413537</v>
      </c>
      <c r="G883" s="298">
        <v>52710508</v>
      </c>
      <c r="H883" s="298" t="s">
        <v>9591</v>
      </c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</row>
    <row r="884" spans="1:26" ht="14">
      <c r="A884" s="298" t="s">
        <v>503</v>
      </c>
      <c r="B884" s="298" t="s">
        <v>9592</v>
      </c>
      <c r="C884" s="299">
        <v>1103</v>
      </c>
      <c r="D884" s="298" t="s">
        <v>3814</v>
      </c>
      <c r="E884" s="298"/>
      <c r="F884" s="300">
        <v>3214518933</v>
      </c>
      <c r="G884" s="298">
        <v>52778448</v>
      </c>
      <c r="H884" s="298" t="s">
        <v>9593</v>
      </c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</row>
    <row r="885" spans="1:26" ht="14">
      <c r="A885" s="298" t="s">
        <v>520</v>
      </c>
      <c r="B885" s="298" t="s">
        <v>9594</v>
      </c>
      <c r="C885" s="299">
        <v>103</v>
      </c>
      <c r="D885" s="298" t="s">
        <v>9595</v>
      </c>
      <c r="E885" s="298"/>
      <c r="F885" s="300">
        <v>3157210756</v>
      </c>
      <c r="G885" s="298">
        <v>51663878</v>
      </c>
      <c r="H885" s="298" t="s">
        <v>9596</v>
      </c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</row>
    <row r="886" spans="1:26" ht="14">
      <c r="A886" s="298" t="s">
        <v>525</v>
      </c>
      <c r="B886" s="298" t="s">
        <v>9597</v>
      </c>
      <c r="C886" s="299">
        <v>203</v>
      </c>
      <c r="D886" s="298"/>
      <c r="E886" s="298"/>
      <c r="F886" s="300">
        <v>3002904499</v>
      </c>
      <c r="G886" s="298">
        <v>1015421393</v>
      </c>
      <c r="H886" s="298" t="s">
        <v>9598</v>
      </c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</row>
    <row r="887" spans="1:26" ht="14">
      <c r="A887" s="298" t="s">
        <v>535</v>
      </c>
      <c r="B887" s="298" t="s">
        <v>9599</v>
      </c>
      <c r="C887" s="299">
        <v>1204</v>
      </c>
      <c r="D887" s="298" t="s">
        <v>8954</v>
      </c>
      <c r="E887" s="298"/>
      <c r="F887" s="300">
        <v>3102240273</v>
      </c>
      <c r="G887" s="298">
        <v>80411522</v>
      </c>
      <c r="H887" s="298" t="s">
        <v>9600</v>
      </c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</row>
    <row r="888" spans="1:26" ht="14">
      <c r="A888" s="298" t="s">
        <v>537</v>
      </c>
      <c r="B888" s="345" t="s">
        <v>9601</v>
      </c>
      <c r="C888" s="299">
        <v>408</v>
      </c>
      <c r="D888" s="298" t="s">
        <v>7201</v>
      </c>
      <c r="E888" s="298" t="s">
        <v>9602</v>
      </c>
      <c r="F888" s="300">
        <v>3002246123</v>
      </c>
      <c r="G888" s="298">
        <v>52823890</v>
      </c>
      <c r="H888" s="298" t="s">
        <v>9603</v>
      </c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</row>
    <row r="889" spans="1:26" ht="14">
      <c r="A889" s="298" t="s">
        <v>539</v>
      </c>
      <c r="B889" s="298" t="s">
        <v>9604</v>
      </c>
      <c r="C889" s="299">
        <v>908</v>
      </c>
      <c r="D889" s="298" t="s">
        <v>9033</v>
      </c>
      <c r="E889" s="298"/>
      <c r="F889" s="300">
        <v>3160410414</v>
      </c>
      <c r="G889" s="298">
        <v>1018439360</v>
      </c>
      <c r="H889" s="313" t="s">
        <v>9605</v>
      </c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</row>
    <row r="890" spans="1:26" ht="14">
      <c r="A890" s="298" t="s">
        <v>545</v>
      </c>
      <c r="B890" s="298" t="s">
        <v>9606</v>
      </c>
      <c r="C890" s="299">
        <v>906</v>
      </c>
      <c r="D890" s="298" t="s">
        <v>3401</v>
      </c>
      <c r="E890" s="298"/>
      <c r="F890" s="346">
        <v>3113611869</v>
      </c>
      <c r="G890" s="298">
        <v>1094916747</v>
      </c>
      <c r="H890" s="298" t="s">
        <v>9607</v>
      </c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</row>
    <row r="891" spans="1:26" ht="14">
      <c r="A891" s="298" t="s">
        <v>541</v>
      </c>
      <c r="B891" s="298" t="s">
        <v>9608</v>
      </c>
      <c r="C891" s="299">
        <v>101</v>
      </c>
      <c r="D891" s="298" t="s">
        <v>9609</v>
      </c>
      <c r="E891" s="298" t="s">
        <v>9610</v>
      </c>
      <c r="F891" s="345">
        <v>3138106681</v>
      </c>
      <c r="G891" s="298" t="s">
        <v>9611</v>
      </c>
      <c r="H891" s="298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</row>
    <row r="892" spans="1:26" ht="14">
      <c r="A892" s="298" t="s">
        <v>543</v>
      </c>
      <c r="B892" s="298" t="s">
        <v>9612</v>
      </c>
      <c r="C892" s="299">
        <v>410</v>
      </c>
      <c r="D892" s="298"/>
      <c r="E892" s="298"/>
      <c r="F892" s="300">
        <v>3174459500</v>
      </c>
      <c r="G892" s="298"/>
      <c r="H892" s="298" t="s">
        <v>9613</v>
      </c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</row>
    <row r="893" spans="1:26" ht="14">
      <c r="A893" s="298" t="s">
        <v>549</v>
      </c>
      <c r="B893" s="298" t="s">
        <v>9614</v>
      </c>
      <c r="C893" s="299">
        <v>606</v>
      </c>
      <c r="D893" s="298" t="s">
        <v>2962</v>
      </c>
      <c r="E893" s="298"/>
      <c r="F893" s="300">
        <v>3005672283</v>
      </c>
      <c r="G893" s="298">
        <v>19266918</v>
      </c>
      <c r="H893" s="298" t="s">
        <v>9615</v>
      </c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</row>
    <row r="894" spans="1:26" ht="14">
      <c r="A894" s="298" t="s">
        <v>551</v>
      </c>
      <c r="B894" s="298" t="s">
        <v>9616</v>
      </c>
      <c r="C894" s="299">
        <v>203</v>
      </c>
      <c r="D894" s="298"/>
      <c r="E894" s="298"/>
      <c r="F894" s="300">
        <v>3102725235</v>
      </c>
      <c r="G894" s="298">
        <v>52147193</v>
      </c>
      <c r="H894" s="298" t="s">
        <v>9617</v>
      </c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</row>
    <row r="895" spans="1:26" ht="14">
      <c r="A895" s="298" t="s">
        <v>557</v>
      </c>
      <c r="B895" s="298" t="s">
        <v>9618</v>
      </c>
      <c r="C895" s="299">
        <v>306</v>
      </c>
      <c r="D895" s="298" t="s">
        <v>9619</v>
      </c>
      <c r="E895" s="313"/>
      <c r="F895" s="300">
        <v>3108164064</v>
      </c>
      <c r="G895" s="298">
        <v>39784160</v>
      </c>
      <c r="H895" s="298" t="s">
        <v>9620</v>
      </c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</row>
    <row r="896" spans="1:26" ht="14">
      <c r="A896" s="298" t="s">
        <v>9621</v>
      </c>
      <c r="B896" s="298" t="s">
        <v>9622</v>
      </c>
      <c r="C896" s="299">
        <v>602</v>
      </c>
      <c r="D896" s="298"/>
      <c r="E896" s="298"/>
      <c r="F896" s="300">
        <v>3102141341</v>
      </c>
      <c r="G896" s="298">
        <v>39775123</v>
      </c>
      <c r="H896" s="298" t="s">
        <v>9623</v>
      </c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</row>
    <row r="897" spans="1:26" ht="14">
      <c r="A897" s="298" t="s">
        <v>564</v>
      </c>
      <c r="B897" s="298" t="s">
        <v>9624</v>
      </c>
      <c r="C897" s="299">
        <v>102</v>
      </c>
      <c r="D897" s="298"/>
      <c r="E897" s="298"/>
      <c r="F897" s="300">
        <v>3044883551</v>
      </c>
      <c r="G897" s="298">
        <v>43251420</v>
      </c>
      <c r="H897" s="298" t="s">
        <v>9625</v>
      </c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</row>
    <row r="898" spans="1:26" ht="14">
      <c r="A898" s="298" t="s">
        <v>571</v>
      </c>
      <c r="B898" s="298" t="s">
        <v>9626</v>
      </c>
      <c r="C898" s="299">
        <v>1101</v>
      </c>
      <c r="D898" s="298" t="s">
        <v>9627</v>
      </c>
      <c r="E898" s="298"/>
      <c r="F898" s="300">
        <v>3153636518</v>
      </c>
      <c r="G898" s="298">
        <v>41531696</v>
      </c>
      <c r="H898" s="298" t="s">
        <v>9628</v>
      </c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</row>
    <row r="899" spans="1:26" ht="14">
      <c r="A899" s="298" t="s">
        <v>573</v>
      </c>
      <c r="B899" s="298" t="s">
        <v>9629</v>
      </c>
      <c r="C899" s="299">
        <v>504</v>
      </c>
      <c r="D899" s="298" t="s">
        <v>9630</v>
      </c>
      <c r="E899" s="298"/>
      <c r="F899" s="300">
        <v>3153311105</v>
      </c>
      <c r="G899" s="298">
        <v>1020739738</v>
      </c>
      <c r="H899" s="298" t="s">
        <v>9631</v>
      </c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</row>
    <row r="900" spans="1:26" ht="14">
      <c r="A900" s="298" t="s">
        <v>578</v>
      </c>
      <c r="B900" s="298" t="s">
        <v>9632</v>
      </c>
      <c r="C900" s="299"/>
      <c r="D900" s="298"/>
      <c r="E900" s="298"/>
      <c r="F900" s="300">
        <v>3214415662</v>
      </c>
      <c r="G900" s="298">
        <v>79446854</v>
      </c>
      <c r="H900" s="298" t="s">
        <v>9633</v>
      </c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</row>
    <row r="901" spans="1:26" ht="14">
      <c r="A901" s="298" t="s">
        <v>580</v>
      </c>
      <c r="B901" s="298" t="s">
        <v>9634</v>
      </c>
      <c r="C901" s="299">
        <v>502</v>
      </c>
      <c r="D901" s="298" t="s">
        <v>9635</v>
      </c>
      <c r="E901" s="298"/>
      <c r="F901" s="300">
        <v>3164900728</v>
      </c>
      <c r="G901" s="298">
        <v>1013616325</v>
      </c>
      <c r="H901" s="298" t="s">
        <v>9636</v>
      </c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</row>
    <row r="902" spans="1:26" ht="14">
      <c r="A902" s="298" t="s">
        <v>582</v>
      </c>
      <c r="B902" s="298" t="s">
        <v>9637</v>
      </c>
      <c r="C902" s="299">
        <v>306</v>
      </c>
      <c r="D902" s="298"/>
      <c r="E902" s="298"/>
      <c r="F902" s="300">
        <v>3138240753</v>
      </c>
      <c r="G902" s="298">
        <v>10120735048</v>
      </c>
      <c r="H902" s="298" t="s">
        <v>9638</v>
      </c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</row>
    <row r="903" spans="1:26" ht="14">
      <c r="A903" s="298" t="s">
        <v>584</v>
      </c>
      <c r="B903" s="298" t="s">
        <v>9639</v>
      </c>
      <c r="C903" s="299">
        <v>503</v>
      </c>
      <c r="D903" s="298" t="s">
        <v>9640</v>
      </c>
      <c r="E903" s="298"/>
      <c r="F903" s="300">
        <v>3014413418</v>
      </c>
      <c r="G903" s="298">
        <v>1129569242</v>
      </c>
      <c r="H903" s="298" t="s">
        <v>9641</v>
      </c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</row>
    <row r="904" spans="1:26" ht="14">
      <c r="A904" s="298" t="s">
        <v>586</v>
      </c>
      <c r="B904" s="298" t="s">
        <v>9642</v>
      </c>
      <c r="C904" s="299">
        <v>804</v>
      </c>
      <c r="D904" s="298"/>
      <c r="E904" s="298"/>
      <c r="F904" s="300">
        <v>3173607430</v>
      </c>
      <c r="G904" s="298">
        <v>52714208</v>
      </c>
      <c r="H904" s="298" t="s">
        <v>9643</v>
      </c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</row>
    <row r="905" spans="1:26" ht="14">
      <c r="A905" s="298" t="s">
        <v>589</v>
      </c>
      <c r="B905" s="298" t="s">
        <v>9644</v>
      </c>
      <c r="C905" s="299">
        <v>202</v>
      </c>
      <c r="D905" s="298" t="s">
        <v>9645</v>
      </c>
      <c r="E905" s="298"/>
      <c r="F905" s="313">
        <v>3134796318</v>
      </c>
      <c r="G905" s="298">
        <v>34322223</v>
      </c>
      <c r="H905" s="298" t="s">
        <v>9646</v>
      </c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</row>
    <row r="906" spans="1:26" ht="14">
      <c r="A906" s="298" t="s">
        <v>594</v>
      </c>
      <c r="B906" s="298" t="s">
        <v>9647</v>
      </c>
      <c r="C906" s="299">
        <v>1004</v>
      </c>
      <c r="D906" s="298" t="s">
        <v>9648</v>
      </c>
      <c r="E906" s="298"/>
      <c r="F906" s="345">
        <v>3157810213</v>
      </c>
      <c r="G906" s="298">
        <v>1026279100</v>
      </c>
      <c r="H906" s="298" t="s">
        <v>9649</v>
      </c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</row>
    <row r="907" spans="1:26" ht="14">
      <c r="A907" s="298" t="s">
        <v>598</v>
      </c>
      <c r="B907" s="298" t="s">
        <v>9650</v>
      </c>
      <c r="C907" s="299">
        <v>403</v>
      </c>
      <c r="D907" s="298" t="s">
        <v>9651</v>
      </c>
      <c r="E907" s="298"/>
      <c r="F907" s="300">
        <v>3118768320</v>
      </c>
      <c r="G907" s="298">
        <v>52259224</v>
      </c>
      <c r="H907" s="298" t="s">
        <v>9652</v>
      </c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</row>
    <row r="908" spans="1:26" ht="14">
      <c r="A908" s="298" t="s">
        <v>600</v>
      </c>
      <c r="B908" s="298" t="s">
        <v>9653</v>
      </c>
      <c r="C908" s="299">
        <v>606</v>
      </c>
      <c r="D908" s="298" t="s">
        <v>9654</v>
      </c>
      <c r="E908" s="298"/>
      <c r="F908" s="300" t="s">
        <v>9655</v>
      </c>
      <c r="G908" s="298">
        <v>46455939</v>
      </c>
      <c r="H908" s="298" t="s">
        <v>9656</v>
      </c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</row>
    <row r="909" spans="1:26" ht="14">
      <c r="A909" s="298" t="s">
        <v>603</v>
      </c>
      <c r="B909" s="298" t="s">
        <v>9657</v>
      </c>
      <c r="C909" s="299" t="s">
        <v>9658</v>
      </c>
      <c r="D909" s="298"/>
      <c r="E909" s="298"/>
      <c r="F909" s="300">
        <v>3506309003</v>
      </c>
      <c r="G909" s="298">
        <v>1013644244</v>
      </c>
      <c r="H909" s="298" t="s">
        <v>9659</v>
      </c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</row>
    <row r="910" spans="1:26" ht="14">
      <c r="A910" s="298" t="s">
        <v>605</v>
      </c>
      <c r="B910" s="298" t="s">
        <v>9660</v>
      </c>
      <c r="C910" s="299">
        <v>202</v>
      </c>
      <c r="D910" s="298" t="s">
        <v>9661</v>
      </c>
      <c r="E910" s="298"/>
      <c r="F910" s="300">
        <v>3176380506</v>
      </c>
      <c r="G910" s="298">
        <v>52387276</v>
      </c>
      <c r="H910" s="298" t="s">
        <v>9662</v>
      </c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</row>
    <row r="911" spans="1:26" ht="14">
      <c r="A911" s="298" t="s">
        <v>607</v>
      </c>
      <c r="B911" s="298" t="s">
        <v>9663</v>
      </c>
      <c r="C911" s="299">
        <v>507</v>
      </c>
      <c r="D911" s="298"/>
      <c r="E911" s="298"/>
      <c r="F911" s="298">
        <v>3187120526</v>
      </c>
      <c r="G911" s="298">
        <v>52411103</v>
      </c>
      <c r="H911" s="298" t="s">
        <v>9664</v>
      </c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</row>
    <row r="912" spans="1:26" ht="14">
      <c r="A912" s="298" t="s">
        <v>609</v>
      </c>
      <c r="B912" s="298" t="s">
        <v>9665</v>
      </c>
      <c r="C912" s="299">
        <v>304</v>
      </c>
      <c r="D912" s="298"/>
      <c r="E912" s="298"/>
      <c r="F912" s="345">
        <v>3187956046</v>
      </c>
      <c r="G912" s="298">
        <v>1110577109</v>
      </c>
      <c r="H912" s="298" t="s">
        <v>9666</v>
      </c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</row>
    <row r="913" spans="1:26" ht="14">
      <c r="A913" s="298" t="s">
        <v>611</v>
      </c>
      <c r="B913" s="298" t="s">
        <v>9667</v>
      </c>
      <c r="C913" s="299">
        <v>302</v>
      </c>
      <c r="D913" s="298"/>
      <c r="E913" s="298"/>
      <c r="F913" s="300">
        <v>3002092402</v>
      </c>
      <c r="G913" s="298">
        <v>80112202</v>
      </c>
      <c r="H913" s="298" t="s">
        <v>9668</v>
      </c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</row>
    <row r="914" spans="1:26" ht="14">
      <c r="A914" s="298" t="s">
        <v>613</v>
      </c>
      <c r="B914" s="298" t="s">
        <v>9669</v>
      </c>
      <c r="C914" s="299">
        <v>1009</v>
      </c>
      <c r="D914" s="298" t="s">
        <v>9670</v>
      </c>
      <c r="E914" s="298"/>
      <c r="F914" s="300">
        <v>3138709303</v>
      </c>
      <c r="G914" s="298">
        <v>1031142979</v>
      </c>
      <c r="H914" s="298" t="s">
        <v>9671</v>
      </c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</row>
    <row r="915" spans="1:26" ht="14">
      <c r="A915" s="298" t="s">
        <v>617</v>
      </c>
      <c r="B915" s="298" t="s">
        <v>9672</v>
      </c>
      <c r="C915" s="299">
        <v>203</v>
      </c>
      <c r="D915" s="298" t="s">
        <v>9673</v>
      </c>
      <c r="E915" s="298"/>
      <c r="F915" s="300">
        <v>3165283815</v>
      </c>
      <c r="G915" s="298">
        <v>80822389</v>
      </c>
      <c r="H915" s="298" t="s">
        <v>9674</v>
      </c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</row>
    <row r="916" spans="1:26" ht="14">
      <c r="A916" s="298" t="s">
        <v>623</v>
      </c>
      <c r="B916" s="298" t="s">
        <v>9675</v>
      </c>
      <c r="C916" s="299">
        <v>892</v>
      </c>
      <c r="D916" s="298" t="s">
        <v>9676</v>
      </c>
      <c r="E916" s="298"/>
      <c r="F916" s="300">
        <v>3108919807</v>
      </c>
      <c r="G916" s="298">
        <v>1017139281</v>
      </c>
      <c r="H916" s="298" t="s">
        <v>9677</v>
      </c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</row>
    <row r="917" spans="1:26" ht="14">
      <c r="A917" s="298" t="s">
        <v>625</v>
      </c>
      <c r="B917" s="298" t="s">
        <v>9678</v>
      </c>
      <c r="C917" s="299">
        <v>601</v>
      </c>
      <c r="D917" s="298" t="s">
        <v>9679</v>
      </c>
      <c r="E917" s="298"/>
      <c r="F917" s="300">
        <v>3103051296</v>
      </c>
      <c r="G917" s="298">
        <v>1136880023</v>
      </c>
      <c r="H917" s="298" t="s">
        <v>9680</v>
      </c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</row>
    <row r="918" spans="1:26" ht="14">
      <c r="A918" s="298" t="s">
        <v>632</v>
      </c>
      <c r="B918" s="298" t="s">
        <v>9681</v>
      </c>
      <c r="C918" s="299" t="s">
        <v>9682</v>
      </c>
      <c r="D918" s="298"/>
      <c r="E918" s="298"/>
      <c r="F918" s="300">
        <v>3002882239</v>
      </c>
      <c r="G918" s="298">
        <v>52844835</v>
      </c>
      <c r="H918" s="298" t="s">
        <v>9683</v>
      </c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</row>
    <row r="919" spans="1:26" ht="14">
      <c r="A919" s="345" t="s">
        <v>638</v>
      </c>
      <c r="B919" s="298" t="s">
        <v>9684</v>
      </c>
      <c r="C919" s="299">
        <v>211</v>
      </c>
      <c r="D919" s="298" t="s">
        <v>9685</v>
      </c>
      <c r="E919" s="298"/>
      <c r="F919" s="300">
        <v>3103754206</v>
      </c>
      <c r="G919" s="298">
        <v>1152221092</v>
      </c>
      <c r="H919" s="298" t="s">
        <v>9686</v>
      </c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</row>
    <row r="920" spans="1:26" ht="14">
      <c r="A920" s="345" t="s">
        <v>640</v>
      </c>
      <c r="B920" s="298" t="s">
        <v>9687</v>
      </c>
      <c r="C920" s="347" t="s">
        <v>9688</v>
      </c>
      <c r="D920" s="298" t="s">
        <v>9689</v>
      </c>
      <c r="E920" s="298"/>
      <c r="F920" s="300">
        <v>3124993039</v>
      </c>
      <c r="G920" s="298">
        <v>1057603674</v>
      </c>
      <c r="H920" s="298" t="s">
        <v>9690</v>
      </c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</row>
    <row r="921" spans="1:26" ht="14">
      <c r="A921" s="298" t="s">
        <v>642</v>
      </c>
      <c r="B921" s="298" t="s">
        <v>9691</v>
      </c>
      <c r="C921" s="299">
        <v>605</v>
      </c>
      <c r="D921" s="298" t="s">
        <v>9692</v>
      </c>
      <c r="E921" s="298"/>
      <c r="F921" s="300">
        <v>3108897827</v>
      </c>
      <c r="G921" s="298">
        <v>1026253088</v>
      </c>
      <c r="H921" s="298" t="s">
        <v>9693</v>
      </c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</row>
    <row r="922" spans="1:26" ht="14">
      <c r="A922" s="298" t="s">
        <v>647</v>
      </c>
      <c r="B922" s="298" t="s">
        <v>9694</v>
      </c>
      <c r="C922" s="299">
        <v>502</v>
      </c>
      <c r="D922" s="298"/>
      <c r="E922" s="298"/>
      <c r="F922" s="300">
        <v>3103889301</v>
      </c>
      <c r="G922" s="298">
        <v>1144043677</v>
      </c>
      <c r="H922" s="298" t="s">
        <v>9695</v>
      </c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</row>
    <row r="923" spans="1:26" ht="14">
      <c r="A923" s="298" t="s">
        <v>645</v>
      </c>
      <c r="B923" s="298" t="s">
        <v>9696</v>
      </c>
      <c r="C923" s="299">
        <v>1401</v>
      </c>
      <c r="D923" s="298" t="s">
        <v>9697</v>
      </c>
      <c r="E923" s="298"/>
      <c r="F923" s="300">
        <v>3177437265</v>
      </c>
      <c r="G923" s="298">
        <v>1052416714</v>
      </c>
      <c r="H923" s="298" t="s">
        <v>9698</v>
      </c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</row>
    <row r="924" spans="1:26" ht="14">
      <c r="A924" s="298" t="s">
        <v>649</v>
      </c>
      <c r="B924" s="345" t="s">
        <v>9699</v>
      </c>
      <c r="C924" s="299">
        <v>402</v>
      </c>
      <c r="D924" s="345" t="s">
        <v>9700</v>
      </c>
      <c r="E924" s="298"/>
      <c r="F924" s="300">
        <v>3105030637</v>
      </c>
      <c r="G924" s="298">
        <v>1128480347</v>
      </c>
      <c r="H924" s="298" t="s">
        <v>9701</v>
      </c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</row>
    <row r="925" spans="1:26" ht="14">
      <c r="A925" s="298" t="s">
        <v>651</v>
      </c>
      <c r="B925" s="298" t="s">
        <v>9702</v>
      </c>
      <c r="C925" s="299">
        <v>1401</v>
      </c>
      <c r="D925" s="298" t="s">
        <v>7201</v>
      </c>
      <c r="E925" s="298"/>
      <c r="F925" s="300">
        <v>3155452600</v>
      </c>
      <c r="G925" s="298">
        <v>52711259</v>
      </c>
      <c r="H925" s="298" t="s">
        <v>9703</v>
      </c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</row>
    <row r="926" spans="1:26" ht="14">
      <c r="A926" s="298" t="s">
        <v>655</v>
      </c>
      <c r="B926" s="298" t="s">
        <v>9704</v>
      </c>
      <c r="C926" s="299" t="s">
        <v>3822</v>
      </c>
      <c r="D926" s="298"/>
      <c r="E926" s="298"/>
      <c r="F926" s="300">
        <v>3218926697</v>
      </c>
      <c r="G926" s="298">
        <v>41342448</v>
      </c>
      <c r="H926" s="313" t="s">
        <v>9705</v>
      </c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</row>
    <row r="927" spans="1:26" ht="14">
      <c r="A927" s="298" t="s">
        <v>657</v>
      </c>
      <c r="B927" s="298" t="s">
        <v>9706</v>
      </c>
      <c r="C927" s="299">
        <v>401</v>
      </c>
      <c r="D927" s="298"/>
      <c r="E927" s="298"/>
      <c r="F927" s="300">
        <v>3209072700</v>
      </c>
      <c r="G927" s="298">
        <v>1020742432</v>
      </c>
      <c r="H927" s="345" t="s">
        <v>9707</v>
      </c>
      <c r="I927" s="348"/>
      <c r="J927" s="348"/>
      <c r="K927" s="348"/>
      <c r="L927" s="348"/>
      <c r="M927" s="348"/>
      <c r="N927" s="348"/>
      <c r="O927" s="348"/>
      <c r="P927" s="348"/>
      <c r="Q927" s="348"/>
      <c r="R927" s="348"/>
      <c r="S927" s="348"/>
      <c r="T927" s="348"/>
      <c r="U927" s="348"/>
      <c r="V927" s="348"/>
      <c r="W927" s="348"/>
      <c r="X927" s="348"/>
      <c r="Y927" s="348"/>
      <c r="Z927" s="348"/>
    </row>
    <row r="928" spans="1:26" ht="14">
      <c r="A928" s="298" t="s">
        <v>659</v>
      </c>
      <c r="B928" s="345" t="s">
        <v>9708</v>
      </c>
      <c r="C928" s="299">
        <v>401</v>
      </c>
      <c r="D928" s="298" t="s">
        <v>9709</v>
      </c>
      <c r="E928" s="298"/>
      <c r="F928" s="300">
        <v>3203991537</v>
      </c>
      <c r="G928" s="298">
        <v>52700962</v>
      </c>
      <c r="H928" s="298" t="s">
        <v>9710</v>
      </c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</row>
    <row r="929" spans="1:26" ht="14">
      <c r="A929" s="303" t="s">
        <v>664</v>
      </c>
      <c r="B929" s="298" t="s">
        <v>9711</v>
      </c>
      <c r="C929" s="299">
        <v>808</v>
      </c>
      <c r="D929" s="298"/>
      <c r="E929" s="298"/>
      <c r="F929" s="300">
        <v>3209801533</v>
      </c>
      <c r="G929" s="298">
        <v>1032419929</v>
      </c>
      <c r="H929" s="298" t="s">
        <v>9712</v>
      </c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</row>
    <row r="930" spans="1:26" ht="14">
      <c r="A930" s="298" t="s">
        <v>886</v>
      </c>
      <c r="B930" s="298" t="s">
        <v>9713</v>
      </c>
      <c r="C930" s="299">
        <v>807</v>
      </c>
      <c r="D930" s="298"/>
      <c r="E930" s="298"/>
      <c r="F930" s="300">
        <v>3138094362</v>
      </c>
      <c r="G930" s="298">
        <v>1020802619</v>
      </c>
      <c r="H930" s="298" t="s">
        <v>9714</v>
      </c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</row>
    <row r="931" spans="1:26" ht="14">
      <c r="A931" s="303" t="s">
        <v>888</v>
      </c>
      <c r="B931" s="298" t="s">
        <v>9715</v>
      </c>
      <c r="C931" s="299">
        <v>409</v>
      </c>
      <c r="D931" s="298" t="s">
        <v>9716</v>
      </c>
      <c r="E931" s="298"/>
      <c r="F931" s="300">
        <v>3207336086</v>
      </c>
      <c r="G931" s="298">
        <v>1136881032</v>
      </c>
      <c r="H931" s="298" t="s">
        <v>9717</v>
      </c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</row>
    <row r="932" spans="1:26" ht="14">
      <c r="A932" s="298" t="s">
        <v>890</v>
      </c>
      <c r="B932" s="298" t="s">
        <v>9718</v>
      </c>
      <c r="C932" s="299">
        <v>202</v>
      </c>
      <c r="D932" s="298"/>
      <c r="E932" s="298"/>
      <c r="F932" s="300">
        <v>3166916566</v>
      </c>
      <c r="G932" s="298">
        <v>52419785</v>
      </c>
      <c r="H932" s="298" t="s">
        <v>9719</v>
      </c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</row>
    <row r="933" spans="1:26" ht="14">
      <c r="A933" s="298" t="s">
        <v>892</v>
      </c>
      <c r="B933" s="298" t="s">
        <v>9720</v>
      </c>
      <c r="C933" s="299"/>
      <c r="D933" s="298" t="s">
        <v>9721</v>
      </c>
      <c r="E933" s="298"/>
      <c r="F933" s="300">
        <v>3105823350</v>
      </c>
      <c r="G933" s="298">
        <v>1023948505</v>
      </c>
      <c r="H933" s="298" t="s">
        <v>9722</v>
      </c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</row>
    <row r="934" spans="1:26" ht="14">
      <c r="A934" s="298" t="s">
        <v>894</v>
      </c>
      <c r="B934" s="298" t="s">
        <v>9723</v>
      </c>
      <c r="C934" s="299">
        <v>406</v>
      </c>
      <c r="D934" s="298"/>
      <c r="E934" s="298"/>
      <c r="F934" s="300">
        <v>3136853828</v>
      </c>
      <c r="G934" s="298">
        <v>1053848969</v>
      </c>
      <c r="H934" s="298" t="s">
        <v>9724</v>
      </c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</row>
    <row r="935" spans="1:26" ht="14">
      <c r="A935" s="298" t="s">
        <v>896</v>
      </c>
      <c r="B935" s="298" t="s">
        <v>9725</v>
      </c>
      <c r="C935" s="299">
        <v>103</v>
      </c>
      <c r="D935" s="298" t="s">
        <v>9726</v>
      </c>
      <c r="E935" s="298"/>
      <c r="F935" s="300">
        <v>3107631608</v>
      </c>
      <c r="G935" s="298">
        <v>1020743869</v>
      </c>
      <c r="H935" s="298" t="s">
        <v>9727</v>
      </c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</row>
    <row r="936" spans="1:26" ht="14">
      <c r="A936" s="298" t="s">
        <v>900</v>
      </c>
      <c r="B936" s="298" t="s">
        <v>9728</v>
      </c>
      <c r="C936" s="299">
        <v>407</v>
      </c>
      <c r="D936" s="298"/>
      <c r="E936" s="298"/>
      <c r="F936" s="300">
        <v>3194188875</v>
      </c>
      <c r="G936" s="298">
        <v>845263</v>
      </c>
      <c r="H936" s="298" t="s">
        <v>9729</v>
      </c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</row>
    <row r="937" spans="1:26" ht="14">
      <c r="A937" s="349" t="s">
        <v>902</v>
      </c>
      <c r="B937" s="298" t="s">
        <v>9730</v>
      </c>
      <c r="C937" s="299">
        <v>502</v>
      </c>
      <c r="D937" s="298"/>
      <c r="E937" s="298"/>
      <c r="F937" s="300">
        <v>3118766986</v>
      </c>
      <c r="G937" s="298">
        <v>1019089548</v>
      </c>
      <c r="H937" s="298" t="s">
        <v>9731</v>
      </c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</row>
    <row r="938" spans="1:26" ht="14">
      <c r="A938" s="298" t="s">
        <v>904</v>
      </c>
      <c r="B938" s="298" t="s">
        <v>9732</v>
      </c>
      <c r="C938" s="299">
        <v>202</v>
      </c>
      <c r="D938" s="298"/>
      <c r="E938" s="298"/>
      <c r="F938" s="300">
        <v>3102116677</v>
      </c>
      <c r="G938" s="298">
        <v>41526123</v>
      </c>
      <c r="H938" s="298" t="s">
        <v>9733</v>
      </c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</row>
    <row r="939" spans="1:26" ht="14">
      <c r="A939" s="298" t="s">
        <v>906</v>
      </c>
      <c r="B939" s="298" t="s">
        <v>9734</v>
      </c>
      <c r="C939" s="299">
        <v>205</v>
      </c>
      <c r="D939" s="298" t="s">
        <v>9735</v>
      </c>
      <c r="E939" s="298"/>
      <c r="F939" s="300">
        <v>3002830335</v>
      </c>
      <c r="G939" s="298">
        <v>52793124</v>
      </c>
      <c r="H939" s="298" t="s">
        <v>9736</v>
      </c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</row>
    <row r="940" spans="1:26" ht="14">
      <c r="A940" s="298" t="s">
        <v>908</v>
      </c>
      <c r="B940" s="298" t="s">
        <v>9737</v>
      </c>
      <c r="C940" s="299">
        <v>604</v>
      </c>
      <c r="D940" s="298" t="s">
        <v>9738</v>
      </c>
      <c r="E940" s="298"/>
      <c r="F940" s="300">
        <v>3222680932</v>
      </c>
      <c r="G940" s="298">
        <v>5350697</v>
      </c>
      <c r="H940" s="298" t="s">
        <v>9739</v>
      </c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</row>
    <row r="941" spans="1:26" ht="14">
      <c r="A941" s="298" t="s">
        <v>9740</v>
      </c>
      <c r="B941" s="298" t="s">
        <v>9741</v>
      </c>
      <c r="C941" s="299">
        <v>1302</v>
      </c>
      <c r="D941" s="344" t="s">
        <v>9742</v>
      </c>
      <c r="E941" s="298"/>
      <c r="F941" s="300">
        <v>3108588518</v>
      </c>
      <c r="G941" s="298">
        <v>80407021</v>
      </c>
      <c r="H941" s="298" t="s">
        <v>9743</v>
      </c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</row>
    <row r="942" spans="1:26" ht="14">
      <c r="A942" s="298" t="s">
        <v>912</v>
      </c>
      <c r="B942" s="298" t="s">
        <v>9744</v>
      </c>
      <c r="C942" s="299">
        <v>903</v>
      </c>
      <c r="D942" s="298" t="s">
        <v>9745</v>
      </c>
      <c r="E942" s="298"/>
      <c r="F942" s="300">
        <v>3153807704</v>
      </c>
      <c r="G942" s="298">
        <v>79241802</v>
      </c>
      <c r="H942" s="298" t="s">
        <v>9746</v>
      </c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</row>
    <row r="943" spans="1:26" ht="14">
      <c r="A943" s="298" t="s">
        <v>925</v>
      </c>
      <c r="B943" s="298" t="s">
        <v>9747</v>
      </c>
      <c r="C943" s="299"/>
      <c r="D943" s="298" t="s">
        <v>9748</v>
      </c>
      <c r="E943" s="298"/>
      <c r="F943" s="300">
        <v>3153539167</v>
      </c>
      <c r="G943" s="298">
        <v>31921831</v>
      </c>
      <c r="H943" s="298" t="s">
        <v>9749</v>
      </c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</row>
    <row r="944" spans="1:26" ht="14">
      <c r="A944" s="298" t="s">
        <v>927</v>
      </c>
      <c r="B944" s="298" t="s">
        <v>9750</v>
      </c>
      <c r="C944" s="299">
        <v>1105</v>
      </c>
      <c r="D944" s="298" t="s">
        <v>9751</v>
      </c>
      <c r="E944" s="298"/>
      <c r="F944" s="300">
        <v>3208556528</v>
      </c>
      <c r="G944" s="298">
        <v>30233085</v>
      </c>
      <c r="H944" s="298" t="s">
        <v>9752</v>
      </c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</row>
    <row r="945" spans="1:26" ht="14">
      <c r="A945" s="298" t="s">
        <v>929</v>
      </c>
      <c r="B945" s="298" t="s">
        <v>9753</v>
      </c>
      <c r="C945" s="299">
        <v>302</v>
      </c>
      <c r="D945" s="298"/>
      <c r="E945" s="298"/>
      <c r="F945" s="300">
        <v>3013365725</v>
      </c>
      <c r="G945" s="298">
        <v>52958086</v>
      </c>
      <c r="H945" s="298" t="s">
        <v>9754</v>
      </c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</row>
    <row r="946" spans="1:26" ht="14">
      <c r="A946" s="298" t="s">
        <v>931</v>
      </c>
      <c r="B946" s="298" t="s">
        <v>9755</v>
      </c>
      <c r="C946" s="299">
        <v>306</v>
      </c>
      <c r="D946" s="298" t="s">
        <v>9756</v>
      </c>
      <c r="E946" s="298"/>
      <c r="F946" s="300">
        <v>3112558942</v>
      </c>
      <c r="G946" s="298">
        <v>1018441126</v>
      </c>
      <c r="H946" s="298" t="s">
        <v>9757</v>
      </c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</row>
    <row r="947" spans="1:26" ht="14">
      <c r="A947" s="298" t="s">
        <v>936</v>
      </c>
      <c r="B947" s="298" t="s">
        <v>9758</v>
      </c>
      <c r="C947" s="299" t="s">
        <v>9759</v>
      </c>
      <c r="D947" s="298"/>
      <c r="E947" s="298"/>
      <c r="F947" s="300">
        <v>3209599462</v>
      </c>
      <c r="G947" s="298">
        <v>1032368131</v>
      </c>
      <c r="H947" s="298" t="s">
        <v>9760</v>
      </c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</row>
    <row r="948" spans="1:26" ht="14">
      <c r="A948" s="298" t="s">
        <v>940</v>
      </c>
      <c r="B948" s="298" t="s">
        <v>9761</v>
      </c>
      <c r="C948" s="299">
        <v>403</v>
      </c>
      <c r="D948" s="298" t="s">
        <v>9762</v>
      </c>
      <c r="E948" s="298"/>
      <c r="F948" s="300">
        <v>3185357945</v>
      </c>
      <c r="G948" s="298">
        <v>2000013882</v>
      </c>
      <c r="H948" s="298" t="s">
        <v>9763</v>
      </c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</row>
    <row r="949" spans="1:26" ht="14">
      <c r="A949" s="298" t="s">
        <v>943</v>
      </c>
      <c r="B949" s="298" t="s">
        <v>9764</v>
      </c>
      <c r="C949" s="299">
        <v>201</v>
      </c>
      <c r="D949" s="298" t="s">
        <v>9765</v>
      </c>
      <c r="E949" s="298"/>
      <c r="F949" s="300">
        <v>3044109332</v>
      </c>
      <c r="G949" s="298">
        <v>43157544</v>
      </c>
      <c r="H949" s="298" t="s">
        <v>9766</v>
      </c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</row>
    <row r="950" spans="1:26" ht="14">
      <c r="A950" s="298" t="s">
        <v>946</v>
      </c>
      <c r="B950" s="298" t="s">
        <v>9767</v>
      </c>
      <c r="C950" s="299">
        <v>603</v>
      </c>
      <c r="D950" s="298"/>
      <c r="E950" s="298"/>
      <c r="F950" s="300">
        <v>3007126846</v>
      </c>
      <c r="G950" s="298">
        <v>79951142</v>
      </c>
      <c r="H950" s="298" t="s">
        <v>9768</v>
      </c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</row>
    <row r="951" spans="1:26" ht="14">
      <c r="A951" s="298" t="s">
        <v>953</v>
      </c>
      <c r="B951" s="298" t="s">
        <v>9769</v>
      </c>
      <c r="C951" s="299">
        <v>101</v>
      </c>
      <c r="D951" s="298"/>
      <c r="E951" s="298"/>
      <c r="F951" s="300">
        <v>3115748820</v>
      </c>
      <c r="G951" s="298">
        <v>1020797689</v>
      </c>
      <c r="H951" s="298" t="s">
        <v>9770</v>
      </c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</row>
    <row r="952" spans="1:26" ht="14">
      <c r="A952" s="298" t="s">
        <v>955</v>
      </c>
      <c r="B952" s="298" t="s">
        <v>9771</v>
      </c>
      <c r="C952" s="299">
        <v>303</v>
      </c>
      <c r="D952" s="298"/>
      <c r="E952" s="298"/>
      <c r="F952" s="300">
        <v>3002653415</v>
      </c>
      <c r="G952" s="298">
        <v>291421</v>
      </c>
      <c r="H952" s="298" t="s">
        <v>9772</v>
      </c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</row>
    <row r="953" spans="1:26" ht="14">
      <c r="A953" s="298" t="s">
        <v>957</v>
      </c>
      <c r="B953" s="298" t="s">
        <v>9773</v>
      </c>
      <c r="C953" s="299">
        <v>701</v>
      </c>
      <c r="D953" s="298"/>
      <c r="E953" s="298"/>
      <c r="F953" s="300">
        <v>3173707837</v>
      </c>
      <c r="G953" s="298">
        <v>79939789</v>
      </c>
      <c r="H953" s="298" t="s">
        <v>9774</v>
      </c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</row>
    <row r="954" spans="1:26" ht="14">
      <c r="A954" s="298" t="s">
        <v>963</v>
      </c>
      <c r="B954" s="298" t="s">
        <v>9775</v>
      </c>
      <c r="C954" s="299">
        <v>602</v>
      </c>
      <c r="D954" s="298" t="s">
        <v>9776</v>
      </c>
      <c r="E954" s="298"/>
      <c r="F954" s="300">
        <v>3133507152</v>
      </c>
      <c r="G954" s="298">
        <v>41658148</v>
      </c>
      <c r="H954" s="298" t="s">
        <v>9777</v>
      </c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</row>
    <row r="955" spans="1:26" ht="14">
      <c r="A955" s="298" t="s">
        <v>966</v>
      </c>
      <c r="B955" s="298" t="s">
        <v>9778</v>
      </c>
      <c r="C955" s="299">
        <v>504</v>
      </c>
      <c r="D955" s="298"/>
      <c r="E955" s="298"/>
      <c r="F955" s="300">
        <v>3108602372</v>
      </c>
      <c r="G955" s="298">
        <v>80133134</v>
      </c>
      <c r="H955" s="298" t="s">
        <v>9779</v>
      </c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</row>
    <row r="956" spans="1:26" ht="14">
      <c r="A956" s="303" t="s">
        <v>968</v>
      </c>
      <c r="B956" s="298" t="s">
        <v>9780</v>
      </c>
      <c r="C956" s="299">
        <v>1405</v>
      </c>
      <c r="D956" s="298"/>
      <c r="E956" s="298"/>
      <c r="F956" s="300">
        <v>3008153948</v>
      </c>
      <c r="G956" s="298">
        <v>1032356763</v>
      </c>
      <c r="H956" s="298" t="s">
        <v>9781</v>
      </c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</row>
    <row r="957" spans="1:26" ht="14">
      <c r="A957" s="298" t="s">
        <v>970</v>
      </c>
      <c r="B957" s="298" t="s">
        <v>9782</v>
      </c>
      <c r="C957" s="299">
        <v>707</v>
      </c>
      <c r="D957" s="303" t="s">
        <v>9783</v>
      </c>
      <c r="E957" s="298"/>
      <c r="F957" s="300">
        <v>3134880259</v>
      </c>
      <c r="G957" s="298">
        <v>1019049938</v>
      </c>
      <c r="H957" s="298" t="s">
        <v>9784</v>
      </c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</row>
    <row r="958" spans="1:26" ht="14">
      <c r="A958" s="298" t="s">
        <v>972</v>
      </c>
      <c r="B958" s="298" t="s">
        <v>9785</v>
      </c>
      <c r="C958" s="299">
        <v>223</v>
      </c>
      <c r="D958" s="298" t="s">
        <v>9786</v>
      </c>
      <c r="E958" s="298"/>
      <c r="F958" s="303">
        <v>3175738634</v>
      </c>
      <c r="G958" s="298">
        <v>1122413175</v>
      </c>
      <c r="H958" s="298" t="s">
        <v>9787</v>
      </c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</row>
    <row r="959" spans="1:26" ht="14">
      <c r="A959" s="298" t="s">
        <v>981</v>
      </c>
      <c r="B959" s="298" t="s">
        <v>9788</v>
      </c>
      <c r="C959" s="299">
        <v>304</v>
      </c>
      <c r="D959" s="298" t="s">
        <v>9789</v>
      </c>
      <c r="E959" s="298"/>
      <c r="F959" s="300">
        <v>3204153320</v>
      </c>
      <c r="G959" s="298">
        <v>53013656</v>
      </c>
      <c r="H959" s="298" t="s">
        <v>9790</v>
      </c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</row>
    <row r="960" spans="1:26" ht="14">
      <c r="A960" s="298" t="s">
        <v>988</v>
      </c>
      <c r="B960" s="298" t="s">
        <v>9791</v>
      </c>
      <c r="C960" s="299">
        <v>504</v>
      </c>
      <c r="D960" s="298"/>
      <c r="E960" s="298"/>
      <c r="F960" s="300">
        <v>3102551884</v>
      </c>
      <c r="G960" s="298">
        <v>1019080444</v>
      </c>
      <c r="H960" s="298" t="s">
        <v>9792</v>
      </c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</row>
    <row r="961" spans="1:26" ht="14">
      <c r="A961" s="298" t="s">
        <v>990</v>
      </c>
      <c r="B961" s="298" t="s">
        <v>9793</v>
      </c>
      <c r="C961" s="299">
        <v>301</v>
      </c>
      <c r="D961" s="298" t="s">
        <v>9794</v>
      </c>
      <c r="E961" s="298"/>
      <c r="F961" s="300">
        <v>3102420176</v>
      </c>
      <c r="G961" s="298">
        <v>41463182</v>
      </c>
      <c r="H961" s="298" t="s">
        <v>9795</v>
      </c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</row>
    <row r="962" spans="1:26" ht="14">
      <c r="A962" s="298" t="s">
        <v>992</v>
      </c>
      <c r="B962" s="298" t="s">
        <v>9796</v>
      </c>
      <c r="C962" s="299">
        <v>402</v>
      </c>
      <c r="D962" s="298"/>
      <c r="E962" s="298"/>
      <c r="F962" s="300">
        <v>3158808059</v>
      </c>
      <c r="G962" s="298">
        <v>1020760265</v>
      </c>
      <c r="H962" s="298" t="s">
        <v>9797</v>
      </c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</row>
    <row r="963" spans="1:26" ht="14">
      <c r="A963" s="298" t="s">
        <v>996</v>
      </c>
      <c r="B963" s="298" t="s">
        <v>9798</v>
      </c>
      <c r="C963" s="299">
        <v>503</v>
      </c>
      <c r="D963" s="298" t="s">
        <v>9799</v>
      </c>
      <c r="E963" s="298"/>
      <c r="F963" s="300">
        <v>1030551841</v>
      </c>
      <c r="G963" s="298">
        <v>1030551841</v>
      </c>
      <c r="H963" s="298" t="s">
        <v>9800</v>
      </c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</row>
    <row r="964" spans="1:26" ht="14">
      <c r="A964" s="298" t="s">
        <v>998</v>
      </c>
      <c r="B964" s="298" t="s">
        <v>9801</v>
      </c>
      <c r="C964" s="299">
        <v>904</v>
      </c>
      <c r="D964" s="298" t="s">
        <v>9802</v>
      </c>
      <c r="E964" s="298"/>
      <c r="F964" s="300">
        <v>3504545002</v>
      </c>
      <c r="G964" s="298">
        <v>1019036313</v>
      </c>
      <c r="H964" s="298" t="s">
        <v>9803</v>
      </c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</row>
    <row r="965" spans="1:26" ht="14">
      <c r="A965" s="298" t="s">
        <v>1003</v>
      </c>
      <c r="B965" s="298" t="s">
        <v>9804</v>
      </c>
      <c r="C965" s="299">
        <v>1201</v>
      </c>
      <c r="D965" s="298" t="s">
        <v>9805</v>
      </c>
      <c r="E965" s="298"/>
      <c r="F965" s="300">
        <v>3102015976</v>
      </c>
      <c r="G965" s="298">
        <v>53105795</v>
      </c>
      <c r="H965" s="298" t="s">
        <v>9806</v>
      </c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</row>
    <row r="966" spans="1:26" ht="14">
      <c r="A966" s="298" t="s">
        <v>994</v>
      </c>
      <c r="B966" s="298" t="s">
        <v>9807</v>
      </c>
      <c r="C966" s="299" t="s">
        <v>9808</v>
      </c>
      <c r="D966" s="298" t="s">
        <v>9809</v>
      </c>
      <c r="E966" s="298"/>
      <c r="F966" s="300">
        <v>3183066367</v>
      </c>
      <c r="G966" s="298">
        <v>1019005350</v>
      </c>
      <c r="H966" s="298" t="s">
        <v>9810</v>
      </c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</row>
    <row r="967" spans="1:26" ht="14">
      <c r="A967" s="298" t="s">
        <v>1005</v>
      </c>
      <c r="B967" s="298" t="s">
        <v>9811</v>
      </c>
      <c r="C967" s="299">
        <v>603</v>
      </c>
      <c r="D967" s="298" t="s">
        <v>8552</v>
      </c>
      <c r="E967" s="298"/>
      <c r="F967" s="300">
        <v>3104135922</v>
      </c>
      <c r="G967" s="298">
        <v>71788737</v>
      </c>
      <c r="H967" s="298" t="s">
        <v>9812</v>
      </c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</row>
    <row r="968" spans="1:26" ht="14">
      <c r="A968" s="298" t="s">
        <v>1008</v>
      </c>
      <c r="B968" s="298" t="s">
        <v>9813</v>
      </c>
      <c r="C968" s="299">
        <v>310</v>
      </c>
      <c r="D968" s="298"/>
      <c r="E968" s="298"/>
      <c r="F968" s="300">
        <v>3246874551</v>
      </c>
      <c r="G968" s="298">
        <v>1049616669</v>
      </c>
      <c r="H968" s="298" t="s">
        <v>9814</v>
      </c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</row>
    <row r="969" spans="1:26" ht="14">
      <c r="A969" s="303" t="s">
        <v>1010</v>
      </c>
      <c r="B969" s="303" t="s">
        <v>9815</v>
      </c>
      <c r="C969" s="299">
        <v>202</v>
      </c>
      <c r="D969" s="298"/>
      <c r="E969" s="298"/>
      <c r="F969" s="300">
        <v>3112313327</v>
      </c>
      <c r="G969" s="298">
        <v>80136030</v>
      </c>
      <c r="H969" s="298" t="s">
        <v>9816</v>
      </c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</row>
    <row r="970" spans="1:26" ht="14">
      <c r="A970" s="298" t="s">
        <v>1012</v>
      </c>
      <c r="B970" s="298" t="s">
        <v>9817</v>
      </c>
      <c r="C970" s="299">
        <v>505</v>
      </c>
      <c r="D970" s="298" t="s">
        <v>9799</v>
      </c>
      <c r="E970" s="298"/>
      <c r="F970" s="300">
        <v>3112812873</v>
      </c>
      <c r="G970" s="298">
        <v>52413321</v>
      </c>
      <c r="H970" s="298" t="s">
        <v>9818</v>
      </c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</row>
    <row r="971" spans="1:26" ht="14">
      <c r="A971" s="298" t="s">
        <v>1065</v>
      </c>
      <c r="B971" s="298" t="s">
        <v>9819</v>
      </c>
      <c r="C971" s="299" t="s">
        <v>7072</v>
      </c>
      <c r="D971" s="298" t="s">
        <v>9820</v>
      </c>
      <c r="E971" s="298" t="s">
        <v>9821</v>
      </c>
      <c r="F971" s="349">
        <v>3123170188</v>
      </c>
      <c r="G971" s="300">
        <v>52048494</v>
      </c>
      <c r="H971" s="298" t="s">
        <v>9822</v>
      </c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</row>
    <row r="972" spans="1:26" ht="14">
      <c r="A972" s="298" t="s">
        <v>1014</v>
      </c>
      <c r="B972" s="298" t="s">
        <v>9823</v>
      </c>
      <c r="C972" s="299">
        <v>402</v>
      </c>
      <c r="D972" s="298" t="s">
        <v>9824</v>
      </c>
      <c r="E972" s="298"/>
      <c r="F972" s="300">
        <v>3107894209</v>
      </c>
      <c r="G972" s="298">
        <v>53176449</v>
      </c>
      <c r="H972" s="298" t="s">
        <v>9825</v>
      </c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</row>
    <row r="973" spans="1:26" ht="14">
      <c r="A973" s="298" t="s">
        <v>1016</v>
      </c>
      <c r="B973" s="298" t="s">
        <v>9826</v>
      </c>
      <c r="C973" s="299">
        <v>124</v>
      </c>
      <c r="D973" s="298"/>
      <c r="E973" s="298"/>
      <c r="F973" s="300">
        <v>3124617884</v>
      </c>
      <c r="G973" s="298">
        <v>41610178</v>
      </c>
      <c r="H973" s="298" t="s">
        <v>9827</v>
      </c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</row>
    <row r="974" spans="1:26" ht="14">
      <c r="A974" s="298" t="s">
        <v>1018</v>
      </c>
      <c r="B974" s="298" t="s">
        <v>9828</v>
      </c>
      <c r="C974" s="299">
        <v>208</v>
      </c>
      <c r="D974" s="298"/>
      <c r="E974" s="298"/>
      <c r="F974" s="300">
        <v>3175156175</v>
      </c>
      <c r="G974" s="298">
        <v>7684954</v>
      </c>
      <c r="H974" s="298" t="s">
        <v>9829</v>
      </c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</row>
    <row r="975" spans="1:26" ht="14">
      <c r="A975" s="298" t="s">
        <v>1020</v>
      </c>
      <c r="B975" s="298" t="s">
        <v>9830</v>
      </c>
      <c r="C975" s="299">
        <v>802</v>
      </c>
      <c r="D975" s="298"/>
      <c r="E975" s="298"/>
      <c r="F975" s="300">
        <v>3158949446</v>
      </c>
      <c r="G975" s="298">
        <v>31907754</v>
      </c>
      <c r="H975" s="298" t="s">
        <v>9831</v>
      </c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</row>
    <row r="976" spans="1:26" ht="14">
      <c r="A976" s="298" t="s">
        <v>1022</v>
      </c>
      <c r="B976" s="298" t="s">
        <v>9832</v>
      </c>
      <c r="C976" s="299">
        <v>203</v>
      </c>
      <c r="D976" s="298"/>
      <c r="E976" s="298"/>
      <c r="F976" s="300">
        <v>3112380157</v>
      </c>
      <c r="G976" s="298">
        <v>52514578</v>
      </c>
      <c r="H976" s="298" t="s">
        <v>9833</v>
      </c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</row>
    <row r="977" spans="1:26" ht="14">
      <c r="A977" s="298" t="s">
        <v>1024</v>
      </c>
      <c r="B977" s="298" t="s">
        <v>9834</v>
      </c>
      <c r="C977" s="299" t="s">
        <v>9835</v>
      </c>
      <c r="D977" s="298"/>
      <c r="E977" s="298"/>
      <c r="F977" s="300">
        <v>3002732138</v>
      </c>
      <c r="G977" s="298">
        <v>52968856</v>
      </c>
      <c r="H977" s="298" t="s">
        <v>9836</v>
      </c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</row>
    <row r="978" spans="1:26" ht="14">
      <c r="A978" s="298" t="s">
        <v>1026</v>
      </c>
      <c r="B978" s="298" t="s">
        <v>9837</v>
      </c>
      <c r="C978" s="299">
        <v>805</v>
      </c>
      <c r="D978" s="298"/>
      <c r="E978" s="298"/>
      <c r="F978" s="300">
        <v>3504966765</v>
      </c>
      <c r="G978" s="298">
        <v>1113680619</v>
      </c>
      <c r="H978" s="298" t="s">
        <v>9838</v>
      </c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</row>
    <row r="979" spans="1:26" ht="14">
      <c r="A979" s="298" t="s">
        <v>1030</v>
      </c>
      <c r="B979" s="298" t="s">
        <v>9839</v>
      </c>
      <c r="C979" s="299">
        <v>302</v>
      </c>
      <c r="D979" s="298"/>
      <c r="E979" s="298"/>
      <c r="F979" s="300">
        <v>3162723552</v>
      </c>
      <c r="G979" s="298">
        <v>392088</v>
      </c>
      <c r="H979" s="298" t="s">
        <v>9840</v>
      </c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</row>
    <row r="980" spans="1:26" ht="14">
      <c r="A980" s="298" t="s">
        <v>1032</v>
      </c>
      <c r="B980" s="298" t="s">
        <v>9841</v>
      </c>
      <c r="C980" s="299">
        <v>501</v>
      </c>
      <c r="D980" s="298"/>
      <c r="E980" s="298"/>
      <c r="F980" s="300">
        <v>3142841145</v>
      </c>
      <c r="G980" s="298">
        <v>1020750839</v>
      </c>
      <c r="H980" s="298" t="s">
        <v>9842</v>
      </c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</row>
    <row r="981" spans="1:26" ht="14">
      <c r="A981" s="298" t="s">
        <v>1034</v>
      </c>
      <c r="B981" s="298" t="s">
        <v>9843</v>
      </c>
      <c r="C981" s="299">
        <v>202</v>
      </c>
      <c r="D981" s="298"/>
      <c r="E981" s="298"/>
      <c r="F981" s="300">
        <v>3204636050</v>
      </c>
      <c r="G981" s="298">
        <v>1015480105</v>
      </c>
      <c r="H981" s="298" t="s">
        <v>9844</v>
      </c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</row>
    <row r="982" spans="1:26" ht="14">
      <c r="A982" s="298" t="s">
        <v>1036</v>
      </c>
      <c r="B982" s="298" t="s">
        <v>9845</v>
      </c>
      <c r="C982" s="299">
        <v>106</v>
      </c>
      <c r="D982" s="298"/>
      <c r="E982" s="298"/>
      <c r="F982" s="300">
        <v>3153503039</v>
      </c>
      <c r="G982" s="298">
        <v>41647854</v>
      </c>
      <c r="H982" s="298" t="s">
        <v>9846</v>
      </c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</row>
    <row r="983" spans="1:26" ht="14">
      <c r="A983" s="298" t="s">
        <v>1040</v>
      </c>
      <c r="B983" s="298" t="s">
        <v>9847</v>
      </c>
      <c r="C983" s="299">
        <v>602</v>
      </c>
      <c r="D983" s="303" t="s">
        <v>9848</v>
      </c>
      <c r="E983" s="298"/>
      <c r="F983" s="300">
        <v>3153397307</v>
      </c>
      <c r="G983" s="298">
        <v>35462407</v>
      </c>
      <c r="H983" s="298" t="s">
        <v>9849</v>
      </c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</row>
    <row r="984" spans="1:26" ht="14">
      <c r="A984" s="298" t="s">
        <v>1042</v>
      </c>
      <c r="B984" s="298" t="s">
        <v>9850</v>
      </c>
      <c r="C984" s="299">
        <v>601</v>
      </c>
      <c r="D984" s="298" t="s">
        <v>9799</v>
      </c>
      <c r="E984" s="298"/>
      <c r="F984" s="300">
        <v>3132848955</v>
      </c>
      <c r="G984" s="298">
        <v>1020725834</v>
      </c>
      <c r="H984" s="298" t="s">
        <v>9851</v>
      </c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</row>
    <row r="985" spans="1:26" ht="14">
      <c r="A985" s="298" t="s">
        <v>1044</v>
      </c>
      <c r="B985" s="298" t="s">
        <v>9852</v>
      </c>
      <c r="C985" s="299">
        <v>1320</v>
      </c>
      <c r="D985" s="298" t="s">
        <v>9799</v>
      </c>
      <c r="E985" s="298"/>
      <c r="F985" s="300">
        <v>3007976696</v>
      </c>
      <c r="G985" s="298">
        <v>1015441685</v>
      </c>
      <c r="H985" s="298" t="s">
        <v>9853</v>
      </c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</row>
    <row r="986" spans="1:26" ht="14">
      <c r="A986" s="298" t="s">
        <v>1046</v>
      </c>
      <c r="B986" s="298" t="s">
        <v>9854</v>
      </c>
      <c r="C986" s="299">
        <v>202</v>
      </c>
      <c r="D986" s="298"/>
      <c r="E986" s="298"/>
      <c r="F986" s="300">
        <v>3103845161</v>
      </c>
      <c r="G986" s="298">
        <v>1018419652</v>
      </c>
      <c r="H986" s="298" t="s">
        <v>9855</v>
      </c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</row>
    <row r="987" spans="1:26" ht="14">
      <c r="A987" s="298" t="s">
        <v>1052</v>
      </c>
      <c r="B987" s="298" t="s">
        <v>9856</v>
      </c>
      <c r="C987" s="299">
        <v>1002</v>
      </c>
      <c r="D987" s="298" t="s">
        <v>9857</v>
      </c>
      <c r="E987" s="298"/>
      <c r="F987" s="300">
        <v>3008214170</v>
      </c>
      <c r="G987" s="298">
        <v>1015995294</v>
      </c>
      <c r="H987" s="298" t="s">
        <v>9858</v>
      </c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</row>
    <row r="988" spans="1:26" ht="14">
      <c r="A988" s="298" t="s">
        <v>1056</v>
      </c>
      <c r="B988" s="298" t="s">
        <v>9859</v>
      </c>
      <c r="C988" s="299">
        <v>405</v>
      </c>
      <c r="D988" s="298" t="s">
        <v>9860</v>
      </c>
      <c r="E988" s="298"/>
      <c r="F988" s="300">
        <v>3114766365</v>
      </c>
      <c r="G988" s="298">
        <v>19289674</v>
      </c>
      <c r="H988" s="298" t="s">
        <v>9861</v>
      </c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</row>
    <row r="989" spans="1:26" ht="14">
      <c r="A989" s="298" t="s">
        <v>1090</v>
      </c>
      <c r="B989" s="298" t="s">
        <v>9862</v>
      </c>
      <c r="C989" s="299">
        <v>403</v>
      </c>
      <c r="D989" s="298" t="s">
        <v>9863</v>
      </c>
      <c r="E989" s="298"/>
      <c r="F989" s="300">
        <v>3174049131</v>
      </c>
      <c r="G989" s="298">
        <v>1032471990</v>
      </c>
      <c r="H989" s="298" t="s">
        <v>9864</v>
      </c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</row>
    <row r="990" spans="1:26" ht="14">
      <c r="A990" s="298" t="s">
        <v>1083</v>
      </c>
      <c r="B990" s="298" t="s">
        <v>9865</v>
      </c>
      <c r="C990" s="299"/>
      <c r="D990" s="298"/>
      <c r="E990" s="298"/>
      <c r="F990" s="300">
        <v>3057805060</v>
      </c>
      <c r="G990" s="298">
        <v>1019032849</v>
      </c>
      <c r="H990" s="298" t="s">
        <v>9866</v>
      </c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</row>
    <row r="991" spans="1:26" ht="14">
      <c r="A991" s="298" t="s">
        <v>1087</v>
      </c>
      <c r="B991" s="298" t="s">
        <v>9867</v>
      </c>
      <c r="C991" s="299">
        <v>1503</v>
      </c>
      <c r="D991" s="298" t="s">
        <v>9868</v>
      </c>
      <c r="E991" s="298"/>
      <c r="F991" s="300">
        <v>3106299178</v>
      </c>
      <c r="G991" s="298">
        <v>1014264437</v>
      </c>
      <c r="H991" s="298" t="s">
        <v>9869</v>
      </c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</row>
    <row r="992" spans="1:26" ht="14">
      <c r="A992" s="298" t="s">
        <v>1061</v>
      </c>
      <c r="B992" s="298" t="s">
        <v>9870</v>
      </c>
      <c r="C992" s="299">
        <v>402</v>
      </c>
      <c r="D992" s="298" t="s">
        <v>9871</v>
      </c>
      <c r="E992" s="298"/>
      <c r="F992" s="300">
        <v>3005459796</v>
      </c>
      <c r="G992" s="298">
        <v>1020722786</v>
      </c>
      <c r="H992" s="298" t="s">
        <v>9872</v>
      </c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</row>
    <row r="993" spans="1:26" ht="14">
      <c r="A993" s="298" t="s">
        <v>1063</v>
      </c>
      <c r="B993" s="298" t="s">
        <v>9873</v>
      </c>
      <c r="C993" s="299">
        <v>201</v>
      </c>
      <c r="D993" s="298"/>
      <c r="E993" s="298"/>
      <c r="F993" s="300">
        <v>3116642485</v>
      </c>
      <c r="G993" s="298">
        <v>8116524</v>
      </c>
      <c r="H993" s="298" t="s">
        <v>9874</v>
      </c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</row>
    <row r="994" spans="1:26" ht="14">
      <c r="A994" s="303" t="s">
        <v>1067</v>
      </c>
      <c r="B994" s="298" t="s">
        <v>9875</v>
      </c>
      <c r="C994" s="299">
        <v>302</v>
      </c>
      <c r="D994" s="298"/>
      <c r="E994" s="298"/>
      <c r="F994" s="300">
        <v>3108590909</v>
      </c>
      <c r="G994" s="298">
        <v>1020753615</v>
      </c>
      <c r="H994" s="298" t="s">
        <v>9876</v>
      </c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</row>
    <row r="995" spans="1:26" ht="14">
      <c r="A995" s="298" t="s">
        <v>9877</v>
      </c>
      <c r="B995" s="298" t="s">
        <v>9878</v>
      </c>
      <c r="C995" s="299">
        <v>702</v>
      </c>
      <c r="D995" s="298"/>
      <c r="E995" s="298"/>
      <c r="F995" s="300">
        <v>3137164988</v>
      </c>
      <c r="G995" s="298">
        <v>1107065893</v>
      </c>
      <c r="H995" s="298" t="s">
        <v>9879</v>
      </c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</row>
    <row r="996" spans="1:26" ht="14">
      <c r="A996" s="298" t="s">
        <v>1075</v>
      </c>
      <c r="B996" s="298" t="s">
        <v>9880</v>
      </c>
      <c r="C996" s="299"/>
      <c r="D996" s="298" t="s">
        <v>9881</v>
      </c>
      <c r="E996" s="298"/>
      <c r="F996" s="300">
        <v>3202132094</v>
      </c>
      <c r="G996" s="298">
        <v>52931320</v>
      </c>
      <c r="H996" s="298" t="s">
        <v>9882</v>
      </c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</row>
    <row r="997" spans="1:26" ht="14">
      <c r="A997" s="298" t="s">
        <v>9883</v>
      </c>
      <c r="B997" s="298" t="s">
        <v>9884</v>
      </c>
      <c r="C997" s="299">
        <v>501</v>
      </c>
      <c r="D997" s="298" t="s">
        <v>9885</v>
      </c>
      <c r="E997" s="298"/>
      <c r="F997" s="300">
        <v>3017862112</v>
      </c>
      <c r="G997" s="298">
        <v>1102870965</v>
      </c>
      <c r="H997" s="298" t="s">
        <v>9886</v>
      </c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</row>
    <row r="998" spans="1:26" ht="14">
      <c r="A998" s="298" t="s">
        <v>9887</v>
      </c>
      <c r="B998" s="298" t="s">
        <v>9888</v>
      </c>
      <c r="C998" s="299"/>
      <c r="D998" s="298"/>
      <c r="E998" s="298"/>
      <c r="F998" s="300">
        <v>3155146360</v>
      </c>
      <c r="G998" s="298">
        <v>24710251</v>
      </c>
      <c r="H998" s="298" t="s">
        <v>9889</v>
      </c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</row>
    <row r="999" spans="1:26" ht="14">
      <c r="A999" s="298" t="s">
        <v>9890</v>
      </c>
      <c r="B999" s="298" t="s">
        <v>9891</v>
      </c>
      <c r="C999" s="347" t="s">
        <v>9892</v>
      </c>
      <c r="D999" s="298"/>
      <c r="E999" s="298"/>
      <c r="F999" s="300">
        <v>3183611058</v>
      </c>
      <c r="G999" s="298">
        <v>1026264164</v>
      </c>
      <c r="H999" s="298" t="s">
        <v>9893</v>
      </c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</row>
    <row r="1000" spans="1:26" ht="14">
      <c r="A1000" s="298" t="s">
        <v>1105</v>
      </c>
      <c r="B1000" s="298" t="s">
        <v>9894</v>
      </c>
      <c r="C1000" s="299">
        <v>301</v>
      </c>
      <c r="D1000" s="298" t="s">
        <v>9895</v>
      </c>
      <c r="E1000" s="298"/>
      <c r="F1000" s="300">
        <v>3112073333</v>
      </c>
      <c r="G1000" s="298" t="s">
        <v>9896</v>
      </c>
      <c r="H1000" s="298" t="s">
        <v>9897</v>
      </c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  <c r="Y1000" s="301"/>
      <c r="Z1000" s="301"/>
    </row>
    <row r="1001" spans="1:26" ht="14">
      <c r="A1001" s="298" t="s">
        <v>1167</v>
      </c>
      <c r="B1001" s="298" t="s">
        <v>9898</v>
      </c>
      <c r="C1001" s="299">
        <v>201</v>
      </c>
      <c r="D1001" s="298"/>
      <c r="E1001" s="298"/>
      <c r="F1001" s="300">
        <v>3132523160</v>
      </c>
      <c r="G1001" s="298">
        <v>38251196</v>
      </c>
      <c r="H1001" s="298" t="s">
        <v>9899</v>
      </c>
      <c r="I1001" s="301"/>
      <c r="J1001" s="301"/>
      <c r="K1001" s="301"/>
      <c r="L1001" s="301"/>
      <c r="M1001" s="301"/>
      <c r="N1001" s="301"/>
      <c r="O1001" s="301"/>
      <c r="P1001" s="301"/>
      <c r="Q1001" s="301"/>
      <c r="R1001" s="301"/>
      <c r="S1001" s="301"/>
      <c r="T1001" s="301"/>
      <c r="U1001" s="301"/>
      <c r="V1001" s="301"/>
      <c r="W1001" s="301"/>
      <c r="X1001" s="301"/>
      <c r="Y1001" s="301"/>
      <c r="Z1001" s="301"/>
    </row>
    <row r="1002" spans="1:26" ht="14">
      <c r="A1002" s="298" t="s">
        <v>1115</v>
      </c>
      <c r="B1002" s="298" t="s">
        <v>9900</v>
      </c>
      <c r="C1002" s="299">
        <v>602</v>
      </c>
      <c r="D1002" s="298" t="s">
        <v>9901</v>
      </c>
      <c r="E1002" s="298"/>
      <c r="F1002" s="300">
        <v>3108735217</v>
      </c>
      <c r="G1002" s="298">
        <v>51706897</v>
      </c>
      <c r="H1002" s="298" t="s">
        <v>9902</v>
      </c>
      <c r="I1002" s="301"/>
      <c r="J1002" s="301"/>
      <c r="K1002" s="301"/>
      <c r="L1002" s="301"/>
      <c r="M1002" s="301"/>
      <c r="N1002" s="301"/>
      <c r="O1002" s="301"/>
      <c r="P1002" s="301"/>
      <c r="Q1002" s="301"/>
      <c r="R1002" s="301"/>
      <c r="S1002" s="301"/>
      <c r="T1002" s="301"/>
      <c r="U1002" s="301"/>
      <c r="V1002" s="301"/>
      <c r="W1002" s="301"/>
      <c r="X1002" s="301"/>
      <c r="Y1002" s="301"/>
      <c r="Z1002" s="301"/>
    </row>
    <row r="1003" spans="1:26" ht="14">
      <c r="A1003" s="298" t="s">
        <v>1117</v>
      </c>
      <c r="B1003" s="298" t="s">
        <v>9903</v>
      </c>
      <c r="C1003" s="299"/>
      <c r="D1003" s="298"/>
      <c r="E1003" s="298"/>
      <c r="F1003" s="300">
        <v>3104468956</v>
      </c>
      <c r="G1003" s="298">
        <v>30358228</v>
      </c>
      <c r="H1003" s="298" t="s">
        <v>9904</v>
      </c>
      <c r="I1003" s="301"/>
      <c r="J1003" s="301"/>
      <c r="K1003" s="301"/>
      <c r="L1003" s="301"/>
      <c r="M1003" s="301"/>
      <c r="N1003" s="301"/>
      <c r="O1003" s="301"/>
      <c r="P1003" s="301"/>
      <c r="Q1003" s="301"/>
      <c r="R1003" s="301"/>
      <c r="S1003" s="301"/>
      <c r="T1003" s="301"/>
      <c r="U1003" s="301"/>
      <c r="V1003" s="301"/>
      <c r="W1003" s="301"/>
      <c r="X1003" s="301"/>
      <c r="Y1003" s="301"/>
      <c r="Z1003" s="301"/>
    </row>
    <row r="1004" spans="1:26" ht="14">
      <c r="A1004" s="298" t="s">
        <v>1119</v>
      </c>
      <c r="B1004" s="298" t="s">
        <v>9905</v>
      </c>
      <c r="C1004" s="299">
        <v>102</v>
      </c>
      <c r="D1004" s="298" t="s">
        <v>9906</v>
      </c>
      <c r="E1004" s="298"/>
      <c r="F1004" s="300">
        <v>3112230003</v>
      </c>
      <c r="G1004" s="298">
        <v>52149570</v>
      </c>
      <c r="H1004" s="298" t="s">
        <v>9907</v>
      </c>
      <c r="I1004" s="301"/>
      <c r="J1004" s="301"/>
      <c r="K1004" s="301"/>
      <c r="L1004" s="301"/>
      <c r="M1004" s="301"/>
      <c r="N1004" s="301"/>
      <c r="O1004" s="301"/>
      <c r="P1004" s="301"/>
      <c r="Q1004" s="301"/>
      <c r="R1004" s="301"/>
      <c r="S1004" s="301"/>
      <c r="T1004" s="301"/>
      <c r="U1004" s="301"/>
      <c r="V1004" s="301"/>
      <c r="W1004" s="301"/>
      <c r="X1004" s="301"/>
      <c r="Y1004" s="301"/>
      <c r="Z1004" s="301"/>
    </row>
    <row r="1005" spans="1:26" ht="14">
      <c r="A1005" s="298" t="s">
        <v>1121</v>
      </c>
      <c r="B1005" s="298" t="s">
        <v>9908</v>
      </c>
      <c r="C1005" s="299">
        <v>503</v>
      </c>
      <c r="D1005" s="298" t="s">
        <v>9909</v>
      </c>
      <c r="E1005" s="298" t="s">
        <v>3120</v>
      </c>
      <c r="F1005" s="300">
        <v>3184003222</v>
      </c>
      <c r="G1005" s="298">
        <v>1125578632</v>
      </c>
      <c r="H1005" s="298" t="s">
        <v>9910</v>
      </c>
      <c r="I1005" s="301"/>
      <c r="J1005" s="301"/>
      <c r="K1005" s="301"/>
      <c r="L1005" s="301"/>
      <c r="M1005" s="301"/>
      <c r="N1005" s="301"/>
      <c r="O1005" s="301"/>
      <c r="P1005" s="301"/>
      <c r="Q1005" s="301"/>
      <c r="R1005" s="301"/>
      <c r="S1005" s="301"/>
      <c r="T1005" s="301"/>
      <c r="U1005" s="301"/>
      <c r="V1005" s="301"/>
      <c r="W1005" s="301"/>
      <c r="X1005" s="301"/>
      <c r="Y1005" s="301"/>
      <c r="Z1005" s="301"/>
    </row>
    <row r="1006" spans="1:26" ht="14">
      <c r="A1006" s="298" t="s">
        <v>1132</v>
      </c>
      <c r="B1006" s="298" t="s">
        <v>9911</v>
      </c>
      <c r="C1006" s="299">
        <v>201</v>
      </c>
      <c r="D1006" s="298"/>
      <c r="E1006" s="298"/>
      <c r="F1006" s="300">
        <v>3202736102</v>
      </c>
      <c r="G1006" s="298">
        <v>52428499</v>
      </c>
      <c r="H1006" s="298" t="s">
        <v>9912</v>
      </c>
      <c r="I1006" s="301"/>
      <c r="J1006" s="301"/>
      <c r="K1006" s="301"/>
      <c r="L1006" s="301"/>
      <c r="M1006" s="301"/>
      <c r="N1006" s="301"/>
      <c r="O1006" s="301"/>
      <c r="P1006" s="301"/>
      <c r="Q1006" s="301"/>
      <c r="R1006" s="301"/>
      <c r="S1006" s="301"/>
      <c r="T1006" s="301"/>
      <c r="U1006" s="301"/>
      <c r="V1006" s="301"/>
      <c r="W1006" s="301"/>
      <c r="X1006" s="301"/>
      <c r="Y1006" s="301"/>
      <c r="Z1006" s="301"/>
    </row>
    <row r="1007" spans="1:26" ht="14">
      <c r="A1007" s="298" t="s">
        <v>1137</v>
      </c>
      <c r="B1007" s="298" t="s">
        <v>9913</v>
      </c>
      <c r="C1007" s="299">
        <v>202</v>
      </c>
      <c r="D1007" s="303" t="s">
        <v>9914</v>
      </c>
      <c r="E1007" s="298"/>
      <c r="F1007" s="300">
        <v>3108572020</v>
      </c>
      <c r="G1007" s="298">
        <v>1020492331</v>
      </c>
      <c r="H1007" s="298" t="s">
        <v>9915</v>
      </c>
      <c r="I1007" s="301"/>
      <c r="J1007" s="301"/>
      <c r="K1007" s="301"/>
      <c r="L1007" s="301"/>
      <c r="M1007" s="301"/>
      <c r="N1007" s="301"/>
      <c r="O1007" s="301"/>
      <c r="P1007" s="301"/>
      <c r="Q1007" s="301"/>
      <c r="R1007" s="301"/>
      <c r="S1007" s="301"/>
      <c r="T1007" s="301"/>
      <c r="U1007" s="301"/>
      <c r="V1007" s="301"/>
      <c r="W1007" s="301"/>
      <c r="X1007" s="301"/>
      <c r="Y1007" s="301"/>
      <c r="Z1007" s="301"/>
    </row>
    <row r="1008" spans="1:26" ht="14">
      <c r="A1008" s="298" t="s">
        <v>1140</v>
      </c>
      <c r="B1008" s="298" t="s">
        <v>9916</v>
      </c>
      <c r="C1008" s="299"/>
      <c r="D1008" s="298"/>
      <c r="E1008" s="298"/>
      <c r="F1008" s="300">
        <v>3502097754</v>
      </c>
      <c r="G1008" s="298">
        <v>1019057866</v>
      </c>
      <c r="H1008" s="298" t="s">
        <v>9917</v>
      </c>
      <c r="I1008" s="301"/>
      <c r="J1008" s="301"/>
      <c r="K1008" s="301"/>
      <c r="L1008" s="301"/>
      <c r="M1008" s="301"/>
      <c r="N1008" s="301"/>
      <c r="O1008" s="301"/>
      <c r="P1008" s="301"/>
      <c r="Q1008" s="301"/>
      <c r="R1008" s="301"/>
      <c r="S1008" s="301"/>
      <c r="T1008" s="301"/>
      <c r="U1008" s="301"/>
      <c r="V1008" s="301"/>
      <c r="W1008" s="301"/>
      <c r="X1008" s="301"/>
      <c r="Y1008" s="301"/>
      <c r="Z1008" s="301"/>
    </row>
    <row r="1009" spans="1:26" ht="14">
      <c r="A1009" s="298" t="s">
        <v>1147</v>
      </c>
      <c r="B1009" s="298" t="s">
        <v>9918</v>
      </c>
      <c r="C1009" s="299">
        <v>401</v>
      </c>
      <c r="D1009" s="298" t="s">
        <v>9919</v>
      </c>
      <c r="E1009" s="298"/>
      <c r="F1009" s="300">
        <v>3106885707</v>
      </c>
      <c r="G1009" s="298">
        <v>39776337</v>
      </c>
      <c r="H1009" s="298" t="s">
        <v>9920</v>
      </c>
      <c r="I1009" s="301"/>
      <c r="J1009" s="301"/>
      <c r="K1009" s="301"/>
      <c r="L1009" s="301"/>
      <c r="M1009" s="301"/>
      <c r="N1009" s="301"/>
      <c r="O1009" s="301"/>
      <c r="P1009" s="301"/>
      <c r="Q1009" s="301"/>
      <c r="R1009" s="301"/>
      <c r="S1009" s="301"/>
      <c r="T1009" s="301"/>
      <c r="U1009" s="301"/>
      <c r="V1009" s="301"/>
      <c r="W1009" s="301"/>
      <c r="X1009" s="301"/>
      <c r="Y1009" s="301"/>
      <c r="Z1009" s="301"/>
    </row>
    <row r="1010" spans="1:26" ht="14">
      <c r="A1010" s="298" t="s">
        <v>1149</v>
      </c>
      <c r="B1010" s="298" t="s">
        <v>9921</v>
      </c>
      <c r="C1010" s="299">
        <v>402</v>
      </c>
      <c r="D1010" s="298"/>
      <c r="E1010" s="298"/>
      <c r="F1010" s="300">
        <v>3112591812</v>
      </c>
      <c r="G1010" s="298">
        <v>1020794612</v>
      </c>
      <c r="H1010" s="298" t="s">
        <v>9922</v>
      </c>
      <c r="I1010" s="301"/>
      <c r="J1010" s="301"/>
      <c r="K1010" s="301"/>
      <c r="L1010" s="301"/>
      <c r="M1010" s="301"/>
      <c r="N1010" s="301"/>
      <c r="O1010" s="301"/>
      <c r="P1010" s="301"/>
      <c r="Q1010" s="301"/>
      <c r="R1010" s="301"/>
      <c r="S1010" s="301"/>
      <c r="T1010" s="301"/>
      <c r="U1010" s="301"/>
      <c r="V1010" s="301"/>
      <c r="W1010" s="301"/>
      <c r="X1010" s="301"/>
      <c r="Y1010" s="301"/>
      <c r="Z1010" s="301"/>
    </row>
    <row r="1011" spans="1:26" ht="14">
      <c r="A1011" s="298" t="s">
        <v>1151</v>
      </c>
      <c r="B1011" s="298" t="s">
        <v>9923</v>
      </c>
      <c r="C1011" s="299">
        <v>2002</v>
      </c>
      <c r="D1011" s="298" t="s">
        <v>9924</v>
      </c>
      <c r="E1011" s="298"/>
      <c r="F1011" s="300">
        <v>3213941619</v>
      </c>
      <c r="G1011" s="298">
        <v>52413543</v>
      </c>
      <c r="H1011" s="298" t="s">
        <v>9925</v>
      </c>
      <c r="I1011" s="301"/>
      <c r="J1011" s="301"/>
      <c r="K1011" s="301"/>
      <c r="L1011" s="301"/>
      <c r="M1011" s="301"/>
      <c r="N1011" s="301"/>
      <c r="O1011" s="301"/>
      <c r="P1011" s="301"/>
      <c r="Q1011" s="301"/>
      <c r="R1011" s="301"/>
      <c r="S1011" s="301"/>
      <c r="T1011" s="301"/>
      <c r="U1011" s="301"/>
      <c r="V1011" s="301"/>
      <c r="W1011" s="301"/>
      <c r="X1011" s="301"/>
      <c r="Y1011" s="301"/>
      <c r="Z1011" s="301"/>
    </row>
    <row r="1012" spans="1:26" ht="14">
      <c r="A1012" s="298" t="s">
        <v>1153</v>
      </c>
      <c r="B1012" s="298" t="s">
        <v>9926</v>
      </c>
      <c r="C1012" s="299">
        <v>1210</v>
      </c>
      <c r="D1012" s="298" t="s">
        <v>9927</v>
      </c>
      <c r="E1012" s="298"/>
      <c r="F1012" s="300" t="s">
        <v>9928</v>
      </c>
      <c r="G1012" s="298">
        <v>1017203538</v>
      </c>
      <c r="H1012" s="298" t="s">
        <v>9929</v>
      </c>
      <c r="I1012" s="301"/>
      <c r="J1012" s="301"/>
      <c r="K1012" s="301"/>
      <c r="L1012" s="301"/>
      <c r="M1012" s="301"/>
      <c r="N1012" s="301"/>
      <c r="O1012" s="301"/>
      <c r="P1012" s="301"/>
      <c r="Q1012" s="301"/>
      <c r="R1012" s="301"/>
      <c r="S1012" s="301"/>
      <c r="T1012" s="301"/>
      <c r="U1012" s="301"/>
      <c r="V1012" s="301"/>
      <c r="W1012" s="301"/>
      <c r="X1012" s="301"/>
      <c r="Y1012" s="301"/>
      <c r="Z1012" s="301"/>
    </row>
    <row r="1013" spans="1:26" ht="14">
      <c r="A1013" s="298" t="s">
        <v>1155</v>
      </c>
      <c r="B1013" s="298" t="s">
        <v>9930</v>
      </c>
      <c r="C1013" s="299">
        <v>511</v>
      </c>
      <c r="D1013" s="298" t="s">
        <v>9931</v>
      </c>
      <c r="E1013" s="298"/>
      <c r="F1013" s="300">
        <v>3229071530</v>
      </c>
      <c r="G1013" s="298">
        <v>52504805</v>
      </c>
      <c r="H1013" s="298" t="s">
        <v>9932</v>
      </c>
      <c r="I1013" s="301"/>
      <c r="J1013" s="301"/>
      <c r="K1013" s="301"/>
      <c r="L1013" s="301"/>
      <c r="M1013" s="301"/>
      <c r="N1013" s="301"/>
      <c r="O1013" s="301"/>
      <c r="P1013" s="301"/>
      <c r="Q1013" s="301"/>
      <c r="R1013" s="301"/>
      <c r="S1013" s="301"/>
      <c r="T1013" s="301"/>
      <c r="U1013" s="301"/>
      <c r="V1013" s="301"/>
      <c r="W1013" s="301"/>
      <c r="X1013" s="301"/>
      <c r="Y1013" s="301"/>
      <c r="Z1013" s="301"/>
    </row>
    <row r="1014" spans="1:26" ht="14">
      <c r="A1014" s="298" t="s">
        <v>1157</v>
      </c>
      <c r="B1014" s="298" t="s">
        <v>9933</v>
      </c>
      <c r="C1014" s="299" t="s">
        <v>9934</v>
      </c>
      <c r="D1014" s="298" t="s">
        <v>9935</v>
      </c>
      <c r="E1014" s="298"/>
      <c r="F1014" s="300">
        <v>3108563255</v>
      </c>
      <c r="G1014" s="298">
        <v>35199303</v>
      </c>
      <c r="H1014" s="298" t="s">
        <v>9936</v>
      </c>
      <c r="I1014" s="301"/>
      <c r="J1014" s="301"/>
      <c r="K1014" s="301"/>
      <c r="L1014" s="301"/>
      <c r="M1014" s="301"/>
      <c r="N1014" s="301"/>
      <c r="O1014" s="301"/>
      <c r="P1014" s="301"/>
      <c r="Q1014" s="301"/>
      <c r="R1014" s="301"/>
      <c r="S1014" s="301"/>
      <c r="T1014" s="301"/>
      <c r="U1014" s="301"/>
      <c r="V1014" s="301"/>
      <c r="W1014" s="301"/>
      <c r="X1014" s="301"/>
      <c r="Y1014" s="301"/>
      <c r="Z1014" s="301"/>
    </row>
    <row r="1015" spans="1:26" ht="14">
      <c r="A1015" s="298" t="s">
        <v>1159</v>
      </c>
      <c r="B1015" s="298" t="s">
        <v>9937</v>
      </c>
      <c r="C1015" s="299">
        <v>503</v>
      </c>
      <c r="D1015" s="298"/>
      <c r="E1015" s="298"/>
      <c r="F1015" s="300">
        <v>3152926326</v>
      </c>
      <c r="G1015" s="303">
        <v>52856784</v>
      </c>
      <c r="H1015" s="298" t="s">
        <v>9938</v>
      </c>
      <c r="I1015" s="301"/>
      <c r="J1015" s="301"/>
      <c r="K1015" s="301"/>
      <c r="L1015" s="301"/>
      <c r="M1015" s="301"/>
      <c r="N1015" s="301"/>
      <c r="O1015" s="301"/>
      <c r="P1015" s="301"/>
      <c r="Q1015" s="301"/>
      <c r="R1015" s="301"/>
      <c r="S1015" s="301"/>
      <c r="T1015" s="301"/>
      <c r="U1015" s="301"/>
      <c r="V1015" s="301"/>
      <c r="W1015" s="301"/>
      <c r="X1015" s="301"/>
      <c r="Y1015" s="301"/>
      <c r="Z1015" s="301"/>
    </row>
    <row r="1016" spans="1:26" ht="14">
      <c r="A1016" s="298" t="s">
        <v>1162</v>
      </c>
      <c r="B1016" s="298" t="s">
        <v>9939</v>
      </c>
      <c r="C1016" s="299">
        <v>403</v>
      </c>
      <c r="D1016" s="298"/>
      <c r="E1016" s="298"/>
      <c r="F1016" s="300">
        <v>3057099359</v>
      </c>
      <c r="G1016" s="298">
        <v>1020785872</v>
      </c>
      <c r="H1016" s="298" t="s">
        <v>9940</v>
      </c>
      <c r="I1016" s="301"/>
      <c r="J1016" s="301"/>
      <c r="K1016" s="301"/>
      <c r="L1016" s="301"/>
      <c r="M1016" s="301"/>
      <c r="N1016" s="301"/>
      <c r="O1016" s="301"/>
      <c r="P1016" s="301"/>
      <c r="Q1016" s="301"/>
      <c r="R1016" s="301"/>
      <c r="S1016" s="301"/>
      <c r="T1016" s="301"/>
      <c r="U1016" s="301"/>
      <c r="V1016" s="301"/>
      <c r="W1016" s="301"/>
      <c r="X1016" s="301"/>
      <c r="Y1016" s="301"/>
      <c r="Z1016" s="301"/>
    </row>
    <row r="1017" spans="1:26" ht="14">
      <c r="A1017" s="303" t="s">
        <v>9941</v>
      </c>
      <c r="B1017" s="298" t="s">
        <v>9942</v>
      </c>
      <c r="C1017" s="299">
        <v>504</v>
      </c>
      <c r="D1017" s="298" t="s">
        <v>9943</v>
      </c>
      <c r="E1017" s="298"/>
      <c r="F1017" s="300">
        <v>3008315396</v>
      </c>
      <c r="G1017" s="298">
        <v>1037572174</v>
      </c>
      <c r="H1017" s="298" t="s">
        <v>9944</v>
      </c>
      <c r="I1017" s="301"/>
      <c r="J1017" s="301"/>
      <c r="K1017" s="301"/>
      <c r="L1017" s="301"/>
      <c r="M1017" s="301"/>
      <c r="N1017" s="301"/>
      <c r="O1017" s="301"/>
      <c r="P1017" s="301"/>
      <c r="Q1017" s="301"/>
      <c r="R1017" s="301"/>
      <c r="S1017" s="301"/>
      <c r="T1017" s="301"/>
      <c r="U1017" s="301"/>
      <c r="V1017" s="301"/>
      <c r="W1017" s="301"/>
      <c r="X1017" s="301"/>
      <c r="Y1017" s="301"/>
      <c r="Z1017" s="301"/>
    </row>
    <row r="1018" spans="1:26" ht="14">
      <c r="A1018" s="303" t="s">
        <v>812</v>
      </c>
      <c r="B1018" s="298" t="s">
        <v>9945</v>
      </c>
      <c r="C1018" s="299" t="s">
        <v>9946</v>
      </c>
      <c r="D1018" s="298" t="s">
        <v>9947</v>
      </c>
      <c r="E1018" s="298" t="s">
        <v>8913</v>
      </c>
      <c r="F1018" s="300">
        <v>3133898024</v>
      </c>
      <c r="G1018" s="298">
        <v>80505313</v>
      </c>
      <c r="H1018" s="298" t="s">
        <v>9948</v>
      </c>
      <c r="I1018" s="301"/>
      <c r="J1018" s="301"/>
      <c r="K1018" s="301"/>
      <c r="L1018" s="301"/>
      <c r="M1018" s="301"/>
      <c r="N1018" s="301"/>
      <c r="O1018" s="301"/>
      <c r="P1018" s="301"/>
      <c r="Q1018" s="301"/>
      <c r="R1018" s="301"/>
      <c r="S1018" s="301"/>
      <c r="T1018" s="301"/>
      <c r="U1018" s="301"/>
      <c r="V1018" s="301"/>
      <c r="W1018" s="301"/>
      <c r="X1018" s="301"/>
      <c r="Y1018" s="301"/>
      <c r="Z1018" s="301"/>
    </row>
    <row r="1019" spans="1:26" ht="14">
      <c r="A1019" s="298" t="s">
        <v>1169</v>
      </c>
      <c r="B1019" s="298" t="s">
        <v>9949</v>
      </c>
      <c r="C1019" s="299">
        <v>506</v>
      </c>
      <c r="D1019" s="298" t="s">
        <v>9950</v>
      </c>
      <c r="E1019" s="298"/>
      <c r="F1019" s="300">
        <v>3142282621</v>
      </c>
      <c r="G1019" s="298">
        <v>1030538809</v>
      </c>
      <c r="H1019" s="298" t="s">
        <v>9951</v>
      </c>
      <c r="I1019" s="301"/>
      <c r="J1019" s="301"/>
      <c r="K1019" s="301"/>
      <c r="L1019" s="301"/>
      <c r="M1019" s="301"/>
      <c r="N1019" s="301"/>
      <c r="O1019" s="301"/>
      <c r="P1019" s="301"/>
      <c r="Q1019" s="301"/>
      <c r="R1019" s="301"/>
      <c r="S1019" s="301"/>
      <c r="T1019" s="301"/>
      <c r="U1019" s="301"/>
      <c r="V1019" s="301"/>
      <c r="W1019" s="301"/>
      <c r="X1019" s="301"/>
      <c r="Y1019" s="301"/>
      <c r="Z1019" s="301"/>
    </row>
    <row r="1020" spans="1:26" ht="14">
      <c r="A1020" s="298" t="s">
        <v>1171</v>
      </c>
      <c r="B1020" s="298" t="s">
        <v>9952</v>
      </c>
      <c r="C1020" s="299">
        <v>916</v>
      </c>
      <c r="D1020" s="298"/>
      <c r="E1020" s="298"/>
      <c r="F1020" s="300">
        <v>3134880696</v>
      </c>
      <c r="G1020" s="298">
        <v>52082740</v>
      </c>
      <c r="H1020" s="298" t="s">
        <v>9953</v>
      </c>
      <c r="I1020" s="301"/>
      <c r="J1020" s="301"/>
      <c r="K1020" s="301"/>
      <c r="L1020" s="301"/>
      <c r="M1020" s="301"/>
      <c r="N1020" s="301"/>
      <c r="O1020" s="301"/>
      <c r="P1020" s="301"/>
      <c r="Q1020" s="301"/>
      <c r="R1020" s="301"/>
      <c r="S1020" s="301"/>
      <c r="T1020" s="301"/>
      <c r="U1020" s="301"/>
      <c r="V1020" s="301"/>
      <c r="W1020" s="301"/>
      <c r="X1020" s="301"/>
      <c r="Y1020" s="301"/>
      <c r="Z1020" s="301"/>
    </row>
    <row r="1021" spans="1:26" ht="14">
      <c r="A1021" s="298" t="s">
        <v>1173</v>
      </c>
      <c r="B1021" s="298" t="s">
        <v>9954</v>
      </c>
      <c r="C1021" s="299"/>
      <c r="D1021" s="298"/>
      <c r="E1021" s="298"/>
      <c r="F1021" s="300">
        <v>3143513947</v>
      </c>
      <c r="G1021" s="298">
        <v>13483031</v>
      </c>
      <c r="H1021" s="298" t="s">
        <v>9955</v>
      </c>
      <c r="I1021" s="301"/>
      <c r="J1021" s="301"/>
      <c r="K1021" s="301"/>
      <c r="L1021" s="301"/>
      <c r="M1021" s="301"/>
      <c r="N1021" s="301"/>
      <c r="O1021" s="301"/>
      <c r="P1021" s="301"/>
      <c r="Q1021" s="301"/>
      <c r="R1021" s="301"/>
      <c r="S1021" s="301"/>
      <c r="T1021" s="301"/>
      <c r="U1021" s="301"/>
      <c r="V1021" s="301"/>
      <c r="W1021" s="301"/>
      <c r="X1021" s="301"/>
      <c r="Y1021" s="301"/>
      <c r="Z1021" s="301"/>
    </row>
    <row r="1022" spans="1:26" ht="14">
      <c r="A1022" s="298" t="s">
        <v>1175</v>
      </c>
      <c r="B1022" s="298" t="s">
        <v>9956</v>
      </c>
      <c r="C1022" s="299"/>
      <c r="D1022" s="298" t="s">
        <v>9957</v>
      </c>
      <c r="E1022" s="298"/>
      <c r="F1022" s="300">
        <v>3132595738</v>
      </c>
      <c r="G1022" s="298">
        <v>1031142014</v>
      </c>
      <c r="H1022" s="298" t="s">
        <v>9958</v>
      </c>
      <c r="I1022" s="301"/>
      <c r="J1022" s="301"/>
      <c r="K1022" s="301"/>
      <c r="L1022" s="301"/>
      <c r="M1022" s="301"/>
      <c r="N1022" s="301"/>
      <c r="O1022" s="301"/>
      <c r="P1022" s="301"/>
      <c r="Q1022" s="301"/>
      <c r="R1022" s="301"/>
      <c r="S1022" s="301"/>
      <c r="T1022" s="301"/>
      <c r="U1022" s="301"/>
      <c r="V1022" s="301"/>
      <c r="W1022" s="301"/>
      <c r="X1022" s="301"/>
      <c r="Y1022" s="301"/>
      <c r="Z1022" s="301"/>
    </row>
    <row r="1023" spans="1:26" ht="14">
      <c r="A1023" s="298" t="s">
        <v>1177</v>
      </c>
      <c r="B1023" s="298" t="s">
        <v>9959</v>
      </c>
      <c r="C1023" s="299">
        <v>1106</v>
      </c>
      <c r="D1023" s="298" t="s">
        <v>9960</v>
      </c>
      <c r="E1023" s="298"/>
      <c r="F1023" s="300">
        <v>3116773510</v>
      </c>
      <c r="G1023" s="298">
        <v>52252942</v>
      </c>
      <c r="H1023" s="298" t="s">
        <v>9961</v>
      </c>
      <c r="I1023" s="301"/>
      <c r="J1023" s="301"/>
      <c r="K1023" s="301"/>
      <c r="L1023" s="301"/>
      <c r="M1023" s="301"/>
      <c r="N1023" s="301"/>
      <c r="O1023" s="301"/>
      <c r="P1023" s="301"/>
      <c r="Q1023" s="301"/>
      <c r="R1023" s="301"/>
      <c r="S1023" s="301"/>
      <c r="T1023" s="301"/>
      <c r="U1023" s="301"/>
      <c r="V1023" s="301"/>
      <c r="W1023" s="301"/>
      <c r="X1023" s="301"/>
      <c r="Y1023" s="301"/>
      <c r="Z1023" s="301"/>
    </row>
    <row r="1024" spans="1:26" ht="14">
      <c r="A1024" s="298" t="s">
        <v>1179</v>
      </c>
      <c r="B1024" s="298" t="s">
        <v>9962</v>
      </c>
      <c r="C1024" s="299">
        <v>502</v>
      </c>
      <c r="D1024" s="298"/>
      <c r="E1024" s="298"/>
      <c r="F1024" s="300">
        <v>3154050401</v>
      </c>
      <c r="G1024" s="298">
        <v>59837444</v>
      </c>
      <c r="H1024" s="298" t="s">
        <v>9963</v>
      </c>
      <c r="I1024" s="301"/>
      <c r="J1024" s="301"/>
      <c r="K1024" s="301"/>
      <c r="L1024" s="301"/>
      <c r="M1024" s="301"/>
      <c r="N1024" s="301"/>
      <c r="O1024" s="301"/>
      <c r="P1024" s="301"/>
      <c r="Q1024" s="301"/>
      <c r="R1024" s="301"/>
      <c r="S1024" s="301"/>
      <c r="T1024" s="301"/>
      <c r="U1024" s="301"/>
      <c r="V1024" s="301"/>
      <c r="W1024" s="301"/>
      <c r="X1024" s="301"/>
      <c r="Y1024" s="301"/>
      <c r="Z1024" s="301"/>
    </row>
    <row r="1025" spans="1:26" ht="14">
      <c r="A1025" s="298" t="s">
        <v>1182</v>
      </c>
      <c r="B1025" s="298" t="s">
        <v>9964</v>
      </c>
      <c r="C1025" s="299">
        <v>507</v>
      </c>
      <c r="D1025" s="298" t="s">
        <v>7052</v>
      </c>
      <c r="E1025" s="298"/>
      <c r="F1025" s="300">
        <v>3103083662</v>
      </c>
      <c r="G1025" s="298">
        <v>1019023604</v>
      </c>
      <c r="H1025" s="298" t="s">
        <v>9965</v>
      </c>
      <c r="I1025" s="301"/>
      <c r="J1025" s="301"/>
      <c r="K1025" s="301"/>
      <c r="L1025" s="301"/>
      <c r="M1025" s="301"/>
      <c r="N1025" s="301"/>
      <c r="O1025" s="301"/>
      <c r="P1025" s="301"/>
      <c r="Q1025" s="301"/>
      <c r="R1025" s="301"/>
      <c r="S1025" s="301"/>
      <c r="T1025" s="301"/>
      <c r="U1025" s="301"/>
      <c r="V1025" s="301"/>
      <c r="W1025" s="301"/>
      <c r="X1025" s="301"/>
      <c r="Y1025" s="301"/>
      <c r="Z1025" s="301"/>
    </row>
    <row r="1026" spans="1:26" ht="14">
      <c r="A1026" s="298" t="s">
        <v>1184</v>
      </c>
      <c r="B1026" s="298" t="s">
        <v>9966</v>
      </c>
      <c r="C1026" s="299">
        <v>605</v>
      </c>
      <c r="D1026" s="298" t="s">
        <v>9967</v>
      </c>
      <c r="E1026" s="298"/>
      <c r="F1026" s="300">
        <v>3123830248</v>
      </c>
      <c r="G1026" s="298">
        <v>1032462117</v>
      </c>
      <c r="H1026" s="298" t="s">
        <v>9968</v>
      </c>
      <c r="I1026" s="301"/>
      <c r="J1026" s="301"/>
      <c r="K1026" s="301"/>
      <c r="L1026" s="301"/>
      <c r="M1026" s="301"/>
      <c r="N1026" s="301"/>
      <c r="O1026" s="301"/>
      <c r="P1026" s="301"/>
      <c r="Q1026" s="301"/>
      <c r="R1026" s="301"/>
      <c r="S1026" s="301"/>
      <c r="T1026" s="301"/>
      <c r="U1026" s="301"/>
      <c r="V1026" s="301"/>
      <c r="W1026" s="301"/>
      <c r="X1026" s="301"/>
      <c r="Y1026" s="301"/>
      <c r="Z1026" s="301"/>
    </row>
    <row r="1027" spans="1:26" ht="14">
      <c r="A1027" s="298" t="s">
        <v>1186</v>
      </c>
      <c r="B1027" s="298" t="s">
        <v>9969</v>
      </c>
      <c r="C1027" s="299">
        <v>410</v>
      </c>
      <c r="D1027" s="298" t="s">
        <v>9970</v>
      </c>
      <c r="E1027" s="298"/>
      <c r="F1027" s="300">
        <v>3002194052</v>
      </c>
      <c r="G1027" s="298">
        <v>65761469</v>
      </c>
      <c r="H1027" s="298" t="s">
        <v>9971</v>
      </c>
      <c r="I1027" s="301"/>
      <c r="J1027" s="301"/>
      <c r="K1027" s="301"/>
      <c r="L1027" s="301"/>
      <c r="M1027" s="301"/>
      <c r="N1027" s="301"/>
      <c r="O1027" s="301"/>
      <c r="P1027" s="301"/>
      <c r="Q1027" s="301"/>
      <c r="R1027" s="301"/>
      <c r="S1027" s="301"/>
      <c r="T1027" s="301"/>
      <c r="U1027" s="301"/>
      <c r="V1027" s="301"/>
      <c r="W1027" s="301"/>
      <c r="X1027" s="301"/>
      <c r="Y1027" s="301"/>
      <c r="Z1027" s="301"/>
    </row>
    <row r="1028" spans="1:26" ht="14">
      <c r="A1028" s="298" t="s">
        <v>1188</v>
      </c>
      <c r="B1028" s="298" t="s">
        <v>9972</v>
      </c>
      <c r="C1028" s="299">
        <v>301</v>
      </c>
      <c r="D1028" s="298"/>
      <c r="E1028" s="298"/>
      <c r="F1028" s="300">
        <v>3124518441</v>
      </c>
      <c r="G1028" s="298">
        <v>52415639</v>
      </c>
      <c r="H1028" s="298" t="s">
        <v>9973</v>
      </c>
      <c r="I1028" s="301"/>
      <c r="J1028" s="301"/>
      <c r="K1028" s="301"/>
      <c r="L1028" s="301"/>
      <c r="M1028" s="301"/>
      <c r="N1028" s="301"/>
      <c r="O1028" s="301"/>
      <c r="P1028" s="301"/>
      <c r="Q1028" s="301"/>
      <c r="R1028" s="301"/>
      <c r="S1028" s="301"/>
      <c r="T1028" s="301"/>
      <c r="U1028" s="301"/>
      <c r="V1028" s="301"/>
      <c r="W1028" s="301"/>
      <c r="X1028" s="301"/>
      <c r="Y1028" s="301"/>
      <c r="Z1028" s="301"/>
    </row>
    <row r="1029" spans="1:26" ht="14">
      <c r="A1029" s="298" t="s">
        <v>754</v>
      </c>
      <c r="B1029" s="298" t="s">
        <v>9974</v>
      </c>
      <c r="C1029" s="299">
        <v>702</v>
      </c>
      <c r="D1029" s="298"/>
      <c r="E1029" s="298"/>
      <c r="F1029" s="300">
        <v>3147737401</v>
      </c>
      <c r="G1029" s="298">
        <v>1020738270</v>
      </c>
      <c r="H1029" s="298" t="s">
        <v>9975</v>
      </c>
      <c r="I1029" s="301"/>
      <c r="J1029" s="301"/>
      <c r="K1029" s="301"/>
      <c r="L1029" s="301"/>
      <c r="M1029" s="301"/>
      <c r="N1029" s="301"/>
      <c r="O1029" s="301"/>
      <c r="P1029" s="301"/>
      <c r="Q1029" s="301"/>
      <c r="R1029" s="301"/>
      <c r="S1029" s="301"/>
      <c r="T1029" s="301"/>
      <c r="U1029" s="301"/>
      <c r="V1029" s="301"/>
      <c r="W1029" s="301"/>
      <c r="X1029" s="301"/>
      <c r="Y1029" s="301"/>
      <c r="Z1029" s="301"/>
    </row>
    <row r="1030" spans="1:26" ht="14">
      <c r="A1030" s="298" t="s">
        <v>1194</v>
      </c>
      <c r="B1030" s="298" t="s">
        <v>9976</v>
      </c>
      <c r="C1030" s="299">
        <v>405</v>
      </c>
      <c r="D1030" s="298" t="s">
        <v>9977</v>
      </c>
      <c r="E1030" s="298"/>
      <c r="F1030" s="300">
        <v>3173078056</v>
      </c>
      <c r="G1030" s="298">
        <v>1085254936</v>
      </c>
      <c r="H1030" s="298" t="s">
        <v>9978</v>
      </c>
      <c r="I1030" s="301"/>
      <c r="J1030" s="301"/>
      <c r="K1030" s="301"/>
      <c r="L1030" s="301"/>
      <c r="M1030" s="301"/>
      <c r="N1030" s="301"/>
      <c r="O1030" s="301"/>
      <c r="P1030" s="301"/>
      <c r="Q1030" s="301"/>
      <c r="R1030" s="301"/>
      <c r="S1030" s="301"/>
      <c r="T1030" s="301"/>
      <c r="U1030" s="301"/>
      <c r="V1030" s="301"/>
      <c r="W1030" s="301"/>
      <c r="X1030" s="301"/>
      <c r="Y1030" s="301"/>
      <c r="Z1030" s="301"/>
    </row>
    <row r="1031" spans="1:26" ht="14">
      <c r="A1031" s="298" t="s">
        <v>1196</v>
      </c>
      <c r="B1031" s="298" t="s">
        <v>9979</v>
      </c>
      <c r="C1031" s="299">
        <v>1715</v>
      </c>
      <c r="D1031" s="298"/>
      <c r="E1031" s="298"/>
      <c r="F1031" s="300" t="s">
        <v>9980</v>
      </c>
      <c r="G1031" s="303">
        <v>1020732794</v>
      </c>
      <c r="H1031" s="298" t="s">
        <v>9981</v>
      </c>
      <c r="I1031" s="301"/>
      <c r="J1031" s="301"/>
      <c r="K1031" s="301"/>
      <c r="L1031" s="301"/>
      <c r="M1031" s="301"/>
      <c r="N1031" s="301"/>
      <c r="O1031" s="301"/>
      <c r="P1031" s="301"/>
      <c r="Q1031" s="301"/>
      <c r="R1031" s="301"/>
      <c r="S1031" s="301"/>
      <c r="T1031" s="301"/>
      <c r="U1031" s="301"/>
      <c r="V1031" s="301"/>
      <c r="W1031" s="301"/>
      <c r="X1031" s="301"/>
      <c r="Y1031" s="301"/>
      <c r="Z1031" s="301"/>
    </row>
    <row r="1032" spans="1:26" ht="14">
      <c r="A1032" s="298" t="s">
        <v>1198</v>
      </c>
      <c r="B1032" s="298" t="s">
        <v>9982</v>
      </c>
      <c r="C1032" s="299">
        <v>607</v>
      </c>
      <c r="D1032" s="298" t="s">
        <v>9799</v>
      </c>
      <c r="E1032" s="298"/>
      <c r="F1032" s="300">
        <v>3203921858</v>
      </c>
      <c r="G1032" s="298">
        <v>10324343091</v>
      </c>
      <c r="H1032" s="298" t="s">
        <v>9983</v>
      </c>
      <c r="I1032" s="301"/>
      <c r="J1032" s="301"/>
      <c r="K1032" s="301"/>
      <c r="L1032" s="301"/>
      <c r="M1032" s="301"/>
      <c r="N1032" s="301"/>
      <c r="O1032" s="301"/>
      <c r="P1032" s="301"/>
      <c r="Q1032" s="301"/>
      <c r="R1032" s="301"/>
      <c r="S1032" s="301"/>
      <c r="T1032" s="301"/>
      <c r="U1032" s="301"/>
      <c r="V1032" s="301"/>
      <c r="W1032" s="301"/>
      <c r="X1032" s="301"/>
      <c r="Y1032" s="301"/>
      <c r="Z1032" s="301"/>
    </row>
    <row r="1033" spans="1:26" ht="14">
      <c r="A1033" s="298" t="s">
        <v>1202</v>
      </c>
      <c r="B1033" s="298" t="s">
        <v>9984</v>
      </c>
      <c r="C1033" s="299">
        <v>408</v>
      </c>
      <c r="D1033" s="298" t="s">
        <v>9985</v>
      </c>
      <c r="E1033" s="298"/>
      <c r="F1033" s="300">
        <v>3012365985</v>
      </c>
      <c r="G1033" s="298">
        <v>1065581371</v>
      </c>
      <c r="H1033" s="298" t="s">
        <v>9986</v>
      </c>
      <c r="I1033" s="301"/>
      <c r="J1033" s="301"/>
      <c r="K1033" s="301"/>
      <c r="L1033" s="301"/>
      <c r="M1033" s="301"/>
      <c r="N1033" s="301"/>
      <c r="O1033" s="301"/>
      <c r="P1033" s="301"/>
      <c r="Q1033" s="301"/>
      <c r="R1033" s="301"/>
      <c r="S1033" s="301"/>
      <c r="T1033" s="301"/>
      <c r="U1033" s="301"/>
      <c r="V1033" s="301"/>
      <c r="W1033" s="301"/>
      <c r="X1033" s="301"/>
      <c r="Y1033" s="301"/>
      <c r="Z1033" s="301"/>
    </row>
    <row r="1034" spans="1:26" ht="14">
      <c r="A1034" s="303" t="s">
        <v>1235</v>
      </c>
      <c r="B1034" s="298" t="s">
        <v>9987</v>
      </c>
      <c r="C1034" s="299">
        <v>404</v>
      </c>
      <c r="D1034" s="298" t="s">
        <v>9799</v>
      </c>
      <c r="E1034" s="298"/>
      <c r="F1034" s="300">
        <v>3183366393</v>
      </c>
      <c r="G1034" s="303">
        <v>52731813</v>
      </c>
      <c r="H1034" s="298" t="s">
        <v>9988</v>
      </c>
      <c r="I1034" s="301"/>
      <c r="J1034" s="301"/>
      <c r="K1034" s="301"/>
      <c r="L1034" s="301"/>
      <c r="M1034" s="301"/>
      <c r="N1034" s="301"/>
      <c r="O1034" s="301"/>
      <c r="P1034" s="301"/>
      <c r="Q1034" s="301"/>
      <c r="R1034" s="301"/>
      <c r="S1034" s="301"/>
      <c r="T1034" s="301"/>
      <c r="U1034" s="301"/>
      <c r="V1034" s="301"/>
      <c r="W1034" s="301"/>
      <c r="X1034" s="301"/>
      <c r="Y1034" s="301"/>
      <c r="Z1034" s="301"/>
    </row>
    <row r="1035" spans="1:26" ht="14">
      <c r="A1035" s="298" t="s">
        <v>1229</v>
      </c>
      <c r="B1035" s="298" t="s">
        <v>9989</v>
      </c>
      <c r="C1035" s="299"/>
      <c r="D1035" s="298"/>
      <c r="E1035" s="298"/>
      <c r="F1035" s="300">
        <v>3193716536</v>
      </c>
      <c r="G1035" s="298">
        <v>1090533282</v>
      </c>
      <c r="H1035" s="298" t="s">
        <v>9990</v>
      </c>
      <c r="I1035" s="301"/>
      <c r="J1035" s="301"/>
      <c r="K1035" s="301"/>
      <c r="L1035" s="301"/>
      <c r="M1035" s="301"/>
      <c r="N1035" s="301"/>
      <c r="O1035" s="301"/>
      <c r="P1035" s="301"/>
      <c r="Q1035" s="301"/>
      <c r="R1035" s="301"/>
      <c r="S1035" s="301"/>
      <c r="T1035" s="301"/>
      <c r="U1035" s="301"/>
      <c r="V1035" s="301"/>
      <c r="W1035" s="301"/>
      <c r="X1035" s="301"/>
      <c r="Y1035" s="301"/>
      <c r="Z1035" s="301"/>
    </row>
    <row r="1036" spans="1:26" ht="14">
      <c r="A1036" s="298" t="s">
        <v>1238</v>
      </c>
      <c r="B1036" s="298" t="s">
        <v>9991</v>
      </c>
      <c r="C1036" s="299">
        <v>506</v>
      </c>
      <c r="D1036" s="298" t="s">
        <v>9992</v>
      </c>
      <c r="E1036" s="298"/>
      <c r="F1036" s="300">
        <v>3164549191</v>
      </c>
      <c r="G1036" s="298">
        <v>5242044</v>
      </c>
      <c r="H1036" s="298" t="s">
        <v>9993</v>
      </c>
      <c r="I1036" s="301"/>
      <c r="J1036" s="301"/>
      <c r="K1036" s="301"/>
      <c r="L1036" s="301"/>
      <c r="M1036" s="301"/>
      <c r="N1036" s="301"/>
      <c r="O1036" s="301"/>
      <c r="P1036" s="301"/>
      <c r="Q1036" s="301"/>
      <c r="R1036" s="301"/>
      <c r="S1036" s="301"/>
      <c r="T1036" s="301"/>
      <c r="U1036" s="301"/>
      <c r="V1036" s="301"/>
      <c r="W1036" s="301"/>
      <c r="X1036" s="301"/>
      <c r="Y1036" s="301"/>
      <c r="Z1036" s="301"/>
    </row>
    <row r="1037" spans="1:26" ht="14">
      <c r="A1037" s="303" t="s">
        <v>1242</v>
      </c>
      <c r="B1037" s="298" t="s">
        <v>9994</v>
      </c>
      <c r="C1037" s="299">
        <v>204</v>
      </c>
      <c r="D1037" s="298" t="s">
        <v>9995</v>
      </c>
      <c r="E1037" s="298"/>
      <c r="F1037" s="300">
        <v>3104332754</v>
      </c>
      <c r="G1037" s="298">
        <v>1019024575</v>
      </c>
      <c r="H1037" s="298" t="s">
        <v>9996</v>
      </c>
      <c r="I1037" s="301"/>
      <c r="J1037" s="301"/>
      <c r="K1037" s="301"/>
      <c r="L1037" s="301"/>
      <c r="M1037" s="301"/>
      <c r="N1037" s="301"/>
      <c r="O1037" s="301"/>
      <c r="P1037" s="301"/>
      <c r="Q1037" s="301"/>
      <c r="R1037" s="301"/>
      <c r="S1037" s="301"/>
      <c r="T1037" s="301"/>
      <c r="U1037" s="301"/>
      <c r="V1037" s="301"/>
      <c r="W1037" s="301"/>
      <c r="X1037" s="301"/>
      <c r="Y1037" s="301"/>
      <c r="Z1037" s="301"/>
    </row>
    <row r="1038" spans="1:26" ht="14">
      <c r="A1038" s="298" t="s">
        <v>1264</v>
      </c>
      <c r="B1038" s="298" t="s">
        <v>9997</v>
      </c>
      <c r="C1038" s="299" t="s">
        <v>9998</v>
      </c>
      <c r="D1038" s="298"/>
      <c r="E1038" s="298"/>
      <c r="F1038" s="300">
        <v>3142560306</v>
      </c>
      <c r="G1038" s="298">
        <v>1016090630</v>
      </c>
      <c r="H1038" s="298" t="s">
        <v>9999</v>
      </c>
      <c r="I1038" s="301"/>
      <c r="J1038" s="301"/>
      <c r="K1038" s="301"/>
      <c r="L1038" s="301"/>
      <c r="M1038" s="301"/>
      <c r="N1038" s="301"/>
      <c r="O1038" s="301"/>
      <c r="P1038" s="301"/>
      <c r="Q1038" s="301"/>
      <c r="R1038" s="301"/>
      <c r="S1038" s="301"/>
      <c r="T1038" s="301"/>
      <c r="U1038" s="301"/>
      <c r="V1038" s="301"/>
      <c r="W1038" s="301"/>
      <c r="X1038" s="301"/>
      <c r="Y1038" s="301"/>
      <c r="Z1038" s="301"/>
    </row>
    <row r="1039" spans="1:26" ht="14">
      <c r="A1039" s="298" t="s">
        <v>1244</v>
      </c>
      <c r="B1039" s="298" t="s">
        <v>10000</v>
      </c>
      <c r="C1039" s="299">
        <v>404</v>
      </c>
      <c r="D1039" s="298"/>
      <c r="E1039" s="298"/>
      <c r="F1039" s="300">
        <v>3103121732</v>
      </c>
      <c r="G1039" s="298">
        <v>32473007</v>
      </c>
      <c r="H1039" s="298" t="s">
        <v>10001</v>
      </c>
      <c r="I1039" s="301"/>
      <c r="J1039" s="301"/>
      <c r="K1039" s="301"/>
      <c r="L1039" s="301"/>
      <c r="M1039" s="301"/>
      <c r="N1039" s="301"/>
      <c r="O1039" s="301"/>
      <c r="P1039" s="301"/>
      <c r="Q1039" s="301"/>
      <c r="R1039" s="301"/>
      <c r="S1039" s="301"/>
      <c r="T1039" s="301"/>
      <c r="U1039" s="301"/>
      <c r="V1039" s="301"/>
      <c r="W1039" s="301"/>
      <c r="X1039" s="301"/>
      <c r="Y1039" s="301"/>
      <c r="Z1039" s="301"/>
    </row>
    <row r="1040" spans="1:26" ht="14">
      <c r="A1040" s="298" t="s">
        <v>1259</v>
      </c>
      <c r="B1040" s="298" t="s">
        <v>10002</v>
      </c>
      <c r="C1040" s="299">
        <v>604</v>
      </c>
      <c r="D1040" s="298"/>
      <c r="E1040" s="298"/>
      <c r="F1040" s="300">
        <v>3167419639</v>
      </c>
      <c r="G1040" s="298">
        <v>52499927</v>
      </c>
      <c r="H1040" s="298" t="s">
        <v>10003</v>
      </c>
      <c r="I1040" s="301"/>
      <c r="J1040" s="301"/>
      <c r="K1040" s="301"/>
      <c r="L1040" s="301"/>
      <c r="M1040" s="301"/>
      <c r="N1040" s="301"/>
      <c r="O1040" s="301"/>
      <c r="P1040" s="301"/>
      <c r="Q1040" s="301"/>
      <c r="R1040" s="301"/>
      <c r="S1040" s="301"/>
      <c r="T1040" s="301"/>
      <c r="U1040" s="301"/>
      <c r="V1040" s="301"/>
      <c r="W1040" s="301"/>
      <c r="X1040" s="301"/>
      <c r="Y1040" s="301"/>
      <c r="Z1040" s="301"/>
    </row>
    <row r="1041" spans="1:26" ht="14">
      <c r="A1041" s="298" t="s">
        <v>1261</v>
      </c>
      <c r="B1041" s="298" t="s">
        <v>10004</v>
      </c>
      <c r="C1041" s="299">
        <v>112</v>
      </c>
      <c r="D1041" s="298" t="s">
        <v>10005</v>
      </c>
      <c r="E1041" s="298"/>
      <c r="F1041" s="300">
        <v>3016265164</v>
      </c>
      <c r="G1041" s="298">
        <v>25283000</v>
      </c>
      <c r="H1041" s="298" t="s">
        <v>10006</v>
      </c>
      <c r="I1041" s="301"/>
      <c r="J1041" s="301"/>
      <c r="K1041" s="301"/>
      <c r="L1041" s="301"/>
      <c r="M1041" s="301"/>
      <c r="N1041" s="301"/>
      <c r="O1041" s="301"/>
      <c r="P1041" s="301"/>
      <c r="Q1041" s="301"/>
      <c r="R1041" s="301"/>
      <c r="S1041" s="301"/>
      <c r="T1041" s="301"/>
      <c r="U1041" s="301"/>
      <c r="V1041" s="301"/>
      <c r="W1041" s="301"/>
      <c r="X1041" s="301"/>
      <c r="Y1041" s="301"/>
      <c r="Z1041" s="301"/>
    </row>
    <row r="1042" spans="1:26" ht="14">
      <c r="A1042" s="298" t="s">
        <v>1271</v>
      </c>
      <c r="B1042" s="298" t="s">
        <v>10007</v>
      </c>
      <c r="C1042" s="299">
        <v>602</v>
      </c>
      <c r="D1042" s="298" t="s">
        <v>10008</v>
      </c>
      <c r="E1042" s="298"/>
      <c r="F1042" s="300">
        <v>3204982987</v>
      </c>
      <c r="G1042" s="298">
        <v>52864215</v>
      </c>
      <c r="H1042" s="298" t="s">
        <v>10009</v>
      </c>
      <c r="I1042" s="301"/>
      <c r="J1042" s="301"/>
      <c r="K1042" s="301"/>
      <c r="L1042" s="301"/>
      <c r="M1042" s="301"/>
      <c r="N1042" s="301"/>
      <c r="O1042" s="301"/>
      <c r="P1042" s="301"/>
      <c r="Q1042" s="301"/>
      <c r="R1042" s="301"/>
      <c r="S1042" s="301"/>
      <c r="T1042" s="301"/>
      <c r="U1042" s="301"/>
      <c r="V1042" s="301"/>
      <c r="W1042" s="301"/>
      <c r="X1042" s="301"/>
      <c r="Y1042" s="301"/>
      <c r="Z1042" s="301"/>
    </row>
    <row r="1043" spans="1:26" ht="14">
      <c r="A1043" s="298" t="s">
        <v>1206</v>
      </c>
      <c r="B1043" s="298" t="s">
        <v>10010</v>
      </c>
      <c r="C1043" s="299">
        <v>314</v>
      </c>
      <c r="D1043" s="298" t="s">
        <v>7217</v>
      </c>
      <c r="E1043" s="298"/>
      <c r="F1043" s="300">
        <v>3125225639</v>
      </c>
      <c r="G1043" s="298">
        <v>52621771</v>
      </c>
      <c r="H1043" s="298" t="s">
        <v>10011</v>
      </c>
      <c r="I1043" s="301"/>
      <c r="J1043" s="301"/>
      <c r="K1043" s="301"/>
      <c r="L1043" s="301"/>
      <c r="M1043" s="301"/>
      <c r="N1043" s="301"/>
      <c r="O1043" s="301"/>
      <c r="P1043" s="301"/>
      <c r="Q1043" s="301"/>
      <c r="R1043" s="301"/>
      <c r="S1043" s="301"/>
      <c r="T1043" s="301"/>
      <c r="U1043" s="301"/>
      <c r="V1043" s="301"/>
      <c r="W1043" s="301"/>
      <c r="X1043" s="301"/>
      <c r="Y1043" s="301"/>
      <c r="Z1043" s="301"/>
    </row>
    <row r="1044" spans="1:26" ht="14">
      <c r="A1044" s="298" t="s">
        <v>10012</v>
      </c>
      <c r="B1044" s="298" t="s">
        <v>10013</v>
      </c>
      <c r="C1044" s="299">
        <v>501</v>
      </c>
      <c r="D1044" s="298"/>
      <c r="E1044" s="298"/>
      <c r="F1044" s="300">
        <v>3175765606</v>
      </c>
      <c r="G1044" s="298">
        <v>35459861</v>
      </c>
      <c r="H1044" s="298" t="s">
        <v>10014</v>
      </c>
      <c r="I1044" s="301"/>
      <c r="J1044" s="301"/>
      <c r="K1044" s="301"/>
      <c r="L1044" s="301"/>
      <c r="M1044" s="301"/>
      <c r="N1044" s="301"/>
      <c r="O1044" s="301"/>
      <c r="P1044" s="301"/>
      <c r="Q1044" s="301"/>
      <c r="R1044" s="301"/>
      <c r="S1044" s="301"/>
      <c r="T1044" s="301"/>
      <c r="U1044" s="301"/>
      <c r="V1044" s="301"/>
      <c r="W1044" s="301"/>
      <c r="X1044" s="301"/>
      <c r="Y1044" s="301"/>
      <c r="Z1044" s="301"/>
    </row>
    <row r="1045" spans="1:26" ht="14">
      <c r="A1045" s="298" t="s">
        <v>1221</v>
      </c>
      <c r="B1045" s="298" t="s">
        <v>10015</v>
      </c>
      <c r="C1045" s="299">
        <v>601</v>
      </c>
      <c r="D1045" s="298"/>
      <c r="E1045" s="298"/>
      <c r="F1045" s="300">
        <v>3125824866</v>
      </c>
      <c r="G1045" s="298">
        <v>41656772</v>
      </c>
      <c r="H1045" s="298" t="s">
        <v>10016</v>
      </c>
      <c r="I1045" s="301"/>
      <c r="J1045" s="301"/>
      <c r="K1045" s="301"/>
      <c r="L1045" s="301"/>
      <c r="M1045" s="301"/>
      <c r="N1045" s="301"/>
      <c r="O1045" s="301"/>
      <c r="P1045" s="301"/>
      <c r="Q1045" s="301"/>
      <c r="R1045" s="301"/>
      <c r="S1045" s="301"/>
      <c r="T1045" s="301"/>
      <c r="U1045" s="301"/>
      <c r="V1045" s="301"/>
      <c r="W1045" s="301"/>
      <c r="X1045" s="301"/>
      <c r="Y1045" s="301"/>
      <c r="Z1045" s="301"/>
    </row>
    <row r="1046" spans="1:26" ht="14">
      <c r="A1046" s="298" t="s">
        <v>10017</v>
      </c>
      <c r="B1046" s="298" t="s">
        <v>10018</v>
      </c>
      <c r="C1046" s="299">
        <v>1312</v>
      </c>
      <c r="D1046" s="298" t="s">
        <v>8237</v>
      </c>
      <c r="E1046" s="298"/>
      <c r="F1046" s="300">
        <v>3133354352</v>
      </c>
      <c r="G1046" s="298">
        <v>1015430280</v>
      </c>
      <c r="H1046" s="298" t="s">
        <v>10019</v>
      </c>
      <c r="I1046" s="301"/>
      <c r="J1046" s="301"/>
      <c r="K1046" s="301"/>
      <c r="L1046" s="301"/>
      <c r="M1046" s="301"/>
      <c r="N1046" s="301"/>
      <c r="O1046" s="301"/>
      <c r="P1046" s="301"/>
      <c r="Q1046" s="301"/>
      <c r="R1046" s="301"/>
      <c r="S1046" s="301"/>
      <c r="T1046" s="301"/>
      <c r="U1046" s="301"/>
      <c r="V1046" s="301"/>
      <c r="W1046" s="301"/>
      <c r="X1046" s="301"/>
      <c r="Y1046" s="301"/>
      <c r="Z1046" s="301"/>
    </row>
    <row r="1047" spans="1:26" ht="14">
      <c r="A1047" s="298" t="s">
        <v>1227</v>
      </c>
      <c r="B1047" s="298" t="s">
        <v>10020</v>
      </c>
      <c r="C1047" s="299">
        <v>201</v>
      </c>
      <c r="D1047" s="298"/>
      <c r="E1047" s="298"/>
      <c r="F1047" s="300">
        <v>3102890253</v>
      </c>
      <c r="G1047" s="298">
        <v>1144172869</v>
      </c>
      <c r="H1047" s="298" t="s">
        <v>10021</v>
      </c>
      <c r="I1047" s="301"/>
      <c r="J1047" s="301"/>
      <c r="K1047" s="301"/>
      <c r="L1047" s="301"/>
      <c r="M1047" s="301"/>
      <c r="N1047" s="301"/>
      <c r="O1047" s="301"/>
      <c r="P1047" s="301"/>
      <c r="Q1047" s="301"/>
      <c r="R1047" s="301"/>
      <c r="S1047" s="301"/>
      <c r="T1047" s="301"/>
      <c r="U1047" s="301"/>
      <c r="V1047" s="301"/>
      <c r="W1047" s="301"/>
      <c r="X1047" s="301"/>
      <c r="Y1047" s="301"/>
      <c r="Z1047" s="301"/>
    </row>
    <row r="1048" spans="1:26" ht="14">
      <c r="A1048" s="298" t="s">
        <v>1278</v>
      </c>
      <c r="B1048" s="298" t="s">
        <v>10022</v>
      </c>
      <c r="C1048" s="299">
        <v>301</v>
      </c>
      <c r="D1048" s="298"/>
      <c r="E1048" s="298"/>
      <c r="F1048" s="300">
        <v>3108653980</v>
      </c>
      <c r="G1048" s="298">
        <v>41603140</v>
      </c>
      <c r="H1048" s="298" t="s">
        <v>10023</v>
      </c>
      <c r="I1048" s="301"/>
      <c r="J1048" s="301"/>
      <c r="K1048" s="301"/>
      <c r="L1048" s="301"/>
      <c r="M1048" s="301"/>
      <c r="N1048" s="301"/>
      <c r="O1048" s="301"/>
      <c r="P1048" s="301"/>
      <c r="Q1048" s="301"/>
      <c r="R1048" s="301"/>
      <c r="S1048" s="301"/>
      <c r="T1048" s="301"/>
      <c r="U1048" s="301"/>
      <c r="V1048" s="301"/>
      <c r="W1048" s="301"/>
      <c r="X1048" s="301"/>
      <c r="Y1048" s="301"/>
      <c r="Z1048" s="301"/>
    </row>
    <row r="1049" spans="1:26" ht="14">
      <c r="A1049" s="298" t="s">
        <v>10024</v>
      </c>
      <c r="B1049" s="298" t="s">
        <v>10025</v>
      </c>
      <c r="C1049" s="299">
        <v>701</v>
      </c>
      <c r="D1049" s="298"/>
      <c r="E1049" s="298"/>
      <c r="F1049" s="300">
        <v>3112866577</v>
      </c>
      <c r="G1049" s="298">
        <v>52965510</v>
      </c>
      <c r="H1049" s="298" t="s">
        <v>10026</v>
      </c>
      <c r="I1049" s="301"/>
      <c r="J1049" s="301"/>
      <c r="K1049" s="301"/>
      <c r="L1049" s="301"/>
      <c r="M1049" s="301"/>
      <c r="N1049" s="301"/>
      <c r="O1049" s="301"/>
      <c r="P1049" s="301"/>
      <c r="Q1049" s="301"/>
      <c r="R1049" s="301"/>
      <c r="S1049" s="301"/>
      <c r="T1049" s="301"/>
      <c r="U1049" s="301"/>
      <c r="V1049" s="301"/>
      <c r="W1049" s="301"/>
      <c r="X1049" s="301"/>
      <c r="Y1049" s="301"/>
      <c r="Z1049" s="301"/>
    </row>
    <row r="1050" spans="1:26" ht="14">
      <c r="A1050" s="298" t="s">
        <v>1282</v>
      </c>
      <c r="B1050" s="298" t="s">
        <v>10027</v>
      </c>
      <c r="C1050" s="299"/>
      <c r="D1050" s="298" t="s">
        <v>10028</v>
      </c>
      <c r="E1050" s="298"/>
      <c r="F1050" s="300">
        <v>3102360969</v>
      </c>
      <c r="G1050" s="298">
        <v>1020740329</v>
      </c>
      <c r="H1050" s="298" t="s">
        <v>10029</v>
      </c>
      <c r="I1050" s="301"/>
      <c r="J1050" s="301"/>
      <c r="K1050" s="301"/>
      <c r="L1050" s="301"/>
      <c r="M1050" s="301"/>
      <c r="N1050" s="301"/>
      <c r="O1050" s="301"/>
      <c r="P1050" s="301"/>
      <c r="Q1050" s="301"/>
      <c r="R1050" s="301"/>
      <c r="S1050" s="301"/>
      <c r="T1050" s="301"/>
      <c r="U1050" s="301"/>
      <c r="V1050" s="301"/>
      <c r="W1050" s="301"/>
      <c r="X1050" s="301"/>
      <c r="Y1050" s="301"/>
      <c r="Z1050" s="301"/>
    </row>
    <row r="1051" spans="1:26" ht="14">
      <c r="A1051" s="298" t="s">
        <v>1284</v>
      </c>
      <c r="B1051" s="298" t="s">
        <v>10030</v>
      </c>
      <c r="C1051" s="299">
        <v>206</v>
      </c>
      <c r="D1051" s="298" t="s">
        <v>8237</v>
      </c>
      <c r="E1051" s="298"/>
      <c r="F1051" s="300">
        <v>3212125870</v>
      </c>
      <c r="G1051" s="298">
        <v>1015995007</v>
      </c>
      <c r="H1051" s="298" t="s">
        <v>10031</v>
      </c>
      <c r="I1051" s="301"/>
      <c r="J1051" s="301"/>
      <c r="K1051" s="301"/>
      <c r="L1051" s="301"/>
      <c r="M1051" s="301"/>
      <c r="N1051" s="301"/>
      <c r="O1051" s="301"/>
      <c r="P1051" s="301"/>
      <c r="Q1051" s="301"/>
      <c r="R1051" s="301"/>
      <c r="S1051" s="301"/>
      <c r="T1051" s="301"/>
      <c r="U1051" s="301"/>
      <c r="V1051" s="301"/>
      <c r="W1051" s="301"/>
      <c r="X1051" s="301"/>
      <c r="Y1051" s="301"/>
      <c r="Z1051" s="301"/>
    </row>
    <row r="1052" spans="1:26" ht="14">
      <c r="A1052" s="298" t="s">
        <v>1286</v>
      </c>
      <c r="B1052" s="298" t="s">
        <v>10032</v>
      </c>
      <c r="C1052" s="299">
        <v>1502</v>
      </c>
      <c r="D1052" s="298" t="s">
        <v>10033</v>
      </c>
      <c r="E1052" s="298"/>
      <c r="F1052" s="300">
        <v>3112462151</v>
      </c>
      <c r="G1052" s="298">
        <v>79992435</v>
      </c>
      <c r="H1052" s="298" t="s">
        <v>10034</v>
      </c>
      <c r="I1052" s="301"/>
      <c r="J1052" s="301"/>
      <c r="K1052" s="301"/>
      <c r="L1052" s="301"/>
      <c r="M1052" s="301"/>
      <c r="N1052" s="301"/>
      <c r="O1052" s="301"/>
      <c r="P1052" s="301"/>
      <c r="Q1052" s="301"/>
      <c r="R1052" s="301"/>
      <c r="S1052" s="301"/>
      <c r="T1052" s="301"/>
      <c r="U1052" s="301"/>
      <c r="V1052" s="301"/>
      <c r="W1052" s="301"/>
      <c r="X1052" s="301"/>
      <c r="Y1052" s="301"/>
      <c r="Z1052" s="301"/>
    </row>
    <row r="1053" spans="1:26" ht="14">
      <c r="A1053" s="298" t="s">
        <v>1295</v>
      </c>
      <c r="B1053" s="298" t="s">
        <v>10035</v>
      </c>
      <c r="C1053" s="299"/>
      <c r="D1053" s="298" t="s">
        <v>10036</v>
      </c>
      <c r="E1053" s="298"/>
      <c r="F1053" s="300">
        <v>3002137835</v>
      </c>
      <c r="G1053" s="298">
        <v>53095434</v>
      </c>
      <c r="H1053" s="298" t="s">
        <v>10037</v>
      </c>
      <c r="I1053" s="301"/>
      <c r="J1053" s="301"/>
      <c r="K1053" s="301"/>
      <c r="L1053" s="301"/>
      <c r="M1053" s="301"/>
      <c r="N1053" s="301"/>
      <c r="O1053" s="301"/>
      <c r="P1053" s="301"/>
      <c r="Q1053" s="301"/>
      <c r="R1053" s="301"/>
      <c r="S1053" s="301"/>
      <c r="T1053" s="301"/>
      <c r="U1053" s="301"/>
      <c r="V1053" s="301"/>
      <c r="W1053" s="301"/>
      <c r="X1053" s="301"/>
      <c r="Y1053" s="301"/>
      <c r="Z1053" s="301"/>
    </row>
    <row r="1054" spans="1:26" ht="14">
      <c r="A1054" s="298" t="s">
        <v>1298</v>
      </c>
      <c r="B1054" s="298" t="s">
        <v>10038</v>
      </c>
      <c r="C1054" s="350">
        <v>45875</v>
      </c>
      <c r="D1054" s="298"/>
      <c r="E1054" s="298"/>
      <c r="F1054" s="300">
        <v>3176421980</v>
      </c>
      <c r="G1054" s="298">
        <v>51976929</v>
      </c>
      <c r="H1054" s="298" t="s">
        <v>10039</v>
      </c>
      <c r="I1054" s="301"/>
      <c r="J1054" s="301"/>
      <c r="K1054" s="301"/>
      <c r="L1054" s="301"/>
      <c r="M1054" s="301"/>
      <c r="N1054" s="301"/>
      <c r="O1054" s="301"/>
      <c r="P1054" s="301"/>
      <c r="Q1054" s="301"/>
      <c r="R1054" s="301"/>
      <c r="S1054" s="301"/>
      <c r="T1054" s="301"/>
      <c r="U1054" s="301"/>
      <c r="V1054" s="301"/>
      <c r="W1054" s="301"/>
      <c r="X1054" s="301"/>
      <c r="Y1054" s="301"/>
      <c r="Z1054" s="301"/>
    </row>
    <row r="1055" spans="1:26" ht="14">
      <c r="A1055" s="298" t="s">
        <v>1300</v>
      </c>
      <c r="B1055" s="298" t="s">
        <v>10040</v>
      </c>
      <c r="C1055" s="299" t="s">
        <v>7072</v>
      </c>
      <c r="D1055" s="298"/>
      <c r="E1055" s="298"/>
      <c r="F1055" s="300">
        <v>3017965213</v>
      </c>
      <c r="G1055" s="298">
        <v>1047434252</v>
      </c>
      <c r="H1055" s="298" t="s">
        <v>10041</v>
      </c>
      <c r="I1055" s="301"/>
      <c r="J1055" s="301"/>
      <c r="K1055" s="301"/>
      <c r="L1055" s="301"/>
      <c r="M1055" s="301"/>
      <c r="N1055" s="301"/>
      <c r="O1055" s="301"/>
      <c r="P1055" s="301"/>
      <c r="Q1055" s="301"/>
      <c r="R1055" s="301"/>
      <c r="S1055" s="301"/>
      <c r="T1055" s="301"/>
      <c r="U1055" s="301"/>
      <c r="V1055" s="301"/>
      <c r="W1055" s="301"/>
      <c r="X1055" s="301"/>
      <c r="Y1055" s="301"/>
      <c r="Z1055" s="301"/>
    </row>
    <row r="1056" spans="1:26" ht="14">
      <c r="A1056" s="298" t="s">
        <v>1302</v>
      </c>
      <c r="B1056" s="298" t="s">
        <v>10042</v>
      </c>
      <c r="C1056" s="299">
        <v>402</v>
      </c>
      <c r="D1056" s="298" t="s">
        <v>10043</v>
      </c>
      <c r="E1056" s="298"/>
      <c r="F1056" s="300">
        <v>3165319212</v>
      </c>
      <c r="G1056" s="298">
        <v>1144077003</v>
      </c>
      <c r="H1056" s="298" t="s">
        <v>10044</v>
      </c>
      <c r="I1056" s="301"/>
      <c r="J1056" s="301"/>
      <c r="K1056" s="301"/>
      <c r="L1056" s="301"/>
      <c r="M1056" s="301"/>
      <c r="N1056" s="301"/>
      <c r="O1056" s="301"/>
      <c r="P1056" s="301"/>
      <c r="Q1056" s="301"/>
      <c r="R1056" s="301"/>
      <c r="S1056" s="301"/>
      <c r="T1056" s="301"/>
      <c r="U1056" s="301"/>
      <c r="V1056" s="301"/>
      <c r="W1056" s="301"/>
      <c r="X1056" s="301"/>
      <c r="Y1056" s="301"/>
      <c r="Z1056" s="301"/>
    </row>
    <row r="1057" spans="1:26" ht="14">
      <c r="A1057" s="303" t="s">
        <v>1307</v>
      </c>
      <c r="B1057" s="298" t="s">
        <v>10045</v>
      </c>
      <c r="C1057" s="299">
        <v>602</v>
      </c>
      <c r="D1057" s="298" t="s">
        <v>10046</v>
      </c>
      <c r="E1057" s="298"/>
      <c r="F1057" s="300">
        <v>3105046691</v>
      </c>
      <c r="G1057" s="298">
        <v>1053798381</v>
      </c>
      <c r="H1057" s="298"/>
      <c r="I1057" s="301"/>
      <c r="J1057" s="301"/>
      <c r="K1057" s="301"/>
      <c r="L1057" s="301"/>
      <c r="M1057" s="301"/>
      <c r="N1057" s="301"/>
      <c r="O1057" s="301"/>
      <c r="P1057" s="301"/>
      <c r="Q1057" s="301"/>
      <c r="R1057" s="301"/>
      <c r="S1057" s="301"/>
      <c r="T1057" s="301"/>
      <c r="U1057" s="301"/>
      <c r="V1057" s="301"/>
      <c r="W1057" s="301"/>
      <c r="X1057" s="301"/>
      <c r="Y1057" s="301"/>
      <c r="Z1057" s="301"/>
    </row>
    <row r="1058" spans="1:26" ht="14">
      <c r="A1058" s="298" t="s">
        <v>1311</v>
      </c>
      <c r="B1058" s="298" t="s">
        <v>10047</v>
      </c>
      <c r="C1058" s="299"/>
      <c r="D1058" s="298" t="s">
        <v>10048</v>
      </c>
      <c r="E1058" s="298"/>
      <c r="F1058" s="300">
        <v>3233118397</v>
      </c>
      <c r="G1058" s="298">
        <v>1101125484</v>
      </c>
      <c r="H1058" s="298" t="s">
        <v>10049</v>
      </c>
      <c r="I1058" s="301"/>
      <c r="J1058" s="301"/>
      <c r="K1058" s="301"/>
      <c r="L1058" s="301"/>
      <c r="M1058" s="301"/>
      <c r="N1058" s="301"/>
      <c r="O1058" s="301"/>
      <c r="P1058" s="301"/>
      <c r="Q1058" s="301"/>
      <c r="R1058" s="301"/>
      <c r="S1058" s="301"/>
      <c r="T1058" s="301"/>
      <c r="U1058" s="301"/>
      <c r="V1058" s="301"/>
      <c r="W1058" s="301"/>
      <c r="X1058" s="301"/>
      <c r="Y1058" s="301"/>
      <c r="Z1058" s="301"/>
    </row>
    <row r="1059" spans="1:26" ht="14">
      <c r="A1059" s="298" t="s">
        <v>1309</v>
      </c>
      <c r="B1059" s="298" t="s">
        <v>10050</v>
      </c>
      <c r="C1059" s="299">
        <v>302</v>
      </c>
      <c r="D1059" s="298" t="s">
        <v>10051</v>
      </c>
      <c r="E1059" s="298"/>
      <c r="F1059" s="300">
        <v>3125689928</v>
      </c>
      <c r="G1059" s="298">
        <v>51692908</v>
      </c>
      <c r="H1059" s="298" t="s">
        <v>10052</v>
      </c>
      <c r="I1059" s="301"/>
      <c r="J1059" s="301"/>
      <c r="K1059" s="301"/>
      <c r="L1059" s="301"/>
      <c r="M1059" s="301"/>
      <c r="N1059" s="301"/>
      <c r="O1059" s="301"/>
      <c r="P1059" s="301"/>
      <c r="Q1059" s="301"/>
      <c r="R1059" s="301"/>
      <c r="S1059" s="301"/>
      <c r="T1059" s="301"/>
      <c r="U1059" s="301"/>
      <c r="V1059" s="301"/>
      <c r="W1059" s="301"/>
      <c r="X1059" s="301"/>
      <c r="Y1059" s="301"/>
      <c r="Z1059" s="301"/>
    </row>
    <row r="1060" spans="1:26" ht="14">
      <c r="A1060" s="298" t="s">
        <v>1318</v>
      </c>
      <c r="B1060" s="298" t="s">
        <v>10053</v>
      </c>
      <c r="C1060" s="299">
        <v>204</v>
      </c>
      <c r="D1060" s="298"/>
      <c r="E1060" s="298"/>
      <c r="F1060" s="300">
        <v>3123785409</v>
      </c>
      <c r="G1060" s="298">
        <v>1032445892</v>
      </c>
      <c r="H1060" s="298" t="s">
        <v>10054</v>
      </c>
      <c r="I1060" s="301"/>
      <c r="J1060" s="301"/>
      <c r="K1060" s="301"/>
      <c r="L1060" s="301"/>
      <c r="M1060" s="301"/>
      <c r="N1060" s="301"/>
      <c r="O1060" s="301"/>
      <c r="P1060" s="301"/>
      <c r="Q1060" s="301"/>
      <c r="R1060" s="301"/>
      <c r="S1060" s="301"/>
      <c r="T1060" s="301"/>
      <c r="U1060" s="301"/>
      <c r="V1060" s="301"/>
      <c r="W1060" s="301"/>
      <c r="X1060" s="301"/>
      <c r="Y1060" s="301"/>
      <c r="Z1060" s="301"/>
    </row>
    <row r="1061" spans="1:26" ht="14">
      <c r="A1061" s="298" t="s">
        <v>1320</v>
      </c>
      <c r="B1061" s="298" t="s">
        <v>10055</v>
      </c>
      <c r="C1061" s="299">
        <v>105</v>
      </c>
      <c r="D1061" s="298" t="s">
        <v>10056</v>
      </c>
      <c r="E1061" s="298"/>
      <c r="F1061" s="300">
        <v>3005951777</v>
      </c>
      <c r="G1061" s="303">
        <v>1006125914</v>
      </c>
      <c r="H1061" s="298" t="s">
        <v>10057</v>
      </c>
      <c r="I1061" s="301"/>
      <c r="J1061" s="301"/>
      <c r="K1061" s="301"/>
      <c r="L1061" s="301"/>
      <c r="M1061" s="301"/>
      <c r="N1061" s="301"/>
      <c r="O1061" s="301"/>
      <c r="P1061" s="301"/>
      <c r="Q1061" s="301"/>
      <c r="R1061" s="301"/>
      <c r="S1061" s="301"/>
      <c r="T1061" s="301"/>
      <c r="U1061" s="301"/>
      <c r="V1061" s="301"/>
      <c r="W1061" s="301"/>
      <c r="X1061" s="301"/>
      <c r="Y1061" s="301"/>
      <c r="Z1061" s="301"/>
    </row>
    <row r="1062" spans="1:26" ht="14">
      <c r="A1062" s="298" t="s">
        <v>1322</v>
      </c>
      <c r="B1062" s="298" t="s">
        <v>10058</v>
      </c>
      <c r="C1062" s="299">
        <v>402</v>
      </c>
      <c r="D1062" s="298"/>
      <c r="E1062" s="298"/>
      <c r="F1062" s="300">
        <v>3155557435</v>
      </c>
      <c r="G1062" s="298">
        <v>1090489022</v>
      </c>
      <c r="H1062" s="298" t="s">
        <v>10059</v>
      </c>
      <c r="I1062" s="301"/>
      <c r="J1062" s="301"/>
      <c r="K1062" s="301"/>
      <c r="L1062" s="301"/>
      <c r="M1062" s="301"/>
      <c r="N1062" s="301"/>
      <c r="O1062" s="301"/>
      <c r="P1062" s="301"/>
      <c r="Q1062" s="301"/>
      <c r="R1062" s="301"/>
      <c r="S1062" s="301"/>
      <c r="T1062" s="301"/>
      <c r="U1062" s="301"/>
      <c r="V1062" s="301"/>
      <c r="W1062" s="301"/>
      <c r="X1062" s="301"/>
      <c r="Y1062" s="301"/>
      <c r="Z1062" s="301"/>
    </row>
    <row r="1063" spans="1:26" ht="14">
      <c r="A1063" s="298" t="s">
        <v>1324</v>
      </c>
      <c r="B1063" s="298" t="s">
        <v>10060</v>
      </c>
      <c r="C1063" s="299">
        <v>307</v>
      </c>
      <c r="D1063" s="298" t="s">
        <v>10061</v>
      </c>
      <c r="E1063" s="298"/>
      <c r="F1063" s="300">
        <v>3014030770</v>
      </c>
      <c r="G1063" s="298">
        <v>1032435740</v>
      </c>
      <c r="H1063" s="298" t="s">
        <v>10062</v>
      </c>
      <c r="I1063" s="301"/>
      <c r="J1063" s="301"/>
      <c r="K1063" s="301"/>
      <c r="L1063" s="301"/>
      <c r="M1063" s="301"/>
      <c r="N1063" s="301"/>
      <c r="O1063" s="301"/>
      <c r="P1063" s="301"/>
      <c r="Q1063" s="301"/>
      <c r="R1063" s="301"/>
      <c r="S1063" s="301"/>
      <c r="T1063" s="301"/>
      <c r="U1063" s="301"/>
      <c r="V1063" s="301"/>
      <c r="W1063" s="301"/>
      <c r="X1063" s="301"/>
      <c r="Y1063" s="301"/>
      <c r="Z1063" s="301"/>
    </row>
    <row r="1064" spans="1:26" ht="14">
      <c r="A1064" s="298" t="s">
        <v>1328</v>
      </c>
      <c r="B1064" s="298" t="s">
        <v>10063</v>
      </c>
      <c r="C1064" s="299" t="s">
        <v>10064</v>
      </c>
      <c r="D1064" s="298" t="s">
        <v>10065</v>
      </c>
      <c r="E1064" s="298"/>
      <c r="F1064" s="300">
        <v>3174541556</v>
      </c>
      <c r="G1064" s="298">
        <v>63491498</v>
      </c>
      <c r="H1064" s="298" t="s">
        <v>10066</v>
      </c>
      <c r="I1064" s="301"/>
      <c r="J1064" s="301"/>
      <c r="K1064" s="301"/>
      <c r="L1064" s="301"/>
      <c r="M1064" s="301"/>
      <c r="N1064" s="301"/>
      <c r="O1064" s="301"/>
      <c r="P1064" s="301"/>
      <c r="Q1064" s="301"/>
      <c r="R1064" s="301"/>
      <c r="S1064" s="301"/>
      <c r="T1064" s="301"/>
      <c r="U1064" s="301"/>
      <c r="V1064" s="301"/>
      <c r="W1064" s="301"/>
      <c r="X1064" s="301"/>
      <c r="Y1064" s="301"/>
      <c r="Z1064" s="301"/>
    </row>
    <row r="1065" spans="1:26" ht="14">
      <c r="A1065" s="298" t="s">
        <v>10067</v>
      </c>
      <c r="B1065" s="298" t="s">
        <v>10068</v>
      </c>
      <c r="C1065" s="299">
        <v>302</v>
      </c>
      <c r="D1065" s="298"/>
      <c r="E1065" s="298"/>
      <c r="F1065" s="300">
        <v>3154656868</v>
      </c>
      <c r="G1065" s="298">
        <v>1073079</v>
      </c>
      <c r="H1065" s="298" t="s">
        <v>10069</v>
      </c>
      <c r="I1065" s="301"/>
      <c r="J1065" s="301"/>
      <c r="K1065" s="301"/>
      <c r="L1065" s="301"/>
      <c r="M1065" s="301"/>
      <c r="N1065" s="301"/>
      <c r="O1065" s="301"/>
      <c r="P1065" s="301"/>
      <c r="Q1065" s="301"/>
      <c r="R1065" s="301"/>
      <c r="S1065" s="301"/>
      <c r="T1065" s="301"/>
      <c r="U1065" s="301"/>
      <c r="V1065" s="301"/>
      <c r="W1065" s="301"/>
      <c r="X1065" s="301"/>
      <c r="Y1065" s="301"/>
      <c r="Z1065" s="301"/>
    </row>
    <row r="1066" spans="1:26" ht="14">
      <c r="A1066" s="298" t="s">
        <v>1332</v>
      </c>
      <c r="B1066" s="298" t="s">
        <v>10070</v>
      </c>
      <c r="C1066" s="299">
        <v>702</v>
      </c>
      <c r="D1066" s="298"/>
      <c r="E1066" s="298"/>
      <c r="F1066" s="300">
        <v>3214521161</v>
      </c>
      <c r="G1066" s="298">
        <v>38363588</v>
      </c>
      <c r="H1066" s="298" t="s">
        <v>10071</v>
      </c>
      <c r="I1066" s="301"/>
      <c r="J1066" s="301"/>
      <c r="K1066" s="301"/>
      <c r="L1066" s="301"/>
      <c r="M1066" s="301"/>
      <c r="N1066" s="301"/>
      <c r="O1066" s="301"/>
      <c r="P1066" s="301"/>
      <c r="Q1066" s="301"/>
      <c r="R1066" s="301"/>
      <c r="S1066" s="301"/>
      <c r="T1066" s="301"/>
      <c r="U1066" s="301"/>
      <c r="V1066" s="301"/>
      <c r="W1066" s="301"/>
      <c r="X1066" s="301"/>
      <c r="Y1066" s="301"/>
      <c r="Z1066" s="301"/>
    </row>
    <row r="1067" spans="1:26" ht="14">
      <c r="A1067" s="298" t="s">
        <v>1334</v>
      </c>
      <c r="B1067" s="298" t="s">
        <v>10072</v>
      </c>
      <c r="C1067" s="299">
        <v>1003</v>
      </c>
      <c r="D1067" s="298" t="s">
        <v>10073</v>
      </c>
      <c r="E1067" s="298"/>
      <c r="F1067" s="300">
        <v>3113389880</v>
      </c>
      <c r="G1067" s="298">
        <v>52455246</v>
      </c>
      <c r="H1067" s="298" t="s">
        <v>10074</v>
      </c>
      <c r="I1067" s="301"/>
      <c r="J1067" s="301"/>
      <c r="K1067" s="301"/>
      <c r="L1067" s="301"/>
      <c r="M1067" s="301"/>
      <c r="N1067" s="301"/>
      <c r="O1067" s="301"/>
      <c r="P1067" s="301"/>
      <c r="Q1067" s="301"/>
      <c r="R1067" s="301"/>
      <c r="S1067" s="301"/>
      <c r="T1067" s="301"/>
      <c r="U1067" s="301"/>
      <c r="V1067" s="301"/>
      <c r="W1067" s="301"/>
      <c r="X1067" s="301"/>
      <c r="Y1067" s="301"/>
      <c r="Z1067" s="301"/>
    </row>
    <row r="1068" spans="1:26" ht="14">
      <c r="A1068" s="298" t="s">
        <v>10075</v>
      </c>
      <c r="B1068" s="298" t="s">
        <v>10076</v>
      </c>
      <c r="C1068" s="299">
        <v>403</v>
      </c>
      <c r="D1068" s="298" t="s">
        <v>10077</v>
      </c>
      <c r="E1068" s="298"/>
      <c r="F1068" s="300">
        <v>3223925450</v>
      </c>
      <c r="G1068" s="298">
        <v>1020783144</v>
      </c>
      <c r="H1068" s="298" t="s">
        <v>10078</v>
      </c>
      <c r="I1068" s="301"/>
      <c r="J1068" s="301"/>
      <c r="K1068" s="301"/>
      <c r="L1068" s="301"/>
      <c r="M1068" s="301"/>
      <c r="N1068" s="301"/>
      <c r="O1068" s="301"/>
      <c r="P1068" s="301"/>
      <c r="Q1068" s="301"/>
      <c r="R1068" s="301"/>
      <c r="S1068" s="301"/>
      <c r="T1068" s="301"/>
      <c r="U1068" s="301"/>
      <c r="V1068" s="301"/>
      <c r="W1068" s="301"/>
      <c r="X1068" s="301"/>
      <c r="Y1068" s="301"/>
      <c r="Z1068" s="301"/>
    </row>
    <row r="1069" spans="1:26" ht="14">
      <c r="A1069" s="298" t="s">
        <v>1339</v>
      </c>
      <c r="B1069" s="298" t="s">
        <v>10079</v>
      </c>
      <c r="C1069" s="299">
        <v>420</v>
      </c>
      <c r="D1069" s="298"/>
      <c r="E1069" s="298"/>
      <c r="F1069" s="300">
        <v>3160428845</v>
      </c>
      <c r="G1069" s="298">
        <v>1233507269</v>
      </c>
      <c r="H1069" s="298" t="s">
        <v>10080</v>
      </c>
      <c r="I1069" s="301"/>
      <c r="J1069" s="301"/>
      <c r="K1069" s="301"/>
      <c r="L1069" s="301"/>
      <c r="M1069" s="301"/>
      <c r="N1069" s="301"/>
      <c r="O1069" s="301"/>
      <c r="P1069" s="301"/>
      <c r="Q1069" s="301"/>
      <c r="R1069" s="301"/>
      <c r="S1069" s="301"/>
      <c r="T1069" s="301"/>
      <c r="U1069" s="301"/>
      <c r="V1069" s="301"/>
      <c r="W1069" s="301"/>
      <c r="X1069" s="301"/>
      <c r="Y1069" s="301"/>
      <c r="Z1069" s="301"/>
    </row>
    <row r="1070" spans="1:26" ht="14">
      <c r="A1070" s="298" t="s">
        <v>1341</v>
      </c>
      <c r="B1070" s="298" t="s">
        <v>10081</v>
      </c>
      <c r="C1070" s="299">
        <v>303</v>
      </c>
      <c r="D1070" s="298"/>
      <c r="E1070" s="298"/>
      <c r="F1070" s="300">
        <v>3188880247</v>
      </c>
      <c r="G1070" s="298"/>
      <c r="H1070" s="298" t="s">
        <v>10082</v>
      </c>
      <c r="I1070" s="301"/>
      <c r="J1070" s="301"/>
      <c r="K1070" s="301"/>
      <c r="L1070" s="301"/>
      <c r="M1070" s="301"/>
      <c r="N1070" s="301"/>
      <c r="O1070" s="301"/>
      <c r="P1070" s="301"/>
      <c r="Q1070" s="301"/>
      <c r="R1070" s="301"/>
      <c r="S1070" s="301"/>
      <c r="T1070" s="301"/>
      <c r="U1070" s="301"/>
      <c r="V1070" s="301"/>
      <c r="W1070" s="301"/>
      <c r="X1070" s="301"/>
      <c r="Y1070" s="301"/>
      <c r="Z1070" s="301"/>
    </row>
    <row r="1071" spans="1:26" ht="14">
      <c r="A1071" s="298" t="s">
        <v>1343</v>
      </c>
      <c r="B1071" s="298" t="s">
        <v>10083</v>
      </c>
      <c r="C1071" s="299" t="s">
        <v>10084</v>
      </c>
      <c r="D1071" s="298"/>
      <c r="E1071" s="298"/>
      <c r="F1071" s="300">
        <v>3208305226</v>
      </c>
      <c r="G1071" s="298">
        <v>1014221995</v>
      </c>
      <c r="H1071" s="298" t="s">
        <v>10085</v>
      </c>
      <c r="I1071" s="301"/>
      <c r="J1071" s="301"/>
      <c r="K1071" s="301"/>
      <c r="L1071" s="301"/>
      <c r="M1071" s="301"/>
      <c r="N1071" s="301"/>
      <c r="O1071" s="301"/>
      <c r="P1071" s="301"/>
      <c r="Q1071" s="301"/>
      <c r="R1071" s="301"/>
      <c r="S1071" s="301"/>
      <c r="T1071" s="301"/>
      <c r="U1071" s="301"/>
      <c r="V1071" s="301"/>
      <c r="W1071" s="301"/>
      <c r="X1071" s="301"/>
      <c r="Y1071" s="301"/>
      <c r="Z1071" s="301"/>
    </row>
    <row r="1072" spans="1:26" ht="14">
      <c r="A1072" s="298" t="s">
        <v>1347</v>
      </c>
      <c r="B1072" s="298" t="s">
        <v>10086</v>
      </c>
      <c r="C1072" s="299">
        <v>403</v>
      </c>
      <c r="D1072" s="298"/>
      <c r="E1072" s="298"/>
      <c r="F1072" s="300">
        <v>3142411500</v>
      </c>
      <c r="G1072" s="298">
        <v>1075212415</v>
      </c>
      <c r="H1072" s="298"/>
      <c r="I1072" s="301"/>
      <c r="J1072" s="301"/>
      <c r="K1072" s="301"/>
      <c r="L1072" s="301"/>
      <c r="M1072" s="301"/>
      <c r="N1072" s="301"/>
      <c r="O1072" s="301"/>
      <c r="P1072" s="301"/>
      <c r="Q1072" s="301"/>
      <c r="R1072" s="301"/>
      <c r="S1072" s="301"/>
      <c r="T1072" s="301"/>
      <c r="U1072" s="301"/>
      <c r="V1072" s="301"/>
      <c r="W1072" s="301"/>
      <c r="X1072" s="301"/>
      <c r="Y1072" s="301"/>
      <c r="Z1072" s="301"/>
    </row>
    <row r="1073" spans="1:26" ht="14">
      <c r="A1073" s="298" t="s">
        <v>1350</v>
      </c>
      <c r="B1073" s="298" t="s">
        <v>10087</v>
      </c>
      <c r="C1073" s="299">
        <v>410</v>
      </c>
      <c r="D1073" s="298" t="s">
        <v>10088</v>
      </c>
      <c r="E1073" s="298"/>
      <c r="F1073" s="300">
        <v>3508294051</v>
      </c>
      <c r="G1073" s="298">
        <v>52010341</v>
      </c>
      <c r="H1073" s="298" t="s">
        <v>10089</v>
      </c>
      <c r="I1073" s="301"/>
      <c r="J1073" s="301"/>
      <c r="K1073" s="301"/>
      <c r="L1073" s="301"/>
      <c r="M1073" s="301"/>
      <c r="N1073" s="301"/>
      <c r="O1073" s="301"/>
      <c r="P1073" s="301"/>
      <c r="Q1073" s="301"/>
      <c r="R1073" s="301"/>
      <c r="S1073" s="301"/>
      <c r="T1073" s="301"/>
      <c r="U1073" s="301"/>
      <c r="V1073" s="301"/>
      <c r="W1073" s="301"/>
      <c r="X1073" s="301"/>
      <c r="Y1073" s="301"/>
      <c r="Z1073" s="301"/>
    </row>
    <row r="1074" spans="1:26" ht="14">
      <c r="A1074" s="298" t="s">
        <v>1362</v>
      </c>
      <c r="B1074" s="298" t="s">
        <v>10090</v>
      </c>
      <c r="C1074" s="299"/>
      <c r="D1074" s="298"/>
      <c r="E1074" s="298"/>
      <c r="F1074" s="300">
        <v>3045975957</v>
      </c>
      <c r="G1074" s="298">
        <v>1032428004</v>
      </c>
      <c r="H1074" s="298" t="s">
        <v>10091</v>
      </c>
      <c r="I1074" s="301"/>
      <c r="J1074" s="301"/>
      <c r="K1074" s="301"/>
      <c r="L1074" s="301"/>
      <c r="M1074" s="301"/>
      <c r="N1074" s="301"/>
      <c r="O1074" s="301"/>
      <c r="P1074" s="301"/>
      <c r="Q1074" s="301"/>
      <c r="R1074" s="301"/>
      <c r="S1074" s="301"/>
      <c r="T1074" s="301"/>
      <c r="U1074" s="301"/>
      <c r="V1074" s="301"/>
      <c r="W1074" s="301"/>
      <c r="X1074" s="301"/>
      <c r="Y1074" s="301"/>
      <c r="Z1074" s="301"/>
    </row>
    <row r="1075" spans="1:26" ht="14">
      <c r="A1075" s="298" t="s">
        <v>1382</v>
      </c>
      <c r="B1075" s="298" t="s">
        <v>10092</v>
      </c>
      <c r="C1075" s="299">
        <v>601</v>
      </c>
      <c r="D1075" s="298"/>
      <c r="E1075" s="298"/>
      <c r="F1075" s="300">
        <v>3153933005</v>
      </c>
      <c r="G1075" s="298">
        <v>35455595</v>
      </c>
      <c r="H1075" s="298" t="s">
        <v>10093</v>
      </c>
      <c r="I1075" s="301"/>
      <c r="J1075" s="301"/>
      <c r="K1075" s="301"/>
      <c r="L1075" s="301"/>
      <c r="M1075" s="301"/>
      <c r="N1075" s="301"/>
      <c r="O1075" s="301"/>
      <c r="P1075" s="301"/>
      <c r="Q1075" s="301"/>
      <c r="R1075" s="301"/>
      <c r="S1075" s="301"/>
      <c r="T1075" s="301"/>
      <c r="U1075" s="301"/>
      <c r="V1075" s="301"/>
      <c r="W1075" s="301"/>
      <c r="X1075" s="301"/>
      <c r="Y1075" s="301"/>
      <c r="Z1075" s="301"/>
    </row>
    <row r="1076" spans="1:26" ht="14">
      <c r="A1076" s="298" t="s">
        <v>1372</v>
      </c>
      <c r="B1076" s="298" t="s">
        <v>10094</v>
      </c>
      <c r="C1076" s="299">
        <v>403</v>
      </c>
      <c r="D1076" s="298" t="s">
        <v>10095</v>
      </c>
      <c r="E1076" s="298"/>
      <c r="F1076" s="300">
        <v>3168348113</v>
      </c>
      <c r="G1076" s="298">
        <v>1144035779</v>
      </c>
      <c r="H1076" s="298" t="s">
        <v>10096</v>
      </c>
      <c r="I1076" s="301"/>
      <c r="J1076" s="301"/>
      <c r="K1076" s="301"/>
      <c r="L1076" s="301"/>
      <c r="M1076" s="301"/>
      <c r="N1076" s="301"/>
      <c r="O1076" s="301"/>
      <c r="P1076" s="301"/>
      <c r="Q1076" s="301"/>
      <c r="R1076" s="301"/>
      <c r="S1076" s="301"/>
      <c r="T1076" s="301"/>
      <c r="U1076" s="301"/>
      <c r="V1076" s="301"/>
      <c r="W1076" s="301"/>
      <c r="X1076" s="301"/>
      <c r="Y1076" s="301"/>
      <c r="Z1076" s="301"/>
    </row>
    <row r="1077" spans="1:26" ht="14">
      <c r="A1077" s="298" t="s">
        <v>1379</v>
      </c>
      <c r="B1077" s="298" t="s">
        <v>10097</v>
      </c>
      <c r="C1077" s="299">
        <v>204</v>
      </c>
      <c r="D1077" s="298" t="s">
        <v>10098</v>
      </c>
      <c r="E1077" s="298"/>
      <c r="F1077" s="300">
        <v>3157202462</v>
      </c>
      <c r="G1077" s="298">
        <v>780947</v>
      </c>
      <c r="H1077" s="298" t="s">
        <v>10099</v>
      </c>
      <c r="I1077" s="301"/>
      <c r="J1077" s="301"/>
      <c r="K1077" s="301"/>
      <c r="L1077" s="301"/>
      <c r="M1077" s="301"/>
      <c r="N1077" s="301"/>
      <c r="O1077" s="301"/>
      <c r="P1077" s="301"/>
      <c r="Q1077" s="301"/>
      <c r="R1077" s="301"/>
      <c r="S1077" s="301"/>
      <c r="T1077" s="301"/>
      <c r="U1077" s="301"/>
      <c r="V1077" s="301"/>
      <c r="W1077" s="301"/>
      <c r="X1077" s="301"/>
      <c r="Y1077" s="301"/>
      <c r="Z1077" s="301"/>
    </row>
    <row r="1078" spans="1:26" ht="14">
      <c r="A1078" s="298" t="s">
        <v>1386</v>
      </c>
      <c r="B1078" s="303" t="s">
        <v>10100</v>
      </c>
      <c r="C1078" s="299">
        <v>204</v>
      </c>
      <c r="D1078" s="298"/>
      <c r="E1078" s="298"/>
      <c r="F1078" s="300">
        <v>3006122825</v>
      </c>
      <c r="G1078" s="303">
        <v>43872430</v>
      </c>
      <c r="H1078" s="298" t="s">
        <v>10101</v>
      </c>
      <c r="I1078" s="301"/>
      <c r="J1078" s="301"/>
      <c r="K1078" s="301"/>
      <c r="L1078" s="301"/>
      <c r="M1078" s="301"/>
      <c r="N1078" s="301"/>
      <c r="O1078" s="301"/>
      <c r="P1078" s="301"/>
      <c r="Q1078" s="301"/>
      <c r="R1078" s="301"/>
      <c r="S1078" s="301"/>
      <c r="T1078" s="301"/>
      <c r="U1078" s="301"/>
      <c r="V1078" s="301"/>
      <c r="W1078" s="301"/>
      <c r="X1078" s="301"/>
      <c r="Y1078" s="301"/>
      <c r="Z1078" s="301"/>
    </row>
    <row r="1079" spans="1:26" ht="14">
      <c r="A1079" s="298" t="s">
        <v>1388</v>
      </c>
      <c r="B1079" s="298" t="s">
        <v>10102</v>
      </c>
      <c r="C1079" s="299" t="s">
        <v>9525</v>
      </c>
      <c r="D1079" s="298"/>
      <c r="E1079" s="298"/>
      <c r="F1079" s="300">
        <v>3102288934</v>
      </c>
      <c r="G1079" s="298">
        <v>19413342</v>
      </c>
      <c r="H1079" s="298" t="s">
        <v>10103</v>
      </c>
      <c r="I1079" s="301"/>
      <c r="J1079" s="301"/>
      <c r="K1079" s="301"/>
      <c r="L1079" s="301"/>
      <c r="M1079" s="301"/>
      <c r="N1079" s="301"/>
      <c r="O1079" s="301"/>
      <c r="P1079" s="301"/>
      <c r="Q1079" s="301"/>
      <c r="R1079" s="301"/>
      <c r="S1079" s="301"/>
      <c r="T1079" s="301"/>
      <c r="U1079" s="301"/>
      <c r="V1079" s="301"/>
      <c r="W1079" s="301"/>
      <c r="X1079" s="301"/>
      <c r="Y1079" s="301"/>
      <c r="Z1079" s="301"/>
    </row>
    <row r="1080" spans="1:26" ht="14">
      <c r="A1080" s="298" t="s">
        <v>1390</v>
      </c>
      <c r="B1080" s="298" t="s">
        <v>10104</v>
      </c>
      <c r="C1080" s="299">
        <v>117</v>
      </c>
      <c r="D1080" s="298"/>
      <c r="E1080" s="298"/>
      <c r="F1080" s="300">
        <v>3154328109</v>
      </c>
      <c r="G1080" s="298">
        <v>52396508</v>
      </c>
      <c r="H1080" s="298" t="s">
        <v>10105</v>
      </c>
      <c r="I1080" s="301"/>
      <c r="J1080" s="301"/>
      <c r="K1080" s="301"/>
      <c r="L1080" s="301"/>
      <c r="M1080" s="301"/>
      <c r="N1080" s="301"/>
      <c r="O1080" s="301"/>
      <c r="P1080" s="301"/>
      <c r="Q1080" s="301"/>
      <c r="R1080" s="301"/>
      <c r="S1080" s="301"/>
      <c r="T1080" s="301"/>
      <c r="U1080" s="301"/>
      <c r="V1080" s="301"/>
      <c r="W1080" s="301"/>
      <c r="X1080" s="301"/>
      <c r="Y1080" s="301"/>
      <c r="Z1080" s="301"/>
    </row>
    <row r="1081" spans="1:26" ht="16.5" customHeight="1">
      <c r="A1081" s="298" t="s">
        <v>1404</v>
      </c>
      <c r="B1081" s="298" t="s">
        <v>10106</v>
      </c>
      <c r="C1081" s="299">
        <v>802</v>
      </c>
      <c r="D1081" s="298" t="s">
        <v>10107</v>
      </c>
      <c r="E1081" s="298"/>
      <c r="F1081" s="300">
        <v>3208387935</v>
      </c>
      <c r="G1081" s="298">
        <v>53000514</v>
      </c>
      <c r="H1081" s="298" t="s">
        <v>10108</v>
      </c>
      <c r="I1081" s="301"/>
      <c r="J1081" s="301"/>
      <c r="K1081" s="301"/>
      <c r="L1081" s="301"/>
      <c r="M1081" s="301"/>
      <c r="N1081" s="301"/>
      <c r="O1081" s="301"/>
      <c r="P1081" s="301"/>
      <c r="Q1081" s="301"/>
      <c r="R1081" s="301"/>
      <c r="S1081" s="301"/>
      <c r="T1081" s="301"/>
      <c r="U1081" s="301"/>
      <c r="V1081" s="301"/>
      <c r="W1081" s="301"/>
      <c r="X1081" s="301"/>
      <c r="Y1081" s="301"/>
      <c r="Z1081" s="301"/>
    </row>
    <row r="1082" spans="1:26" ht="14">
      <c r="A1082" s="298" t="s">
        <v>1405</v>
      </c>
      <c r="B1082" s="298" t="s">
        <v>10109</v>
      </c>
      <c r="C1082" s="299">
        <v>604</v>
      </c>
      <c r="D1082" s="298"/>
      <c r="E1082" s="298"/>
      <c r="F1082" s="300">
        <v>3227147961</v>
      </c>
      <c r="G1082" s="298">
        <v>52403292</v>
      </c>
      <c r="H1082" s="298" t="s">
        <v>10110</v>
      </c>
      <c r="I1082" s="301"/>
      <c r="J1082" s="301"/>
      <c r="K1082" s="301"/>
      <c r="L1082" s="301"/>
      <c r="M1082" s="301"/>
      <c r="N1082" s="301"/>
      <c r="O1082" s="301"/>
      <c r="P1082" s="301"/>
      <c r="Q1082" s="301"/>
      <c r="R1082" s="301"/>
      <c r="S1082" s="301"/>
      <c r="T1082" s="301"/>
      <c r="U1082" s="301"/>
      <c r="V1082" s="301"/>
      <c r="W1082" s="301"/>
      <c r="X1082" s="301"/>
      <c r="Y1082" s="301"/>
      <c r="Z1082" s="301"/>
    </row>
    <row r="1083" spans="1:26" ht="14">
      <c r="A1083" s="298" t="s">
        <v>1414</v>
      </c>
      <c r="B1083" s="298" t="s">
        <v>10111</v>
      </c>
      <c r="C1083" s="299">
        <v>108</v>
      </c>
      <c r="D1083" s="344" t="s">
        <v>3120</v>
      </c>
      <c r="E1083" s="298"/>
      <c r="F1083" s="300">
        <v>3132610508</v>
      </c>
      <c r="G1083" s="298">
        <v>1022372492</v>
      </c>
      <c r="H1083" s="298" t="s">
        <v>10112</v>
      </c>
      <c r="I1083" s="301"/>
      <c r="J1083" s="301"/>
      <c r="K1083" s="301"/>
      <c r="L1083" s="301"/>
      <c r="M1083" s="301"/>
      <c r="N1083" s="301"/>
      <c r="O1083" s="301"/>
      <c r="P1083" s="301"/>
      <c r="Q1083" s="301"/>
      <c r="R1083" s="301"/>
      <c r="S1083" s="301"/>
      <c r="T1083" s="301"/>
      <c r="U1083" s="301"/>
      <c r="V1083" s="301"/>
      <c r="W1083" s="301"/>
      <c r="X1083" s="301"/>
      <c r="Y1083" s="301"/>
      <c r="Z1083" s="301"/>
    </row>
    <row r="1084" spans="1:26" ht="14">
      <c r="A1084" s="298" t="s">
        <v>10113</v>
      </c>
      <c r="B1084" s="298" t="s">
        <v>10114</v>
      </c>
      <c r="C1084" s="299">
        <v>401</v>
      </c>
      <c r="D1084" s="298"/>
      <c r="E1084" s="298"/>
      <c r="F1084" s="300">
        <v>3133473383</v>
      </c>
      <c r="G1084" s="298">
        <v>79982594</v>
      </c>
      <c r="H1084" s="298" t="s">
        <v>10115</v>
      </c>
      <c r="I1084" s="301"/>
      <c r="J1084" s="301"/>
      <c r="K1084" s="301"/>
      <c r="L1084" s="301"/>
      <c r="M1084" s="301"/>
      <c r="N1084" s="301"/>
      <c r="O1084" s="301"/>
      <c r="P1084" s="301"/>
      <c r="Q1084" s="301"/>
      <c r="R1084" s="301"/>
      <c r="S1084" s="301"/>
      <c r="T1084" s="301"/>
      <c r="U1084" s="301"/>
      <c r="V1084" s="301"/>
      <c r="W1084" s="301"/>
      <c r="X1084" s="301"/>
      <c r="Y1084" s="301"/>
      <c r="Z1084" s="301"/>
    </row>
    <row r="1085" spans="1:26" ht="14">
      <c r="A1085" s="298" t="s">
        <v>1407</v>
      </c>
      <c r="B1085" s="298" t="s">
        <v>10116</v>
      </c>
      <c r="C1085" s="299">
        <v>202</v>
      </c>
      <c r="D1085" s="298" t="s">
        <v>10117</v>
      </c>
      <c r="E1085" s="298"/>
      <c r="F1085" s="300">
        <v>3132072164</v>
      </c>
      <c r="G1085" s="298">
        <v>1020776815</v>
      </c>
      <c r="H1085" s="298" t="s">
        <v>10118</v>
      </c>
      <c r="I1085" s="301"/>
      <c r="J1085" s="301"/>
      <c r="K1085" s="301"/>
      <c r="L1085" s="301"/>
      <c r="M1085" s="301"/>
      <c r="N1085" s="301"/>
      <c r="O1085" s="301"/>
      <c r="P1085" s="301"/>
      <c r="Q1085" s="301"/>
      <c r="R1085" s="301"/>
      <c r="S1085" s="301"/>
      <c r="T1085" s="301"/>
      <c r="U1085" s="301"/>
      <c r="V1085" s="301"/>
      <c r="W1085" s="301"/>
      <c r="X1085" s="301"/>
      <c r="Y1085" s="301"/>
      <c r="Z1085" s="301"/>
    </row>
    <row r="1086" spans="1:26" ht="14">
      <c r="A1086" s="298" t="s">
        <v>1416</v>
      </c>
      <c r="B1086" s="298" t="s">
        <v>10119</v>
      </c>
      <c r="C1086" s="299">
        <v>406</v>
      </c>
      <c r="D1086" s="298"/>
      <c r="E1086" s="298"/>
      <c r="F1086" s="300">
        <v>3125315821</v>
      </c>
      <c r="G1086" s="298">
        <v>1020714551</v>
      </c>
      <c r="H1086" s="298" t="s">
        <v>10120</v>
      </c>
      <c r="I1086" s="301"/>
      <c r="J1086" s="301"/>
      <c r="K1086" s="301"/>
      <c r="L1086" s="301"/>
      <c r="M1086" s="301"/>
      <c r="N1086" s="301"/>
      <c r="O1086" s="301"/>
      <c r="P1086" s="301"/>
      <c r="Q1086" s="301"/>
      <c r="R1086" s="301"/>
      <c r="S1086" s="301"/>
      <c r="T1086" s="301"/>
      <c r="U1086" s="301"/>
      <c r="V1086" s="301"/>
      <c r="W1086" s="301"/>
      <c r="X1086" s="301"/>
      <c r="Y1086" s="301"/>
      <c r="Z1086" s="301"/>
    </row>
    <row r="1087" spans="1:26" ht="14">
      <c r="A1087" s="298" t="s">
        <v>1419</v>
      </c>
      <c r="B1087" s="298" t="s">
        <v>10121</v>
      </c>
      <c r="C1087" s="299">
        <v>718</v>
      </c>
      <c r="D1087" s="298" t="s">
        <v>10122</v>
      </c>
      <c r="E1087" s="298"/>
      <c r="F1087" s="300">
        <v>3106997966</v>
      </c>
      <c r="G1087" s="298">
        <v>1037641382</v>
      </c>
      <c r="H1087" s="298" t="s">
        <v>10123</v>
      </c>
      <c r="I1087" s="301"/>
      <c r="J1087" s="301"/>
      <c r="K1087" s="301"/>
      <c r="L1087" s="301"/>
      <c r="M1087" s="301"/>
      <c r="N1087" s="301"/>
      <c r="O1087" s="301"/>
      <c r="P1087" s="301"/>
      <c r="Q1087" s="301"/>
      <c r="R1087" s="301"/>
      <c r="S1087" s="301"/>
      <c r="T1087" s="301"/>
      <c r="U1087" s="301"/>
      <c r="V1087" s="301"/>
      <c r="W1087" s="301"/>
      <c r="X1087" s="301"/>
      <c r="Y1087" s="301"/>
      <c r="Z1087" s="301"/>
    </row>
    <row r="1088" spans="1:26" ht="14">
      <c r="A1088" s="298" t="s">
        <v>1422</v>
      </c>
      <c r="B1088" s="298" t="s">
        <v>10124</v>
      </c>
      <c r="C1088" s="299">
        <v>304</v>
      </c>
      <c r="D1088" s="298"/>
      <c r="E1088" s="298"/>
      <c r="F1088" s="300">
        <v>3212404658</v>
      </c>
      <c r="G1088" s="298">
        <v>1010184268</v>
      </c>
      <c r="H1088" s="298" t="s">
        <v>10125</v>
      </c>
      <c r="I1088" s="301"/>
      <c r="J1088" s="301"/>
      <c r="K1088" s="301"/>
      <c r="L1088" s="301"/>
      <c r="M1088" s="301"/>
      <c r="N1088" s="301"/>
      <c r="O1088" s="301"/>
      <c r="P1088" s="301"/>
      <c r="Q1088" s="301"/>
      <c r="R1088" s="301"/>
      <c r="S1088" s="301"/>
      <c r="T1088" s="301"/>
      <c r="U1088" s="301"/>
      <c r="V1088" s="301"/>
      <c r="W1088" s="301"/>
      <c r="X1088" s="301"/>
      <c r="Y1088" s="301"/>
      <c r="Z1088" s="301"/>
    </row>
    <row r="1089" spans="1:26" ht="14">
      <c r="A1089" s="298" t="s">
        <v>10126</v>
      </c>
      <c r="B1089" s="298" t="s">
        <v>10127</v>
      </c>
      <c r="C1089" s="299">
        <v>302</v>
      </c>
      <c r="D1089" s="298"/>
      <c r="E1089" s="298"/>
      <c r="F1089" s="300">
        <v>3506584747</v>
      </c>
      <c r="G1089" s="298">
        <v>637137</v>
      </c>
      <c r="H1089" s="298" t="s">
        <v>10128</v>
      </c>
      <c r="I1089" s="301"/>
      <c r="J1089" s="301"/>
      <c r="K1089" s="301"/>
      <c r="L1089" s="301"/>
      <c r="M1089" s="301"/>
      <c r="N1089" s="301"/>
      <c r="O1089" s="301"/>
      <c r="P1089" s="301"/>
      <c r="Q1089" s="301"/>
      <c r="R1089" s="301"/>
      <c r="S1089" s="301"/>
      <c r="T1089" s="301"/>
      <c r="U1089" s="301"/>
      <c r="V1089" s="301"/>
      <c r="W1089" s="301"/>
      <c r="X1089" s="301"/>
      <c r="Y1089" s="301"/>
      <c r="Z1089" s="301"/>
    </row>
    <row r="1090" spans="1:26" ht="14">
      <c r="A1090" s="298" t="s">
        <v>1433</v>
      </c>
      <c r="B1090" s="298" t="s">
        <v>10129</v>
      </c>
      <c r="C1090" s="299">
        <v>207</v>
      </c>
      <c r="D1090" s="298" t="s">
        <v>10130</v>
      </c>
      <c r="E1090" s="298"/>
      <c r="F1090" s="300">
        <v>3174018992</v>
      </c>
      <c r="G1090" s="298">
        <v>52086730</v>
      </c>
      <c r="H1090" s="298" t="s">
        <v>10131</v>
      </c>
      <c r="I1090" s="301"/>
      <c r="J1090" s="301"/>
      <c r="K1090" s="301"/>
      <c r="L1090" s="301"/>
      <c r="M1090" s="301"/>
      <c r="N1090" s="301"/>
      <c r="O1090" s="301"/>
      <c r="P1090" s="301"/>
      <c r="Q1090" s="301"/>
      <c r="R1090" s="301"/>
      <c r="S1090" s="301"/>
      <c r="T1090" s="301"/>
      <c r="U1090" s="301"/>
      <c r="V1090" s="301"/>
      <c r="W1090" s="301"/>
      <c r="X1090" s="301"/>
      <c r="Y1090" s="301"/>
      <c r="Z1090" s="301"/>
    </row>
    <row r="1091" spans="1:26" ht="14">
      <c r="A1091" s="298" t="s">
        <v>10132</v>
      </c>
      <c r="B1091" s="298" t="s">
        <v>10133</v>
      </c>
      <c r="C1091" s="299">
        <v>401</v>
      </c>
      <c r="D1091" s="298"/>
      <c r="E1091" s="298"/>
      <c r="F1091" s="300">
        <v>3205652448</v>
      </c>
      <c r="G1091" s="298">
        <v>39773167</v>
      </c>
      <c r="H1091" s="298" t="s">
        <v>10134</v>
      </c>
      <c r="I1091" s="301"/>
      <c r="J1091" s="301"/>
      <c r="K1091" s="301"/>
      <c r="L1091" s="301"/>
      <c r="M1091" s="301"/>
      <c r="N1091" s="301"/>
      <c r="O1091" s="301"/>
      <c r="P1091" s="301"/>
      <c r="Q1091" s="301"/>
      <c r="R1091" s="301"/>
      <c r="S1091" s="301"/>
      <c r="T1091" s="301"/>
      <c r="U1091" s="301"/>
      <c r="V1091" s="301"/>
      <c r="W1091" s="301"/>
      <c r="X1091" s="301"/>
      <c r="Y1091" s="301"/>
      <c r="Z1091" s="301"/>
    </row>
    <row r="1092" spans="1:26" ht="14">
      <c r="A1092" s="298" t="s">
        <v>1444</v>
      </c>
      <c r="B1092" s="298" t="s">
        <v>10135</v>
      </c>
      <c r="C1092" s="299" t="s">
        <v>10136</v>
      </c>
      <c r="D1092" s="298" t="s">
        <v>10137</v>
      </c>
      <c r="E1092" s="298"/>
      <c r="F1092" s="300">
        <v>3104235014</v>
      </c>
      <c r="G1092" s="298">
        <v>41935370</v>
      </c>
      <c r="H1092" s="298" t="s">
        <v>10138</v>
      </c>
      <c r="I1092" s="301"/>
      <c r="J1092" s="301"/>
      <c r="K1092" s="301"/>
      <c r="L1092" s="301"/>
      <c r="M1092" s="301"/>
      <c r="N1092" s="301"/>
      <c r="O1092" s="301"/>
      <c r="P1092" s="301"/>
      <c r="Q1092" s="301"/>
      <c r="R1092" s="301"/>
      <c r="S1092" s="301"/>
      <c r="T1092" s="301"/>
      <c r="U1092" s="301"/>
      <c r="V1092" s="301"/>
      <c r="W1092" s="301"/>
      <c r="X1092" s="301"/>
      <c r="Y1092" s="301"/>
      <c r="Z1092" s="301"/>
    </row>
    <row r="1093" spans="1:26" ht="14">
      <c r="A1093" s="298" t="s">
        <v>1446</v>
      </c>
      <c r="B1093" s="298" t="s">
        <v>10139</v>
      </c>
      <c r="C1093" s="299">
        <v>808</v>
      </c>
      <c r="D1093" s="298"/>
      <c r="E1093" s="298"/>
      <c r="F1093" s="300">
        <v>3124549693</v>
      </c>
      <c r="G1093" s="298">
        <v>52697626</v>
      </c>
      <c r="H1093" s="298" t="s">
        <v>10140</v>
      </c>
      <c r="I1093" s="301"/>
      <c r="J1093" s="301"/>
      <c r="K1093" s="301"/>
      <c r="L1093" s="301"/>
      <c r="M1093" s="301"/>
      <c r="N1093" s="301"/>
      <c r="O1093" s="301"/>
      <c r="P1093" s="301"/>
      <c r="Q1093" s="301"/>
      <c r="R1093" s="301"/>
      <c r="S1093" s="301"/>
      <c r="T1093" s="301"/>
      <c r="U1093" s="301"/>
      <c r="V1093" s="301"/>
      <c r="W1093" s="301"/>
      <c r="X1093" s="301"/>
      <c r="Y1093" s="301"/>
      <c r="Z1093" s="301"/>
    </row>
    <row r="1094" spans="1:26" ht="14">
      <c r="A1094" s="298" t="s">
        <v>1739</v>
      </c>
      <c r="B1094" s="298" t="s">
        <v>10141</v>
      </c>
      <c r="C1094" s="299">
        <v>1319</v>
      </c>
      <c r="D1094" s="298" t="s">
        <v>10142</v>
      </c>
      <c r="E1094" s="298"/>
      <c r="F1094" s="300">
        <v>3144423274</v>
      </c>
      <c r="G1094" s="298">
        <v>51937203</v>
      </c>
      <c r="H1094" s="298" t="s">
        <v>10143</v>
      </c>
      <c r="I1094" s="301"/>
      <c r="J1094" s="301"/>
      <c r="K1094" s="301"/>
      <c r="L1094" s="301"/>
      <c r="M1094" s="301"/>
      <c r="N1094" s="301"/>
      <c r="O1094" s="301"/>
      <c r="P1094" s="301"/>
      <c r="Q1094" s="301"/>
      <c r="R1094" s="301"/>
      <c r="S1094" s="301"/>
      <c r="T1094" s="301"/>
      <c r="U1094" s="301"/>
      <c r="V1094" s="301"/>
      <c r="W1094" s="301"/>
      <c r="X1094" s="301"/>
      <c r="Y1094" s="301"/>
      <c r="Z1094" s="301"/>
    </row>
    <row r="1095" spans="1:26" ht="14">
      <c r="A1095" s="298" t="s">
        <v>1451</v>
      </c>
      <c r="B1095" s="298" t="s">
        <v>10144</v>
      </c>
      <c r="C1095" s="299" t="s">
        <v>10145</v>
      </c>
      <c r="D1095" s="298"/>
      <c r="E1095" s="298"/>
      <c r="F1095" s="300">
        <v>3118307139</v>
      </c>
      <c r="G1095" s="298">
        <v>1020767776</v>
      </c>
      <c r="H1095" s="298" t="s">
        <v>10146</v>
      </c>
      <c r="I1095" s="301"/>
      <c r="J1095" s="301"/>
      <c r="K1095" s="301"/>
      <c r="L1095" s="301"/>
      <c r="M1095" s="301"/>
      <c r="N1095" s="301"/>
      <c r="O1095" s="301"/>
      <c r="P1095" s="301"/>
      <c r="Q1095" s="301"/>
      <c r="R1095" s="301"/>
      <c r="S1095" s="301"/>
      <c r="T1095" s="301"/>
      <c r="U1095" s="301"/>
      <c r="V1095" s="301"/>
      <c r="W1095" s="301"/>
      <c r="X1095" s="301"/>
      <c r="Y1095" s="301"/>
      <c r="Z1095" s="301"/>
    </row>
    <row r="1096" spans="1:26" ht="14">
      <c r="A1096" s="298" t="s">
        <v>10147</v>
      </c>
      <c r="B1096" s="298" t="s">
        <v>10148</v>
      </c>
      <c r="C1096" s="299">
        <v>711</v>
      </c>
      <c r="D1096" s="298" t="s">
        <v>10149</v>
      </c>
      <c r="E1096" s="298"/>
      <c r="F1096" s="300">
        <v>3118201016</v>
      </c>
      <c r="G1096" s="298">
        <v>1034305377</v>
      </c>
      <c r="H1096" s="298" t="s">
        <v>10150</v>
      </c>
      <c r="I1096" s="301"/>
      <c r="J1096" s="301"/>
      <c r="K1096" s="301"/>
      <c r="L1096" s="301"/>
      <c r="M1096" s="301"/>
      <c r="N1096" s="301"/>
      <c r="O1096" s="301"/>
      <c r="P1096" s="301"/>
      <c r="Q1096" s="301"/>
      <c r="R1096" s="301"/>
      <c r="S1096" s="301"/>
      <c r="T1096" s="301"/>
      <c r="U1096" s="301"/>
      <c r="V1096" s="301"/>
      <c r="W1096" s="301"/>
      <c r="X1096" s="301"/>
      <c r="Y1096" s="301"/>
      <c r="Z1096" s="301"/>
    </row>
    <row r="1097" spans="1:26" ht="14">
      <c r="A1097" s="298" t="s">
        <v>10151</v>
      </c>
      <c r="B1097" s="298" t="s">
        <v>10152</v>
      </c>
      <c r="C1097" s="299">
        <v>401</v>
      </c>
      <c r="D1097" s="298"/>
      <c r="E1097" s="298"/>
      <c r="F1097" s="300">
        <v>3203483181</v>
      </c>
      <c r="G1097" s="298">
        <v>79723240</v>
      </c>
      <c r="H1097" s="298" t="s">
        <v>10153</v>
      </c>
      <c r="I1097" s="301"/>
      <c r="J1097" s="301"/>
      <c r="K1097" s="301"/>
      <c r="L1097" s="301"/>
      <c r="M1097" s="301"/>
      <c r="N1097" s="301"/>
      <c r="O1097" s="301"/>
      <c r="P1097" s="301"/>
      <c r="Q1097" s="301"/>
      <c r="R1097" s="301"/>
      <c r="S1097" s="301"/>
      <c r="T1097" s="301"/>
      <c r="U1097" s="301"/>
      <c r="V1097" s="301"/>
      <c r="W1097" s="301"/>
      <c r="X1097" s="301"/>
      <c r="Y1097" s="301"/>
      <c r="Z1097" s="301"/>
    </row>
    <row r="1098" spans="1:26" ht="14">
      <c r="A1098" s="298" t="s">
        <v>1459</v>
      </c>
      <c r="B1098" s="298" t="s">
        <v>10154</v>
      </c>
      <c r="C1098" s="299">
        <v>157</v>
      </c>
      <c r="D1098" s="298" t="s">
        <v>10155</v>
      </c>
      <c r="E1098" s="298" t="s">
        <v>10156</v>
      </c>
      <c r="F1098" s="300">
        <v>3204264388</v>
      </c>
      <c r="G1098" s="298">
        <v>1052393661</v>
      </c>
      <c r="H1098" s="298" t="s">
        <v>9366</v>
      </c>
      <c r="I1098" s="301"/>
      <c r="J1098" s="301"/>
      <c r="K1098" s="301"/>
      <c r="L1098" s="301"/>
      <c r="M1098" s="301"/>
      <c r="N1098" s="301"/>
      <c r="O1098" s="301"/>
      <c r="P1098" s="301"/>
      <c r="Q1098" s="301"/>
      <c r="R1098" s="301"/>
      <c r="S1098" s="301"/>
      <c r="T1098" s="301"/>
      <c r="U1098" s="301"/>
      <c r="V1098" s="301"/>
      <c r="W1098" s="301"/>
      <c r="X1098" s="301"/>
      <c r="Y1098" s="301"/>
      <c r="Z1098" s="301"/>
    </row>
    <row r="1099" spans="1:26" ht="14">
      <c r="A1099" s="298" t="s">
        <v>1461</v>
      </c>
      <c r="B1099" s="298" t="s">
        <v>10157</v>
      </c>
      <c r="C1099" s="299">
        <v>30608</v>
      </c>
      <c r="D1099" s="298"/>
      <c r="E1099" s="298"/>
      <c r="F1099" s="300">
        <v>3158541790</v>
      </c>
      <c r="G1099" s="298">
        <v>1105369710</v>
      </c>
      <c r="H1099" s="298" t="s">
        <v>10158</v>
      </c>
      <c r="I1099" s="301"/>
      <c r="J1099" s="301"/>
      <c r="K1099" s="301"/>
      <c r="L1099" s="301"/>
      <c r="M1099" s="301"/>
      <c r="N1099" s="301"/>
      <c r="O1099" s="301"/>
      <c r="P1099" s="301"/>
      <c r="Q1099" s="301"/>
      <c r="R1099" s="301"/>
      <c r="S1099" s="301"/>
      <c r="T1099" s="301"/>
      <c r="U1099" s="301"/>
      <c r="V1099" s="301"/>
      <c r="W1099" s="301"/>
      <c r="X1099" s="301"/>
      <c r="Y1099" s="301"/>
      <c r="Z1099" s="301"/>
    </row>
    <row r="1100" spans="1:26" ht="14">
      <c r="A1100" s="298" t="s">
        <v>10159</v>
      </c>
      <c r="B1100" s="298" t="s">
        <v>10160</v>
      </c>
      <c r="C1100" s="299">
        <v>401</v>
      </c>
      <c r="D1100" s="298"/>
      <c r="E1100" s="298"/>
      <c r="F1100" s="300">
        <v>3185780927</v>
      </c>
      <c r="G1100" s="298">
        <v>1032479601</v>
      </c>
      <c r="H1100" s="298" t="s">
        <v>10161</v>
      </c>
      <c r="I1100" s="301"/>
      <c r="J1100" s="301"/>
      <c r="K1100" s="301"/>
      <c r="L1100" s="301"/>
      <c r="M1100" s="301"/>
      <c r="N1100" s="301"/>
      <c r="O1100" s="301"/>
      <c r="P1100" s="301"/>
      <c r="Q1100" s="301"/>
      <c r="R1100" s="301"/>
      <c r="S1100" s="301"/>
      <c r="T1100" s="301"/>
      <c r="U1100" s="301"/>
      <c r="V1100" s="301"/>
      <c r="W1100" s="301"/>
      <c r="X1100" s="301"/>
      <c r="Y1100" s="301"/>
      <c r="Z1100" s="301"/>
    </row>
    <row r="1101" spans="1:26" ht="14">
      <c r="A1101" s="298" t="s">
        <v>1478</v>
      </c>
      <c r="B1101" s="298" t="s">
        <v>10162</v>
      </c>
      <c r="C1101" s="299">
        <v>304</v>
      </c>
      <c r="D1101" s="298"/>
      <c r="E1101" s="298"/>
      <c r="F1101" s="300">
        <v>3102362692</v>
      </c>
      <c r="G1101" s="298"/>
      <c r="H1101" s="298" t="s">
        <v>10163</v>
      </c>
      <c r="I1101" s="301"/>
      <c r="J1101" s="301"/>
      <c r="K1101" s="301"/>
      <c r="L1101" s="301"/>
      <c r="M1101" s="301"/>
      <c r="N1101" s="301"/>
      <c r="O1101" s="301"/>
      <c r="P1101" s="301"/>
      <c r="Q1101" s="301"/>
      <c r="R1101" s="301"/>
      <c r="S1101" s="301"/>
      <c r="T1101" s="301"/>
      <c r="U1101" s="301"/>
      <c r="V1101" s="301"/>
      <c r="W1101" s="301"/>
      <c r="X1101" s="301"/>
      <c r="Y1101" s="301"/>
      <c r="Z1101" s="301"/>
    </row>
    <row r="1102" spans="1:26" ht="14">
      <c r="A1102" s="298" t="s">
        <v>1480</v>
      </c>
      <c r="B1102" s="298" t="s">
        <v>10164</v>
      </c>
      <c r="C1102" s="299">
        <v>303</v>
      </c>
      <c r="D1102" s="298" t="s">
        <v>10165</v>
      </c>
      <c r="E1102" s="298"/>
      <c r="F1102" s="300">
        <v>3214765623</v>
      </c>
      <c r="G1102" s="298">
        <v>80874191</v>
      </c>
      <c r="H1102" s="298" t="s">
        <v>10166</v>
      </c>
      <c r="I1102" s="301"/>
      <c r="J1102" s="301"/>
      <c r="K1102" s="301"/>
      <c r="L1102" s="301"/>
      <c r="M1102" s="301"/>
      <c r="N1102" s="301"/>
      <c r="O1102" s="301"/>
      <c r="P1102" s="301"/>
      <c r="Q1102" s="301"/>
      <c r="R1102" s="301"/>
      <c r="S1102" s="301"/>
      <c r="T1102" s="301"/>
      <c r="U1102" s="301"/>
      <c r="V1102" s="301"/>
      <c r="W1102" s="301"/>
      <c r="X1102" s="301"/>
      <c r="Y1102" s="301"/>
      <c r="Z1102" s="301"/>
    </row>
    <row r="1103" spans="1:26" ht="14">
      <c r="A1103" s="298" t="s">
        <v>1186</v>
      </c>
      <c r="B1103" s="298" t="s">
        <v>10167</v>
      </c>
      <c r="C1103" s="299">
        <v>410</v>
      </c>
      <c r="D1103" s="298" t="s">
        <v>9970</v>
      </c>
      <c r="E1103" s="298"/>
      <c r="F1103" s="300">
        <v>3002194052</v>
      </c>
      <c r="G1103" s="298">
        <v>65761469</v>
      </c>
      <c r="H1103" s="298" t="s">
        <v>9971</v>
      </c>
      <c r="I1103" s="301"/>
      <c r="J1103" s="301"/>
      <c r="K1103" s="301"/>
      <c r="L1103" s="301"/>
      <c r="M1103" s="301"/>
      <c r="N1103" s="301"/>
      <c r="O1103" s="301"/>
      <c r="P1103" s="301"/>
      <c r="Q1103" s="301"/>
      <c r="R1103" s="301"/>
      <c r="S1103" s="301"/>
      <c r="T1103" s="301"/>
      <c r="U1103" s="301"/>
      <c r="V1103" s="301"/>
      <c r="W1103" s="301"/>
      <c r="X1103" s="301"/>
      <c r="Y1103" s="301"/>
      <c r="Z1103" s="301"/>
    </row>
    <row r="1104" spans="1:26" ht="14">
      <c r="A1104" s="298" t="s">
        <v>1483</v>
      </c>
      <c r="B1104" s="298" t="s">
        <v>10168</v>
      </c>
      <c r="C1104" s="299">
        <v>406</v>
      </c>
      <c r="D1104" s="298"/>
      <c r="E1104" s="298"/>
      <c r="F1104" s="300">
        <v>3134428908</v>
      </c>
      <c r="G1104" s="298">
        <v>79942067</v>
      </c>
      <c r="H1104" s="298" t="s">
        <v>10169</v>
      </c>
      <c r="I1104" s="301"/>
      <c r="J1104" s="301"/>
      <c r="K1104" s="301"/>
      <c r="L1104" s="301"/>
      <c r="M1104" s="301"/>
      <c r="N1104" s="301"/>
      <c r="O1104" s="301"/>
      <c r="P1104" s="301"/>
      <c r="Q1104" s="301"/>
      <c r="R1104" s="301"/>
      <c r="S1104" s="301"/>
      <c r="T1104" s="301"/>
      <c r="U1104" s="301"/>
      <c r="V1104" s="301"/>
      <c r="W1104" s="301"/>
      <c r="X1104" s="301"/>
      <c r="Y1104" s="301"/>
      <c r="Z1104" s="301"/>
    </row>
    <row r="1105" spans="1:26" ht="14">
      <c r="A1105" s="298" t="s">
        <v>1490</v>
      </c>
      <c r="B1105" s="298" t="s">
        <v>10170</v>
      </c>
      <c r="C1105" s="299">
        <v>402</v>
      </c>
      <c r="D1105" s="298"/>
      <c r="E1105" s="298"/>
      <c r="F1105" s="300">
        <v>3507002435</v>
      </c>
      <c r="G1105" s="298">
        <v>1018463588</v>
      </c>
      <c r="H1105" s="298" t="s">
        <v>10171</v>
      </c>
      <c r="I1105" s="301"/>
      <c r="J1105" s="301"/>
      <c r="K1105" s="301"/>
      <c r="L1105" s="301"/>
      <c r="M1105" s="301"/>
      <c r="N1105" s="301"/>
      <c r="O1105" s="301"/>
      <c r="P1105" s="301"/>
      <c r="Q1105" s="301"/>
      <c r="R1105" s="301"/>
      <c r="S1105" s="301"/>
      <c r="T1105" s="301"/>
      <c r="U1105" s="301"/>
      <c r="V1105" s="301"/>
      <c r="W1105" s="301"/>
      <c r="X1105" s="301"/>
      <c r="Y1105" s="301"/>
      <c r="Z1105" s="301"/>
    </row>
    <row r="1106" spans="1:26" ht="14">
      <c r="A1106" s="298" t="s">
        <v>1478</v>
      </c>
      <c r="B1106" s="298" t="s">
        <v>10162</v>
      </c>
      <c r="C1106" s="299">
        <v>304</v>
      </c>
      <c r="D1106" s="298"/>
      <c r="E1106" s="298"/>
      <c r="F1106" s="300">
        <v>3102362692</v>
      </c>
      <c r="G1106" s="298"/>
      <c r="H1106" s="298" t="s">
        <v>10163</v>
      </c>
      <c r="I1106" s="301"/>
      <c r="J1106" s="301"/>
      <c r="K1106" s="301"/>
      <c r="L1106" s="301"/>
      <c r="M1106" s="301"/>
      <c r="N1106" s="301"/>
      <c r="O1106" s="301"/>
      <c r="P1106" s="301"/>
      <c r="Q1106" s="301"/>
      <c r="R1106" s="301"/>
      <c r="S1106" s="301"/>
      <c r="T1106" s="301"/>
      <c r="U1106" s="301"/>
      <c r="V1106" s="301"/>
      <c r="W1106" s="301"/>
      <c r="X1106" s="301"/>
      <c r="Y1106" s="301"/>
      <c r="Z1106" s="301"/>
    </row>
    <row r="1107" spans="1:26" ht="14">
      <c r="A1107" s="298" t="s">
        <v>1480</v>
      </c>
      <c r="B1107" s="298" t="s">
        <v>10164</v>
      </c>
      <c r="C1107" s="299">
        <v>303</v>
      </c>
      <c r="D1107" s="298" t="s">
        <v>10165</v>
      </c>
      <c r="E1107" s="298"/>
      <c r="F1107" s="300">
        <v>3214765623</v>
      </c>
      <c r="G1107" s="298">
        <v>80874191</v>
      </c>
      <c r="H1107" s="298" t="s">
        <v>10166</v>
      </c>
      <c r="I1107" s="301"/>
      <c r="J1107" s="301"/>
      <c r="K1107" s="301"/>
      <c r="L1107" s="301"/>
      <c r="M1107" s="301"/>
      <c r="N1107" s="301"/>
      <c r="O1107" s="301"/>
      <c r="P1107" s="301"/>
      <c r="Q1107" s="301"/>
      <c r="R1107" s="301"/>
      <c r="S1107" s="301"/>
      <c r="T1107" s="301"/>
      <c r="U1107" s="301"/>
      <c r="V1107" s="301"/>
      <c r="W1107" s="301"/>
      <c r="X1107" s="301"/>
      <c r="Y1107" s="301"/>
      <c r="Z1107" s="301"/>
    </row>
    <row r="1108" spans="1:26" ht="14">
      <c r="A1108" s="298" t="s">
        <v>1496</v>
      </c>
      <c r="B1108" s="298" t="s">
        <v>10172</v>
      </c>
      <c r="C1108" s="299">
        <v>1201</v>
      </c>
      <c r="D1108" s="298"/>
      <c r="E1108" s="298"/>
      <c r="F1108" s="300">
        <v>3203473086</v>
      </c>
      <c r="G1108" s="298">
        <v>1020768175</v>
      </c>
      <c r="H1108" s="298" t="s">
        <v>10173</v>
      </c>
      <c r="I1108" s="301"/>
      <c r="J1108" s="301"/>
      <c r="K1108" s="301"/>
      <c r="L1108" s="301"/>
      <c r="M1108" s="301"/>
      <c r="N1108" s="301"/>
      <c r="O1108" s="301"/>
      <c r="P1108" s="301"/>
      <c r="Q1108" s="301"/>
      <c r="R1108" s="301"/>
      <c r="S1108" s="301"/>
      <c r="T1108" s="301"/>
      <c r="U1108" s="301"/>
      <c r="V1108" s="301"/>
      <c r="W1108" s="301"/>
      <c r="X1108" s="301"/>
      <c r="Y1108" s="301"/>
      <c r="Z1108" s="301"/>
    </row>
    <row r="1109" spans="1:26" ht="14">
      <c r="A1109" s="298" t="s">
        <v>1506</v>
      </c>
      <c r="B1109" s="298" t="s">
        <v>10174</v>
      </c>
      <c r="C1109" s="299">
        <v>507</v>
      </c>
      <c r="D1109" s="298"/>
      <c r="E1109" s="298"/>
      <c r="F1109" s="300">
        <v>3153848176</v>
      </c>
      <c r="G1109" s="298">
        <v>32822137</v>
      </c>
      <c r="H1109" s="298" t="s">
        <v>10175</v>
      </c>
      <c r="I1109" s="301"/>
      <c r="J1109" s="301"/>
      <c r="K1109" s="301"/>
      <c r="L1109" s="301"/>
      <c r="M1109" s="301"/>
      <c r="N1109" s="301"/>
      <c r="O1109" s="301"/>
      <c r="P1109" s="301"/>
      <c r="Q1109" s="301"/>
      <c r="R1109" s="301"/>
      <c r="S1109" s="301"/>
      <c r="T1109" s="301"/>
      <c r="U1109" s="301"/>
      <c r="V1109" s="301"/>
      <c r="W1109" s="301"/>
      <c r="X1109" s="301"/>
      <c r="Y1109" s="301"/>
      <c r="Z1109" s="301"/>
    </row>
    <row r="1110" spans="1:26" ht="14">
      <c r="A1110" s="298" t="s">
        <v>1509</v>
      </c>
      <c r="B1110" s="298" t="s">
        <v>10176</v>
      </c>
      <c r="C1110" s="299"/>
      <c r="D1110" s="298"/>
      <c r="E1110" s="298"/>
      <c r="F1110" s="300">
        <v>3163385446</v>
      </c>
      <c r="G1110" s="298">
        <v>1019013120</v>
      </c>
      <c r="H1110" s="298" t="s">
        <v>10177</v>
      </c>
      <c r="I1110" s="301"/>
      <c r="J1110" s="301"/>
      <c r="K1110" s="301"/>
      <c r="L1110" s="301"/>
      <c r="M1110" s="301"/>
      <c r="N1110" s="301"/>
      <c r="O1110" s="301"/>
      <c r="P1110" s="301"/>
      <c r="Q1110" s="301"/>
      <c r="R1110" s="301"/>
      <c r="S1110" s="301"/>
      <c r="T1110" s="301"/>
      <c r="U1110" s="301"/>
      <c r="V1110" s="301"/>
      <c r="W1110" s="301"/>
      <c r="X1110" s="301"/>
      <c r="Y1110" s="301"/>
      <c r="Z1110" s="301"/>
    </row>
    <row r="1111" spans="1:26" ht="14">
      <c r="A1111" s="298" t="s">
        <v>1511</v>
      </c>
      <c r="B1111" s="298" t="s">
        <v>10178</v>
      </c>
      <c r="C1111" s="299"/>
      <c r="D1111" s="298" t="s">
        <v>10179</v>
      </c>
      <c r="E1111" s="298" t="s">
        <v>10180</v>
      </c>
      <c r="F1111" s="300">
        <v>3057037704</v>
      </c>
      <c r="G1111" s="298">
        <v>1014190053</v>
      </c>
      <c r="H1111" s="298" t="s">
        <v>10181</v>
      </c>
      <c r="I1111" s="301"/>
      <c r="J1111" s="301"/>
      <c r="K1111" s="301"/>
      <c r="L1111" s="301"/>
      <c r="M1111" s="301"/>
      <c r="N1111" s="301"/>
      <c r="O1111" s="301"/>
      <c r="P1111" s="301"/>
      <c r="Q1111" s="301"/>
      <c r="R1111" s="301"/>
      <c r="S1111" s="301"/>
      <c r="T1111" s="301"/>
      <c r="U1111" s="301"/>
      <c r="V1111" s="301"/>
      <c r="W1111" s="301"/>
      <c r="X1111" s="301"/>
      <c r="Y1111" s="301"/>
      <c r="Z1111" s="301"/>
    </row>
    <row r="1112" spans="1:26" ht="14">
      <c r="A1112" s="298" t="s">
        <v>1513</v>
      </c>
      <c r="B1112" s="298" t="s">
        <v>10182</v>
      </c>
      <c r="C1112" s="299">
        <v>208</v>
      </c>
      <c r="D1112" s="298"/>
      <c r="E1112" s="298"/>
      <c r="F1112" s="300">
        <v>3213284332</v>
      </c>
      <c r="G1112" s="298">
        <v>1020767870</v>
      </c>
      <c r="H1112" s="298" t="s">
        <v>10183</v>
      </c>
      <c r="I1112" s="301"/>
      <c r="J1112" s="301"/>
      <c r="K1112" s="301"/>
      <c r="L1112" s="301"/>
      <c r="M1112" s="301"/>
      <c r="N1112" s="301"/>
      <c r="O1112" s="301"/>
      <c r="P1112" s="301"/>
      <c r="Q1112" s="301"/>
      <c r="R1112" s="301"/>
      <c r="S1112" s="301"/>
      <c r="T1112" s="301"/>
      <c r="U1112" s="301"/>
      <c r="V1112" s="301"/>
      <c r="W1112" s="301"/>
      <c r="X1112" s="301"/>
      <c r="Y1112" s="301"/>
      <c r="Z1112" s="301"/>
    </row>
    <row r="1113" spans="1:26" ht="14">
      <c r="A1113" s="298" t="s">
        <v>1516</v>
      </c>
      <c r="B1113" s="298" t="s">
        <v>10184</v>
      </c>
      <c r="C1113" s="299">
        <v>501</v>
      </c>
      <c r="D1113" s="298"/>
      <c r="E1113" s="298"/>
      <c r="F1113" s="300">
        <v>3103903881</v>
      </c>
      <c r="G1113" s="298">
        <v>1010201747</v>
      </c>
      <c r="H1113" s="298" t="s">
        <v>10185</v>
      </c>
      <c r="I1113" s="301"/>
      <c r="J1113" s="301"/>
      <c r="K1113" s="301"/>
      <c r="L1113" s="301"/>
      <c r="M1113" s="301"/>
      <c r="N1113" s="301"/>
      <c r="O1113" s="301"/>
      <c r="P1113" s="301"/>
      <c r="Q1113" s="301"/>
      <c r="R1113" s="301"/>
      <c r="S1113" s="301"/>
      <c r="T1113" s="301"/>
      <c r="U1113" s="301"/>
      <c r="V1113" s="301"/>
      <c r="W1113" s="301"/>
      <c r="X1113" s="301"/>
      <c r="Y1113" s="301"/>
      <c r="Z1113" s="301"/>
    </row>
    <row r="1114" spans="1:26" ht="14">
      <c r="A1114" s="298" t="s">
        <v>1520</v>
      </c>
      <c r="B1114" s="298" t="s">
        <v>10186</v>
      </c>
      <c r="C1114" s="299" t="s">
        <v>3822</v>
      </c>
      <c r="D1114" s="298"/>
      <c r="E1114" s="298"/>
      <c r="F1114" s="300">
        <v>3046653515</v>
      </c>
      <c r="G1114" s="298">
        <v>1057601568</v>
      </c>
      <c r="H1114" s="298" t="s">
        <v>10187</v>
      </c>
      <c r="I1114" s="301"/>
      <c r="J1114" s="301"/>
      <c r="K1114" s="301"/>
      <c r="L1114" s="301"/>
      <c r="M1114" s="301"/>
      <c r="N1114" s="301"/>
      <c r="O1114" s="301"/>
      <c r="P1114" s="301"/>
      <c r="Q1114" s="301"/>
      <c r="R1114" s="301"/>
      <c r="S1114" s="301"/>
      <c r="T1114" s="301"/>
      <c r="U1114" s="301"/>
      <c r="V1114" s="301"/>
      <c r="W1114" s="301"/>
      <c r="X1114" s="301"/>
      <c r="Y1114" s="301"/>
      <c r="Z1114" s="301"/>
    </row>
    <row r="1115" spans="1:26" ht="14">
      <c r="A1115" s="298" t="s">
        <v>1522</v>
      </c>
      <c r="B1115" s="298" t="s">
        <v>10188</v>
      </c>
      <c r="C1115" s="299">
        <v>607</v>
      </c>
      <c r="D1115" s="298" t="s">
        <v>10189</v>
      </c>
      <c r="E1115" s="298"/>
      <c r="F1115" s="300">
        <v>3003336908</v>
      </c>
      <c r="G1115" s="298">
        <v>1015429127</v>
      </c>
      <c r="H1115" s="298" t="s">
        <v>10190</v>
      </c>
      <c r="I1115" s="301"/>
      <c r="J1115" s="301"/>
      <c r="K1115" s="301"/>
      <c r="L1115" s="301"/>
      <c r="M1115" s="301"/>
      <c r="N1115" s="301"/>
      <c r="O1115" s="301"/>
      <c r="P1115" s="301"/>
      <c r="Q1115" s="301"/>
      <c r="R1115" s="301"/>
      <c r="S1115" s="301"/>
      <c r="T1115" s="301"/>
      <c r="U1115" s="301"/>
      <c r="V1115" s="301"/>
      <c r="W1115" s="301"/>
      <c r="X1115" s="301"/>
      <c r="Y1115" s="301"/>
      <c r="Z1115" s="301"/>
    </row>
    <row r="1116" spans="1:26" ht="14">
      <c r="A1116" s="298" t="s">
        <v>1524</v>
      </c>
      <c r="B1116" s="298" t="s">
        <v>10191</v>
      </c>
      <c r="C1116" s="299" t="s">
        <v>10192</v>
      </c>
      <c r="D1116" s="298" t="s">
        <v>10193</v>
      </c>
      <c r="E1116" s="298"/>
      <c r="F1116" s="300">
        <v>3004862367</v>
      </c>
      <c r="G1116" s="298">
        <v>1095795641</v>
      </c>
      <c r="H1116" s="298" t="s">
        <v>10194</v>
      </c>
      <c r="I1116" s="301"/>
      <c r="J1116" s="301"/>
      <c r="K1116" s="301"/>
      <c r="L1116" s="301"/>
      <c r="M1116" s="301"/>
      <c r="N1116" s="301"/>
      <c r="O1116" s="301"/>
      <c r="P1116" s="301"/>
      <c r="Q1116" s="301"/>
      <c r="R1116" s="301"/>
      <c r="S1116" s="301"/>
      <c r="T1116" s="301"/>
      <c r="U1116" s="301"/>
      <c r="V1116" s="301"/>
      <c r="W1116" s="301"/>
      <c r="X1116" s="301"/>
      <c r="Y1116" s="301"/>
      <c r="Z1116" s="301"/>
    </row>
    <row r="1117" spans="1:26" ht="14">
      <c r="A1117" s="298" t="s">
        <v>1528</v>
      </c>
      <c r="B1117" s="298" t="s">
        <v>10195</v>
      </c>
      <c r="C1117" s="299">
        <v>202</v>
      </c>
      <c r="D1117" s="298"/>
      <c r="E1117" s="298"/>
      <c r="F1117" s="300">
        <v>3144034392</v>
      </c>
      <c r="G1117" s="298">
        <v>1010118754</v>
      </c>
      <c r="H1117" s="298" t="s">
        <v>10196</v>
      </c>
      <c r="I1117" s="301"/>
      <c r="J1117" s="301"/>
      <c r="K1117" s="301"/>
      <c r="L1117" s="301"/>
      <c r="M1117" s="301"/>
      <c r="N1117" s="301"/>
      <c r="O1117" s="301"/>
      <c r="P1117" s="301"/>
      <c r="Q1117" s="301"/>
      <c r="R1117" s="301"/>
      <c r="S1117" s="301"/>
      <c r="T1117" s="301"/>
      <c r="U1117" s="301"/>
      <c r="V1117" s="301"/>
      <c r="W1117" s="301"/>
      <c r="X1117" s="301"/>
      <c r="Y1117" s="301"/>
      <c r="Z1117" s="301"/>
    </row>
    <row r="1118" spans="1:26" ht="14">
      <c r="A1118" s="298" t="s">
        <v>1530</v>
      </c>
      <c r="B1118" s="298" t="s">
        <v>10197</v>
      </c>
      <c r="C1118" s="299">
        <v>602</v>
      </c>
      <c r="D1118" s="298"/>
      <c r="E1118" s="298"/>
      <c r="F1118" s="300">
        <v>3183933413</v>
      </c>
      <c r="G1118" s="298">
        <v>1072663281</v>
      </c>
      <c r="H1118" s="298" t="s">
        <v>10198</v>
      </c>
      <c r="I1118" s="301"/>
      <c r="J1118" s="301"/>
      <c r="K1118" s="301"/>
      <c r="L1118" s="301"/>
      <c r="M1118" s="301"/>
      <c r="N1118" s="301"/>
      <c r="O1118" s="301"/>
      <c r="P1118" s="301"/>
      <c r="Q1118" s="301"/>
      <c r="R1118" s="301"/>
      <c r="S1118" s="301"/>
      <c r="T1118" s="301"/>
      <c r="U1118" s="301"/>
      <c r="V1118" s="301"/>
      <c r="W1118" s="301"/>
      <c r="X1118" s="301"/>
      <c r="Y1118" s="301"/>
      <c r="Z1118" s="301"/>
    </row>
    <row r="1119" spans="1:26" ht="14">
      <c r="A1119" s="303" t="s">
        <v>1532</v>
      </c>
      <c r="B1119" s="298" t="s">
        <v>10199</v>
      </c>
      <c r="C1119" s="299">
        <v>302</v>
      </c>
      <c r="D1119" s="298"/>
      <c r="E1119" s="298"/>
      <c r="F1119" s="300">
        <v>3123780903</v>
      </c>
      <c r="G1119" s="298">
        <v>52534921</v>
      </c>
      <c r="H1119" s="298" t="s">
        <v>10200</v>
      </c>
      <c r="I1119" s="301"/>
      <c r="J1119" s="301"/>
      <c r="K1119" s="301"/>
      <c r="L1119" s="301"/>
      <c r="M1119" s="301"/>
      <c r="N1119" s="301"/>
      <c r="O1119" s="301"/>
      <c r="P1119" s="301"/>
      <c r="Q1119" s="301"/>
      <c r="R1119" s="301"/>
      <c r="S1119" s="301"/>
      <c r="T1119" s="301"/>
      <c r="U1119" s="301"/>
      <c r="V1119" s="301"/>
      <c r="W1119" s="301"/>
      <c r="X1119" s="301"/>
      <c r="Y1119" s="301"/>
      <c r="Z1119" s="301"/>
    </row>
    <row r="1120" spans="1:26" ht="14">
      <c r="A1120" s="298" t="s">
        <v>1534</v>
      </c>
      <c r="B1120" s="298" t="s">
        <v>10201</v>
      </c>
      <c r="C1120" s="299">
        <v>601</v>
      </c>
      <c r="D1120" s="298"/>
      <c r="E1120" s="298"/>
      <c r="F1120" s="300">
        <v>3108717562</v>
      </c>
      <c r="G1120" s="298">
        <v>52387423</v>
      </c>
      <c r="H1120" s="298" t="s">
        <v>10202</v>
      </c>
      <c r="I1120" s="301"/>
      <c r="J1120" s="301"/>
      <c r="K1120" s="301"/>
      <c r="L1120" s="301"/>
      <c r="M1120" s="301"/>
      <c r="N1120" s="301"/>
      <c r="O1120" s="301"/>
      <c r="P1120" s="301"/>
      <c r="Q1120" s="301"/>
      <c r="R1120" s="301"/>
      <c r="S1120" s="301"/>
      <c r="T1120" s="301"/>
      <c r="U1120" s="301"/>
      <c r="V1120" s="301"/>
      <c r="W1120" s="301"/>
      <c r="X1120" s="301"/>
      <c r="Y1120" s="301"/>
      <c r="Z1120" s="301"/>
    </row>
    <row r="1121" spans="1:26" ht="14">
      <c r="A1121" s="298" t="s">
        <v>1536</v>
      </c>
      <c r="B1121" s="298" t="s">
        <v>10203</v>
      </c>
      <c r="C1121" s="299">
        <v>402</v>
      </c>
      <c r="D1121" s="298" t="s">
        <v>10204</v>
      </c>
      <c r="E1121" s="298"/>
      <c r="F1121" s="300">
        <v>3153060060</v>
      </c>
      <c r="G1121" s="298">
        <v>52009219</v>
      </c>
      <c r="H1121" s="298" t="s">
        <v>10205</v>
      </c>
      <c r="I1121" s="301"/>
      <c r="J1121" s="301"/>
      <c r="K1121" s="301"/>
      <c r="L1121" s="301"/>
      <c r="M1121" s="301"/>
      <c r="N1121" s="301"/>
      <c r="O1121" s="301"/>
      <c r="P1121" s="301"/>
      <c r="Q1121" s="301"/>
      <c r="R1121" s="301"/>
      <c r="S1121" s="301"/>
      <c r="T1121" s="301"/>
      <c r="U1121" s="301"/>
      <c r="V1121" s="301"/>
      <c r="W1121" s="301"/>
      <c r="X1121" s="301"/>
      <c r="Y1121" s="301"/>
      <c r="Z1121" s="301"/>
    </row>
    <row r="1122" spans="1:26" ht="14">
      <c r="A1122" s="298" t="s">
        <v>1547</v>
      </c>
      <c r="B1122" s="298" t="s">
        <v>10206</v>
      </c>
      <c r="C1122" s="299">
        <v>902</v>
      </c>
      <c r="D1122" s="298"/>
      <c r="E1122" s="298"/>
      <c r="F1122" s="300">
        <v>3016271017</v>
      </c>
      <c r="G1122" s="298">
        <v>52500001</v>
      </c>
      <c r="H1122" s="298" t="s">
        <v>10207</v>
      </c>
      <c r="I1122" s="301"/>
      <c r="J1122" s="301"/>
      <c r="K1122" s="301"/>
      <c r="L1122" s="301"/>
      <c r="M1122" s="301"/>
      <c r="N1122" s="301"/>
      <c r="O1122" s="301"/>
      <c r="P1122" s="301"/>
      <c r="Q1122" s="301"/>
      <c r="R1122" s="301"/>
      <c r="S1122" s="301"/>
      <c r="T1122" s="301"/>
      <c r="U1122" s="301"/>
      <c r="V1122" s="301"/>
      <c r="W1122" s="301"/>
      <c r="X1122" s="301"/>
      <c r="Y1122" s="301"/>
      <c r="Z1122" s="301"/>
    </row>
    <row r="1123" spans="1:26" ht="14">
      <c r="A1123" s="298" t="s">
        <v>1549</v>
      </c>
      <c r="B1123" s="298" t="s">
        <v>10208</v>
      </c>
      <c r="C1123" s="299">
        <v>501</v>
      </c>
      <c r="D1123" s="298"/>
      <c r="E1123" s="298"/>
      <c r="F1123" s="300">
        <v>3158750635</v>
      </c>
      <c r="G1123" s="298">
        <v>79690652</v>
      </c>
      <c r="H1123" s="298" t="s">
        <v>10209</v>
      </c>
      <c r="I1123" s="301"/>
      <c r="J1123" s="301"/>
      <c r="K1123" s="301"/>
      <c r="L1123" s="301"/>
      <c r="M1123" s="301"/>
      <c r="N1123" s="301"/>
      <c r="O1123" s="301"/>
      <c r="P1123" s="301"/>
      <c r="Q1123" s="301"/>
      <c r="R1123" s="301"/>
      <c r="S1123" s="301"/>
      <c r="T1123" s="301"/>
      <c r="U1123" s="301"/>
      <c r="V1123" s="301"/>
      <c r="W1123" s="301"/>
      <c r="X1123" s="301"/>
      <c r="Y1123" s="301"/>
      <c r="Z1123" s="301"/>
    </row>
    <row r="1124" spans="1:26" ht="14">
      <c r="A1124" s="298" t="s">
        <v>1542</v>
      </c>
      <c r="B1124" s="298" t="s">
        <v>10210</v>
      </c>
      <c r="C1124" s="299">
        <v>503</v>
      </c>
      <c r="D1124" s="298"/>
      <c r="E1124" s="298"/>
      <c r="F1124" s="300">
        <v>3006118883</v>
      </c>
      <c r="G1124" s="298">
        <v>1010169185</v>
      </c>
      <c r="H1124" s="298" t="s">
        <v>10211</v>
      </c>
      <c r="I1124" s="301"/>
      <c r="J1124" s="301"/>
      <c r="K1124" s="301"/>
      <c r="L1124" s="301"/>
      <c r="M1124" s="301"/>
      <c r="N1124" s="301"/>
      <c r="O1124" s="301"/>
      <c r="P1124" s="301"/>
      <c r="Q1124" s="301"/>
      <c r="R1124" s="301"/>
      <c r="S1124" s="301"/>
      <c r="T1124" s="301"/>
      <c r="U1124" s="301"/>
      <c r="V1124" s="301"/>
      <c r="W1124" s="301"/>
      <c r="X1124" s="301"/>
      <c r="Y1124" s="301"/>
      <c r="Z1124" s="301"/>
    </row>
    <row r="1125" spans="1:26" ht="14">
      <c r="A1125" s="298" t="s">
        <v>1545</v>
      </c>
      <c r="B1125" s="298" t="s">
        <v>10212</v>
      </c>
      <c r="C1125" s="299">
        <v>805</v>
      </c>
      <c r="D1125" s="298" t="s">
        <v>10213</v>
      </c>
      <c r="E1125" s="298"/>
      <c r="F1125" s="300">
        <v>3154332156</v>
      </c>
      <c r="G1125" s="298">
        <v>1010159824</v>
      </c>
      <c r="H1125" s="298" t="s">
        <v>10214</v>
      </c>
      <c r="I1125" s="301"/>
      <c r="J1125" s="301"/>
      <c r="K1125" s="301"/>
      <c r="L1125" s="301"/>
      <c r="M1125" s="301"/>
      <c r="N1125" s="301"/>
      <c r="O1125" s="301"/>
      <c r="P1125" s="301"/>
      <c r="Q1125" s="301"/>
      <c r="R1125" s="301"/>
      <c r="S1125" s="301"/>
      <c r="T1125" s="301"/>
      <c r="U1125" s="301"/>
      <c r="V1125" s="301"/>
      <c r="W1125" s="301"/>
      <c r="X1125" s="301"/>
      <c r="Y1125" s="301"/>
      <c r="Z1125" s="301"/>
    </row>
    <row r="1126" spans="1:26" ht="14">
      <c r="A1126" s="298" t="s">
        <v>1555</v>
      </c>
      <c r="B1126" s="298" t="s">
        <v>10215</v>
      </c>
      <c r="C1126" s="299">
        <v>401</v>
      </c>
      <c r="D1126" s="298" t="s">
        <v>10216</v>
      </c>
      <c r="E1126" s="298"/>
      <c r="F1126" s="300">
        <v>3164734458</v>
      </c>
      <c r="G1126" s="298">
        <v>1018478320</v>
      </c>
      <c r="H1126" s="298" t="s">
        <v>10217</v>
      </c>
      <c r="I1126" s="301"/>
      <c r="J1126" s="301"/>
      <c r="K1126" s="301"/>
      <c r="L1126" s="301"/>
      <c r="M1126" s="301"/>
      <c r="N1126" s="301"/>
      <c r="O1126" s="301"/>
      <c r="P1126" s="301"/>
      <c r="Q1126" s="301"/>
      <c r="R1126" s="301"/>
      <c r="S1126" s="301"/>
      <c r="T1126" s="301"/>
      <c r="U1126" s="301"/>
      <c r="V1126" s="301"/>
      <c r="W1126" s="301"/>
      <c r="X1126" s="301"/>
      <c r="Y1126" s="301"/>
      <c r="Z1126" s="301"/>
    </row>
    <row r="1127" spans="1:26" ht="14">
      <c r="A1127" s="298" t="s">
        <v>1560</v>
      </c>
      <c r="B1127" s="298" t="s">
        <v>10218</v>
      </c>
      <c r="C1127" s="299">
        <v>204</v>
      </c>
      <c r="D1127" s="298"/>
      <c r="E1127" s="298"/>
      <c r="F1127" s="300">
        <v>3045477811</v>
      </c>
      <c r="G1127" s="298">
        <v>52690800</v>
      </c>
      <c r="H1127" s="298" t="s">
        <v>10219</v>
      </c>
      <c r="I1127" s="301"/>
      <c r="J1127" s="301"/>
      <c r="K1127" s="301"/>
      <c r="L1127" s="301"/>
      <c r="M1127" s="301"/>
      <c r="N1127" s="301"/>
      <c r="O1127" s="301"/>
      <c r="P1127" s="301"/>
      <c r="Q1127" s="301"/>
      <c r="R1127" s="301"/>
      <c r="S1127" s="301"/>
      <c r="T1127" s="301"/>
      <c r="U1127" s="301"/>
      <c r="V1127" s="301"/>
      <c r="W1127" s="301"/>
      <c r="X1127" s="301"/>
      <c r="Y1127" s="301"/>
      <c r="Z1127" s="301"/>
    </row>
    <row r="1128" spans="1:26" ht="14">
      <c r="A1128" s="298" t="s">
        <v>1568</v>
      </c>
      <c r="B1128" s="298" t="s">
        <v>10220</v>
      </c>
      <c r="C1128" s="299">
        <v>502</v>
      </c>
      <c r="D1128" s="298" t="s">
        <v>10221</v>
      </c>
      <c r="E1128" s="298"/>
      <c r="F1128" s="300">
        <v>3188648931</v>
      </c>
      <c r="G1128" s="298">
        <v>63527213</v>
      </c>
      <c r="H1128" s="298" t="s">
        <v>10222</v>
      </c>
      <c r="I1128" s="301"/>
      <c r="J1128" s="301"/>
      <c r="K1128" s="301"/>
      <c r="L1128" s="301"/>
      <c r="M1128" s="301"/>
      <c r="N1128" s="301"/>
      <c r="O1128" s="301"/>
      <c r="P1128" s="301"/>
      <c r="Q1128" s="301"/>
      <c r="R1128" s="301"/>
      <c r="S1128" s="301"/>
      <c r="T1128" s="301"/>
      <c r="U1128" s="301"/>
      <c r="V1128" s="301"/>
      <c r="W1128" s="301"/>
      <c r="X1128" s="301"/>
      <c r="Y1128" s="301"/>
      <c r="Z1128" s="301"/>
    </row>
    <row r="1129" spans="1:26" ht="14">
      <c r="A1129" s="298" t="s">
        <v>1581</v>
      </c>
      <c r="B1129" s="298" t="s">
        <v>10223</v>
      </c>
      <c r="C1129" s="299">
        <v>302</v>
      </c>
      <c r="D1129" s="298" t="s">
        <v>7052</v>
      </c>
      <c r="E1129" s="298"/>
      <c r="F1129" s="300">
        <v>3187114373</v>
      </c>
      <c r="G1129" s="298">
        <v>1019065886</v>
      </c>
      <c r="H1129" s="298" t="s">
        <v>10224</v>
      </c>
      <c r="I1129" s="301"/>
      <c r="J1129" s="301"/>
      <c r="K1129" s="301"/>
      <c r="L1129" s="301"/>
      <c r="M1129" s="301"/>
      <c r="N1129" s="301"/>
      <c r="O1129" s="301"/>
      <c r="P1129" s="301"/>
      <c r="Q1129" s="301"/>
      <c r="R1129" s="301"/>
      <c r="S1129" s="301"/>
      <c r="T1129" s="301"/>
      <c r="U1129" s="301"/>
      <c r="V1129" s="301"/>
      <c r="W1129" s="301"/>
      <c r="X1129" s="301"/>
      <c r="Y1129" s="301"/>
      <c r="Z1129" s="301"/>
    </row>
    <row r="1130" spans="1:26" ht="14">
      <c r="A1130" s="298" t="s">
        <v>1583</v>
      </c>
      <c r="B1130" s="298" t="s">
        <v>10225</v>
      </c>
      <c r="C1130" s="299">
        <v>604</v>
      </c>
      <c r="D1130" s="298"/>
      <c r="E1130" s="298"/>
      <c r="F1130" s="300">
        <v>3103422566</v>
      </c>
      <c r="G1130" s="298">
        <v>53000991</v>
      </c>
      <c r="H1130" s="298" t="s">
        <v>10226</v>
      </c>
      <c r="I1130" s="301"/>
      <c r="J1130" s="301"/>
      <c r="K1130" s="301"/>
      <c r="L1130" s="301"/>
      <c r="M1130" s="301"/>
      <c r="N1130" s="301"/>
      <c r="O1130" s="301"/>
      <c r="P1130" s="301"/>
      <c r="Q1130" s="301"/>
      <c r="R1130" s="301"/>
      <c r="S1130" s="301"/>
      <c r="T1130" s="301"/>
      <c r="U1130" s="301"/>
      <c r="V1130" s="301"/>
      <c r="W1130" s="301"/>
      <c r="X1130" s="301"/>
      <c r="Y1130" s="301"/>
      <c r="Z1130" s="301"/>
    </row>
    <row r="1131" spans="1:26" ht="14">
      <c r="A1131" s="298" t="s">
        <v>1572</v>
      </c>
      <c r="B1131" s="298" t="s">
        <v>10227</v>
      </c>
      <c r="C1131" s="299">
        <v>703</v>
      </c>
      <c r="D1131" s="298" t="s">
        <v>10228</v>
      </c>
      <c r="E1131" s="298"/>
      <c r="F1131" s="300">
        <v>3226136181</v>
      </c>
      <c r="G1131" s="298">
        <v>1018512657</v>
      </c>
      <c r="H1131" s="298" t="s">
        <v>10229</v>
      </c>
      <c r="I1131" s="301"/>
      <c r="J1131" s="301"/>
      <c r="K1131" s="301"/>
      <c r="L1131" s="301"/>
      <c r="M1131" s="301"/>
      <c r="N1131" s="301"/>
      <c r="O1131" s="301"/>
      <c r="P1131" s="301"/>
      <c r="Q1131" s="301"/>
      <c r="R1131" s="301"/>
      <c r="S1131" s="301"/>
      <c r="T1131" s="301"/>
      <c r="U1131" s="301"/>
      <c r="V1131" s="301"/>
      <c r="W1131" s="301"/>
      <c r="X1131" s="301"/>
      <c r="Y1131" s="301"/>
      <c r="Z1131" s="301"/>
    </row>
    <row r="1132" spans="1:26" ht="14">
      <c r="A1132" s="298" t="s">
        <v>1575</v>
      </c>
      <c r="B1132" s="298" t="s">
        <v>10230</v>
      </c>
      <c r="C1132" s="299">
        <v>403</v>
      </c>
      <c r="D1132" s="298"/>
      <c r="E1132" s="298"/>
      <c r="F1132" s="300">
        <v>3114600283</v>
      </c>
      <c r="G1132" s="298">
        <v>79786667</v>
      </c>
      <c r="H1132" s="298" t="s">
        <v>10231</v>
      </c>
      <c r="I1132" s="301"/>
      <c r="J1132" s="301"/>
      <c r="K1132" s="301"/>
      <c r="L1132" s="301"/>
      <c r="M1132" s="301"/>
      <c r="N1132" s="301"/>
      <c r="O1132" s="301"/>
      <c r="P1132" s="301"/>
      <c r="Q1132" s="301"/>
      <c r="R1132" s="301"/>
      <c r="S1132" s="301"/>
      <c r="T1132" s="301"/>
      <c r="U1132" s="301"/>
      <c r="V1132" s="301"/>
      <c r="W1132" s="301"/>
      <c r="X1132" s="301"/>
      <c r="Y1132" s="301"/>
      <c r="Z1132" s="301"/>
    </row>
    <row r="1133" spans="1:26" ht="14">
      <c r="A1133" s="298" t="s">
        <v>1586</v>
      </c>
      <c r="B1133" s="298" t="s">
        <v>10232</v>
      </c>
      <c r="C1133" s="299">
        <v>503</v>
      </c>
      <c r="D1133" s="298"/>
      <c r="E1133" s="298"/>
      <c r="F1133" s="300">
        <v>3168347038</v>
      </c>
      <c r="G1133" s="298">
        <v>1018498811</v>
      </c>
      <c r="H1133" s="298" t="s">
        <v>10233</v>
      </c>
      <c r="I1133" s="301"/>
      <c r="J1133" s="301"/>
      <c r="K1133" s="301"/>
      <c r="L1133" s="301"/>
      <c r="M1133" s="301"/>
      <c r="N1133" s="301"/>
      <c r="O1133" s="301"/>
      <c r="P1133" s="301"/>
      <c r="Q1133" s="301"/>
      <c r="R1133" s="301"/>
      <c r="S1133" s="301"/>
      <c r="T1133" s="301"/>
      <c r="U1133" s="301"/>
      <c r="V1133" s="301"/>
      <c r="W1133" s="301"/>
      <c r="X1133" s="301"/>
      <c r="Y1133" s="301"/>
      <c r="Z1133" s="301"/>
    </row>
    <row r="1134" spans="1:26" ht="14">
      <c r="A1134" s="298" t="s">
        <v>1595</v>
      </c>
      <c r="B1134" s="298" t="s">
        <v>10234</v>
      </c>
      <c r="C1134" s="299">
        <v>303</v>
      </c>
      <c r="D1134" s="298" t="s">
        <v>9799</v>
      </c>
      <c r="E1134" s="298"/>
      <c r="F1134" s="300">
        <v>3133567233</v>
      </c>
      <c r="G1134" s="303">
        <v>1024503287</v>
      </c>
      <c r="H1134" s="298" t="s">
        <v>10235</v>
      </c>
      <c r="I1134" s="301"/>
      <c r="J1134" s="301"/>
      <c r="K1134" s="301"/>
      <c r="L1134" s="301"/>
      <c r="M1134" s="301"/>
      <c r="N1134" s="301"/>
      <c r="O1134" s="301"/>
      <c r="P1134" s="301"/>
      <c r="Q1134" s="301"/>
      <c r="R1134" s="301"/>
      <c r="S1134" s="301"/>
      <c r="T1134" s="301"/>
      <c r="U1134" s="301"/>
      <c r="V1134" s="301"/>
      <c r="W1134" s="301"/>
      <c r="X1134" s="301"/>
      <c r="Y1134" s="301"/>
      <c r="Z1134" s="301"/>
    </row>
    <row r="1135" spans="1:26" ht="14">
      <c r="A1135" s="298" t="s">
        <v>1602</v>
      </c>
      <c r="B1135" s="298" t="s">
        <v>10236</v>
      </c>
      <c r="C1135" s="299">
        <v>503</v>
      </c>
      <c r="D1135" s="298"/>
      <c r="E1135" s="298"/>
      <c r="F1135" s="300">
        <v>3187948183</v>
      </c>
      <c r="G1135" s="298">
        <v>52548159</v>
      </c>
      <c r="H1135" s="298" t="s">
        <v>10237</v>
      </c>
      <c r="I1135" s="301"/>
      <c r="J1135" s="301"/>
      <c r="K1135" s="301"/>
      <c r="L1135" s="301"/>
      <c r="M1135" s="301"/>
      <c r="N1135" s="301"/>
      <c r="O1135" s="301"/>
      <c r="P1135" s="301"/>
      <c r="Q1135" s="301"/>
      <c r="R1135" s="301"/>
      <c r="S1135" s="301"/>
      <c r="T1135" s="301"/>
      <c r="U1135" s="301"/>
      <c r="V1135" s="301"/>
      <c r="W1135" s="301"/>
      <c r="X1135" s="301"/>
      <c r="Y1135" s="301"/>
      <c r="Z1135" s="301"/>
    </row>
    <row r="1136" spans="1:26" ht="14">
      <c r="A1136" s="298" t="s">
        <v>1606</v>
      </c>
      <c r="B1136" s="298" t="s">
        <v>10238</v>
      </c>
      <c r="C1136" s="299">
        <v>402</v>
      </c>
      <c r="D1136" s="298"/>
      <c r="E1136" s="298"/>
      <c r="F1136" s="300">
        <v>3204684697</v>
      </c>
      <c r="G1136" s="298">
        <v>1136882418</v>
      </c>
      <c r="H1136" s="298" t="s">
        <v>10239</v>
      </c>
      <c r="I1136" s="301"/>
      <c r="J1136" s="301"/>
      <c r="K1136" s="301"/>
      <c r="L1136" s="301"/>
      <c r="M1136" s="301"/>
      <c r="N1136" s="301"/>
      <c r="O1136" s="301"/>
      <c r="P1136" s="301"/>
      <c r="Q1136" s="301"/>
      <c r="R1136" s="301"/>
      <c r="S1136" s="301"/>
      <c r="T1136" s="301"/>
      <c r="U1136" s="301"/>
      <c r="V1136" s="301"/>
      <c r="W1136" s="301"/>
      <c r="X1136" s="301"/>
      <c r="Y1136" s="301"/>
      <c r="Z1136" s="301"/>
    </row>
    <row r="1137" spans="1:26" ht="14">
      <c r="A1137" s="298" t="s">
        <v>1608</v>
      </c>
      <c r="B1137" s="298" t="s">
        <v>10240</v>
      </c>
      <c r="C1137" s="299">
        <v>206</v>
      </c>
      <c r="D1137" s="298" t="s">
        <v>10241</v>
      </c>
      <c r="E1137" s="298"/>
      <c r="F1137" s="300">
        <v>3168291416</v>
      </c>
      <c r="G1137" s="298">
        <v>1018414467</v>
      </c>
      <c r="H1137" s="298" t="s">
        <v>10242</v>
      </c>
      <c r="I1137" s="301"/>
      <c r="J1137" s="301"/>
      <c r="K1137" s="301"/>
      <c r="L1137" s="301"/>
      <c r="M1137" s="301"/>
      <c r="N1137" s="301"/>
      <c r="O1137" s="301"/>
      <c r="P1137" s="301"/>
      <c r="Q1137" s="301"/>
      <c r="R1137" s="301"/>
      <c r="S1137" s="301"/>
      <c r="T1137" s="301"/>
      <c r="U1137" s="301"/>
      <c r="V1137" s="301"/>
      <c r="W1137" s="301"/>
      <c r="X1137" s="301"/>
      <c r="Y1137" s="301"/>
      <c r="Z1137" s="301"/>
    </row>
    <row r="1138" spans="1:26" ht="14">
      <c r="A1138" s="298" t="s">
        <v>1611</v>
      </c>
      <c r="B1138" s="298" t="s">
        <v>10243</v>
      </c>
      <c r="C1138" s="299">
        <v>503</v>
      </c>
      <c r="D1138" s="298"/>
      <c r="E1138" s="298"/>
      <c r="F1138" s="300">
        <v>3203394476</v>
      </c>
      <c r="G1138" s="298">
        <v>55168246</v>
      </c>
      <c r="H1138" s="298" t="s">
        <v>10244</v>
      </c>
      <c r="I1138" s="301"/>
      <c r="J1138" s="301"/>
      <c r="K1138" s="301"/>
      <c r="L1138" s="301"/>
      <c r="M1138" s="301"/>
      <c r="N1138" s="301"/>
      <c r="O1138" s="301"/>
      <c r="P1138" s="301"/>
      <c r="Q1138" s="301"/>
      <c r="R1138" s="301"/>
      <c r="S1138" s="301"/>
      <c r="T1138" s="301"/>
      <c r="U1138" s="301"/>
      <c r="V1138" s="301"/>
      <c r="W1138" s="301"/>
      <c r="X1138" s="301"/>
      <c r="Y1138" s="301"/>
      <c r="Z1138" s="301"/>
    </row>
    <row r="1139" spans="1:26" ht="14">
      <c r="A1139" s="298" t="s">
        <v>1619</v>
      </c>
      <c r="B1139" s="298" t="s">
        <v>10245</v>
      </c>
      <c r="C1139" s="299">
        <v>401</v>
      </c>
      <c r="D1139" s="298" t="s">
        <v>10246</v>
      </c>
      <c r="E1139" s="298"/>
      <c r="F1139" s="300">
        <v>3155879558</v>
      </c>
      <c r="G1139" s="298">
        <v>39424739</v>
      </c>
      <c r="H1139" s="298" t="s">
        <v>10247</v>
      </c>
      <c r="I1139" s="301"/>
      <c r="J1139" s="301"/>
      <c r="K1139" s="301"/>
      <c r="L1139" s="301"/>
      <c r="M1139" s="301"/>
      <c r="N1139" s="301"/>
      <c r="O1139" s="301"/>
      <c r="P1139" s="301"/>
      <c r="Q1139" s="301"/>
      <c r="R1139" s="301"/>
      <c r="S1139" s="301"/>
      <c r="T1139" s="301"/>
      <c r="U1139" s="301"/>
      <c r="V1139" s="301"/>
      <c r="W1139" s="301"/>
      <c r="X1139" s="301"/>
      <c r="Y1139" s="301"/>
      <c r="Z1139" s="301"/>
    </row>
    <row r="1140" spans="1:26" ht="14">
      <c r="A1140" s="298" t="s">
        <v>1621</v>
      </c>
      <c r="B1140" s="303" t="s">
        <v>10248</v>
      </c>
      <c r="C1140" s="299">
        <v>219</v>
      </c>
      <c r="D1140" s="298"/>
      <c r="E1140" s="298"/>
      <c r="F1140" s="300">
        <v>3214294794</v>
      </c>
      <c r="G1140" s="298">
        <v>52388657</v>
      </c>
      <c r="H1140" s="298" t="s">
        <v>10249</v>
      </c>
      <c r="I1140" s="301"/>
      <c r="J1140" s="301"/>
      <c r="K1140" s="301"/>
      <c r="L1140" s="301"/>
      <c r="M1140" s="301"/>
      <c r="N1140" s="301"/>
      <c r="O1140" s="301"/>
      <c r="P1140" s="301"/>
      <c r="Q1140" s="301"/>
      <c r="R1140" s="301"/>
      <c r="S1140" s="301"/>
      <c r="T1140" s="301"/>
      <c r="U1140" s="301"/>
      <c r="V1140" s="301"/>
      <c r="W1140" s="301"/>
      <c r="X1140" s="301"/>
      <c r="Y1140" s="301"/>
      <c r="Z1140" s="301"/>
    </row>
    <row r="1141" spans="1:26" ht="14">
      <c r="A1141" s="298" t="s">
        <v>1623</v>
      </c>
      <c r="B1141" s="298" t="s">
        <v>10250</v>
      </c>
      <c r="C1141" s="299" t="s">
        <v>10251</v>
      </c>
      <c r="D1141" s="298" t="s">
        <v>10252</v>
      </c>
      <c r="E1141" s="298"/>
      <c r="F1141" s="300">
        <v>3114729389</v>
      </c>
      <c r="G1141" s="298">
        <v>108430171</v>
      </c>
      <c r="H1141" s="298" t="s">
        <v>10253</v>
      </c>
      <c r="I1141" s="301"/>
      <c r="J1141" s="301"/>
      <c r="K1141" s="301"/>
      <c r="L1141" s="301"/>
      <c r="M1141" s="301"/>
      <c r="N1141" s="301"/>
      <c r="O1141" s="301"/>
      <c r="P1141" s="301"/>
      <c r="Q1141" s="301"/>
      <c r="R1141" s="301"/>
      <c r="S1141" s="301"/>
      <c r="T1141" s="301"/>
      <c r="U1141" s="301"/>
      <c r="V1141" s="301"/>
      <c r="W1141" s="301"/>
      <c r="X1141" s="301"/>
      <c r="Y1141" s="301"/>
      <c r="Z1141" s="301"/>
    </row>
    <row r="1142" spans="1:26" ht="14">
      <c r="A1142" s="298" t="s">
        <v>1625</v>
      </c>
      <c r="B1142" s="298" t="s">
        <v>10254</v>
      </c>
      <c r="C1142" s="299">
        <v>304</v>
      </c>
      <c r="D1142" s="298" t="s">
        <v>10255</v>
      </c>
      <c r="E1142" s="298"/>
      <c r="F1142" s="300">
        <v>3113182347</v>
      </c>
      <c r="G1142" s="298">
        <v>1020739161</v>
      </c>
      <c r="H1142" s="298" t="s">
        <v>10256</v>
      </c>
      <c r="I1142" s="301"/>
      <c r="J1142" s="301"/>
      <c r="K1142" s="301"/>
      <c r="L1142" s="301"/>
      <c r="M1142" s="301"/>
      <c r="N1142" s="301"/>
      <c r="O1142" s="301"/>
      <c r="P1142" s="301"/>
      <c r="Q1142" s="301"/>
      <c r="R1142" s="301"/>
      <c r="S1142" s="301"/>
      <c r="T1142" s="301"/>
      <c r="U1142" s="301"/>
      <c r="V1142" s="301"/>
      <c r="W1142" s="301"/>
      <c r="X1142" s="301"/>
      <c r="Y1142" s="301"/>
      <c r="Z1142" s="301"/>
    </row>
    <row r="1143" spans="1:26" ht="14">
      <c r="A1143" s="298" t="s">
        <v>1627</v>
      </c>
      <c r="B1143" s="298" t="s">
        <v>10257</v>
      </c>
      <c r="C1143" s="299">
        <v>401</v>
      </c>
      <c r="D1143" s="298"/>
      <c r="E1143" s="298"/>
      <c r="F1143" s="300">
        <v>3158810523</v>
      </c>
      <c r="G1143" s="303">
        <v>30311037</v>
      </c>
      <c r="H1143" s="298" t="s">
        <v>10258</v>
      </c>
      <c r="I1143" s="301"/>
      <c r="J1143" s="301"/>
      <c r="K1143" s="301"/>
      <c r="L1143" s="301"/>
      <c r="M1143" s="301"/>
      <c r="N1143" s="301"/>
      <c r="O1143" s="301"/>
      <c r="P1143" s="301"/>
      <c r="Q1143" s="301"/>
      <c r="R1143" s="301"/>
      <c r="S1143" s="301"/>
      <c r="T1143" s="301"/>
      <c r="U1143" s="301"/>
      <c r="V1143" s="301"/>
      <c r="W1143" s="301"/>
      <c r="X1143" s="301"/>
      <c r="Y1143" s="301"/>
      <c r="Z1143" s="301"/>
    </row>
    <row r="1144" spans="1:26" ht="14">
      <c r="A1144" s="298" t="s">
        <v>1629</v>
      </c>
      <c r="B1144" s="298" t="s">
        <v>10259</v>
      </c>
      <c r="C1144" s="299">
        <v>406</v>
      </c>
      <c r="D1144" s="298"/>
      <c r="E1144" s="298"/>
      <c r="F1144" s="300">
        <v>3107758455</v>
      </c>
      <c r="G1144" s="298">
        <v>52209808</v>
      </c>
      <c r="H1144" s="298" t="s">
        <v>10260</v>
      </c>
      <c r="I1144" s="301"/>
      <c r="J1144" s="301"/>
      <c r="K1144" s="301"/>
      <c r="L1144" s="301"/>
      <c r="M1144" s="301"/>
      <c r="N1144" s="301"/>
      <c r="O1144" s="301"/>
      <c r="P1144" s="301"/>
      <c r="Q1144" s="301"/>
      <c r="R1144" s="301"/>
      <c r="S1144" s="301"/>
      <c r="T1144" s="301"/>
      <c r="U1144" s="301"/>
      <c r="V1144" s="301"/>
      <c r="W1144" s="301"/>
      <c r="X1144" s="301"/>
      <c r="Y1144" s="301"/>
      <c r="Z1144" s="301"/>
    </row>
    <row r="1145" spans="1:26" ht="14">
      <c r="A1145" s="298" t="s">
        <v>1632</v>
      </c>
      <c r="B1145" s="298" t="s">
        <v>10261</v>
      </c>
      <c r="C1145" s="299">
        <v>11505</v>
      </c>
      <c r="D1145" s="298" t="s">
        <v>9799</v>
      </c>
      <c r="E1145" s="298"/>
      <c r="F1145" s="300">
        <v>3134650628</v>
      </c>
      <c r="G1145" s="298">
        <v>1026567231</v>
      </c>
      <c r="H1145" s="298" t="s">
        <v>10262</v>
      </c>
      <c r="I1145" s="301"/>
      <c r="J1145" s="301"/>
      <c r="K1145" s="301"/>
      <c r="L1145" s="301"/>
      <c r="M1145" s="301"/>
      <c r="N1145" s="301"/>
      <c r="O1145" s="301"/>
      <c r="P1145" s="301"/>
      <c r="Q1145" s="301"/>
      <c r="R1145" s="301"/>
      <c r="S1145" s="301"/>
      <c r="T1145" s="301"/>
      <c r="U1145" s="301"/>
      <c r="V1145" s="301"/>
      <c r="W1145" s="301"/>
      <c r="X1145" s="301"/>
      <c r="Y1145" s="301"/>
      <c r="Z1145" s="301"/>
    </row>
    <row r="1146" spans="1:26" ht="14">
      <c r="A1146" s="298" t="s">
        <v>1634</v>
      </c>
      <c r="B1146" s="298" t="s">
        <v>10263</v>
      </c>
      <c r="C1146" s="299">
        <v>704</v>
      </c>
      <c r="D1146" s="298"/>
      <c r="E1146" s="298"/>
      <c r="F1146" s="300">
        <v>3153394050</v>
      </c>
      <c r="G1146" s="298"/>
      <c r="H1146" s="298" t="s">
        <v>10264</v>
      </c>
      <c r="I1146" s="301"/>
      <c r="J1146" s="301"/>
      <c r="K1146" s="301"/>
      <c r="L1146" s="301"/>
      <c r="M1146" s="301"/>
      <c r="N1146" s="301"/>
      <c r="O1146" s="301"/>
      <c r="P1146" s="301"/>
      <c r="Q1146" s="301"/>
      <c r="R1146" s="301"/>
      <c r="S1146" s="301"/>
      <c r="T1146" s="301"/>
      <c r="U1146" s="301"/>
      <c r="V1146" s="301"/>
      <c r="W1146" s="301"/>
      <c r="X1146" s="301"/>
      <c r="Y1146" s="301"/>
      <c r="Z1146" s="301"/>
    </row>
    <row r="1147" spans="1:26" ht="14">
      <c r="A1147" s="298" t="s">
        <v>1636</v>
      </c>
      <c r="B1147" s="298" t="s">
        <v>10265</v>
      </c>
      <c r="C1147" s="299">
        <v>401</v>
      </c>
      <c r="D1147" s="298"/>
      <c r="E1147" s="298"/>
      <c r="F1147" s="300">
        <v>3153483999</v>
      </c>
      <c r="G1147" s="298">
        <v>53000374</v>
      </c>
      <c r="H1147" s="298" t="s">
        <v>10266</v>
      </c>
      <c r="I1147" s="301"/>
      <c r="J1147" s="301"/>
      <c r="K1147" s="301"/>
      <c r="L1147" s="301"/>
      <c r="M1147" s="301"/>
      <c r="N1147" s="301"/>
      <c r="O1147" s="301"/>
      <c r="P1147" s="301"/>
      <c r="Q1147" s="301"/>
      <c r="R1147" s="301"/>
      <c r="S1147" s="301"/>
      <c r="T1147" s="301"/>
      <c r="U1147" s="301"/>
      <c r="V1147" s="301"/>
      <c r="W1147" s="301"/>
      <c r="X1147" s="301"/>
      <c r="Y1147" s="301"/>
      <c r="Z1147" s="301"/>
    </row>
    <row r="1148" spans="1:26" ht="14">
      <c r="A1148" s="298" t="s">
        <v>1638</v>
      </c>
      <c r="B1148" s="298" t="s">
        <v>10267</v>
      </c>
      <c r="C1148" s="299">
        <v>810</v>
      </c>
      <c r="D1148" s="298" t="s">
        <v>10268</v>
      </c>
      <c r="E1148" s="298"/>
      <c r="F1148" s="300">
        <v>3113891125</v>
      </c>
      <c r="G1148" s="298">
        <v>1088247135</v>
      </c>
      <c r="H1148" s="298" t="s">
        <v>10269</v>
      </c>
      <c r="I1148" s="301"/>
      <c r="J1148" s="301"/>
      <c r="K1148" s="301"/>
      <c r="L1148" s="301"/>
      <c r="M1148" s="301"/>
      <c r="N1148" s="301"/>
      <c r="O1148" s="301"/>
      <c r="P1148" s="301"/>
      <c r="Q1148" s="301"/>
      <c r="R1148" s="301"/>
      <c r="S1148" s="301"/>
      <c r="T1148" s="301"/>
      <c r="U1148" s="301"/>
      <c r="V1148" s="301"/>
      <c r="W1148" s="301"/>
      <c r="X1148" s="301"/>
      <c r="Y1148" s="301"/>
      <c r="Z1148" s="301"/>
    </row>
    <row r="1149" spans="1:26" ht="14">
      <c r="A1149" s="298" t="s">
        <v>1640</v>
      </c>
      <c r="B1149" s="298" t="s">
        <v>10270</v>
      </c>
      <c r="C1149" s="299">
        <v>802</v>
      </c>
      <c r="D1149" s="298" t="s">
        <v>9799</v>
      </c>
      <c r="E1149" s="298"/>
      <c r="F1149" s="300">
        <v>3005168785</v>
      </c>
      <c r="G1149" s="298">
        <v>80894279</v>
      </c>
      <c r="H1149" s="298" t="s">
        <v>10271</v>
      </c>
      <c r="I1149" s="301"/>
      <c r="J1149" s="301"/>
      <c r="K1149" s="301"/>
      <c r="L1149" s="301"/>
      <c r="M1149" s="301"/>
      <c r="N1149" s="301"/>
      <c r="O1149" s="301"/>
      <c r="P1149" s="301"/>
      <c r="Q1149" s="301"/>
      <c r="R1149" s="301"/>
      <c r="S1149" s="301"/>
      <c r="T1149" s="301"/>
      <c r="U1149" s="301"/>
      <c r="V1149" s="301"/>
      <c r="W1149" s="301"/>
      <c r="X1149" s="301"/>
      <c r="Y1149" s="301"/>
      <c r="Z1149" s="301"/>
    </row>
    <row r="1150" spans="1:26" ht="14">
      <c r="A1150" s="298" t="s">
        <v>1642</v>
      </c>
      <c r="B1150" s="298" t="s">
        <v>10272</v>
      </c>
      <c r="C1150" s="299">
        <v>1809</v>
      </c>
      <c r="D1150" s="298"/>
      <c r="E1150" s="298"/>
      <c r="F1150" s="300">
        <v>3008677334</v>
      </c>
      <c r="G1150" s="298">
        <v>1026278665</v>
      </c>
      <c r="H1150" s="298" t="s">
        <v>10273</v>
      </c>
      <c r="I1150" s="301"/>
      <c r="J1150" s="301"/>
      <c r="K1150" s="301"/>
      <c r="L1150" s="301"/>
      <c r="M1150" s="301"/>
      <c r="N1150" s="301"/>
      <c r="O1150" s="301"/>
      <c r="P1150" s="301"/>
      <c r="Q1150" s="301"/>
      <c r="R1150" s="301"/>
      <c r="S1150" s="301"/>
      <c r="T1150" s="301"/>
      <c r="U1150" s="301"/>
      <c r="V1150" s="301"/>
      <c r="W1150" s="301"/>
      <c r="X1150" s="301"/>
      <c r="Y1150" s="301"/>
      <c r="Z1150" s="301"/>
    </row>
    <row r="1151" spans="1:26" ht="14">
      <c r="A1151" s="298" t="s">
        <v>1644</v>
      </c>
      <c r="B1151" s="298" t="s">
        <v>10274</v>
      </c>
      <c r="C1151" s="299">
        <v>206</v>
      </c>
      <c r="D1151" s="298"/>
      <c r="E1151" s="298"/>
      <c r="F1151" s="300">
        <v>3134364029</v>
      </c>
      <c r="G1151" s="298">
        <v>1032467551</v>
      </c>
      <c r="H1151" s="298" t="s">
        <v>10275</v>
      </c>
      <c r="I1151" s="301"/>
      <c r="J1151" s="301"/>
      <c r="K1151" s="301"/>
      <c r="L1151" s="301"/>
      <c r="M1151" s="301"/>
      <c r="N1151" s="301"/>
      <c r="O1151" s="301"/>
      <c r="P1151" s="301"/>
      <c r="Q1151" s="301"/>
      <c r="R1151" s="301"/>
      <c r="S1151" s="301"/>
      <c r="T1151" s="301"/>
      <c r="U1151" s="301"/>
      <c r="V1151" s="301"/>
      <c r="W1151" s="301"/>
      <c r="X1151" s="301"/>
      <c r="Y1151" s="301"/>
      <c r="Z1151" s="301"/>
    </row>
    <row r="1152" spans="1:26" ht="14">
      <c r="A1152" s="303" t="s">
        <v>1650</v>
      </c>
      <c r="B1152" s="298" t="s">
        <v>10276</v>
      </c>
      <c r="C1152" s="299">
        <v>201</v>
      </c>
      <c r="D1152" s="298"/>
      <c r="E1152" s="298"/>
      <c r="F1152" s="300">
        <v>3165103441</v>
      </c>
      <c r="G1152" s="303">
        <v>53106964</v>
      </c>
      <c r="H1152" s="298" t="s">
        <v>10277</v>
      </c>
      <c r="I1152" s="301"/>
      <c r="J1152" s="301"/>
      <c r="K1152" s="301"/>
      <c r="L1152" s="301"/>
      <c r="M1152" s="301"/>
      <c r="N1152" s="301"/>
      <c r="O1152" s="301"/>
      <c r="P1152" s="301"/>
      <c r="Q1152" s="301"/>
      <c r="R1152" s="301"/>
      <c r="S1152" s="301"/>
      <c r="T1152" s="301"/>
      <c r="U1152" s="301"/>
      <c r="V1152" s="301"/>
      <c r="W1152" s="301"/>
      <c r="X1152" s="301"/>
      <c r="Y1152" s="301"/>
      <c r="Z1152" s="301"/>
    </row>
    <row r="1153" spans="1:26" ht="14">
      <c r="A1153" s="298" t="s">
        <v>1652</v>
      </c>
      <c r="B1153" s="298" t="s">
        <v>10278</v>
      </c>
      <c r="C1153" s="299">
        <v>501</v>
      </c>
      <c r="D1153" s="298"/>
      <c r="E1153" s="298"/>
      <c r="F1153" s="300">
        <v>3123055151</v>
      </c>
      <c r="G1153" s="298">
        <v>53001628</v>
      </c>
      <c r="H1153" s="298" t="s">
        <v>10279</v>
      </c>
      <c r="I1153" s="301"/>
      <c r="J1153" s="301"/>
      <c r="K1153" s="301"/>
      <c r="L1153" s="301"/>
      <c r="M1153" s="301"/>
      <c r="N1153" s="301"/>
      <c r="O1153" s="301"/>
      <c r="P1153" s="301"/>
      <c r="Q1153" s="301"/>
      <c r="R1153" s="301"/>
      <c r="S1153" s="301"/>
      <c r="T1153" s="301"/>
      <c r="U1153" s="301"/>
      <c r="V1153" s="301"/>
      <c r="W1153" s="301"/>
      <c r="X1153" s="301"/>
      <c r="Y1153" s="301"/>
      <c r="Z1153" s="301"/>
    </row>
    <row r="1154" spans="1:26" ht="14">
      <c r="A1154" s="298" t="s">
        <v>1658</v>
      </c>
      <c r="B1154" s="298" t="s">
        <v>10280</v>
      </c>
      <c r="C1154" s="299">
        <v>101</v>
      </c>
      <c r="D1154" s="298" t="s">
        <v>10281</v>
      </c>
      <c r="E1154" s="298"/>
      <c r="F1154" s="300">
        <v>3212156903</v>
      </c>
      <c r="G1154" s="298">
        <v>547976</v>
      </c>
      <c r="H1154" s="298" t="s">
        <v>10282</v>
      </c>
      <c r="I1154" s="301"/>
      <c r="J1154" s="301"/>
      <c r="K1154" s="301"/>
      <c r="L1154" s="301"/>
      <c r="M1154" s="301"/>
      <c r="N1154" s="301"/>
      <c r="O1154" s="301"/>
      <c r="P1154" s="301"/>
      <c r="Q1154" s="301"/>
      <c r="R1154" s="301"/>
      <c r="S1154" s="301"/>
      <c r="T1154" s="301"/>
      <c r="U1154" s="301"/>
      <c r="V1154" s="301"/>
      <c r="W1154" s="301"/>
      <c r="X1154" s="301"/>
      <c r="Y1154" s="301"/>
      <c r="Z1154" s="301"/>
    </row>
    <row r="1155" spans="1:26" ht="14">
      <c r="A1155" s="298" t="s">
        <v>1660</v>
      </c>
      <c r="B1155" s="298" t="s">
        <v>10283</v>
      </c>
      <c r="C1155" s="299"/>
      <c r="D1155" s="303" t="s">
        <v>10284</v>
      </c>
      <c r="E1155" s="298"/>
      <c r="F1155" s="300">
        <v>3165251044</v>
      </c>
      <c r="G1155" s="298">
        <v>52992431</v>
      </c>
      <c r="H1155" s="298" t="s">
        <v>10285</v>
      </c>
      <c r="I1155" s="301"/>
      <c r="J1155" s="301"/>
      <c r="K1155" s="301"/>
      <c r="L1155" s="301"/>
      <c r="M1155" s="301"/>
      <c r="N1155" s="301"/>
      <c r="O1155" s="301"/>
      <c r="P1155" s="301"/>
      <c r="Q1155" s="301"/>
      <c r="R1155" s="301"/>
      <c r="S1155" s="301"/>
      <c r="T1155" s="301"/>
      <c r="U1155" s="301"/>
      <c r="V1155" s="301"/>
      <c r="W1155" s="301"/>
      <c r="X1155" s="301"/>
      <c r="Y1155" s="301"/>
      <c r="Z1155" s="301"/>
    </row>
    <row r="1156" spans="1:26" ht="14">
      <c r="A1156" s="298" t="s">
        <v>1662</v>
      </c>
      <c r="B1156" s="298" t="s">
        <v>10286</v>
      </c>
      <c r="C1156" s="299">
        <v>712</v>
      </c>
      <c r="D1156" s="298"/>
      <c r="E1156" s="298"/>
      <c r="F1156" s="300">
        <v>3132037591</v>
      </c>
      <c r="G1156" s="298">
        <v>1015431856</v>
      </c>
      <c r="H1156" s="298" t="s">
        <v>10287</v>
      </c>
      <c r="I1156" s="301"/>
      <c r="J1156" s="301"/>
      <c r="K1156" s="301"/>
      <c r="L1156" s="301"/>
      <c r="M1156" s="301"/>
      <c r="N1156" s="301"/>
      <c r="O1156" s="301"/>
      <c r="P1156" s="301"/>
      <c r="Q1156" s="301"/>
      <c r="R1156" s="301"/>
      <c r="S1156" s="301"/>
      <c r="T1156" s="301"/>
      <c r="U1156" s="301"/>
      <c r="V1156" s="301"/>
      <c r="W1156" s="301"/>
      <c r="X1156" s="301"/>
      <c r="Y1156" s="301"/>
      <c r="Z1156" s="301"/>
    </row>
    <row r="1157" spans="1:26" ht="14">
      <c r="A1157" s="298" t="s">
        <v>1664</v>
      </c>
      <c r="B1157" s="298" t="s">
        <v>10288</v>
      </c>
      <c r="C1157" s="299" t="s">
        <v>10289</v>
      </c>
      <c r="D1157" s="298"/>
      <c r="E1157" s="298"/>
      <c r="F1157" s="300">
        <v>3102629068</v>
      </c>
      <c r="G1157" s="298">
        <v>51780807</v>
      </c>
      <c r="H1157" s="298" t="s">
        <v>10290</v>
      </c>
      <c r="I1157" s="301"/>
      <c r="J1157" s="301"/>
      <c r="K1157" s="301"/>
      <c r="L1157" s="301"/>
      <c r="M1157" s="301"/>
      <c r="N1157" s="301"/>
      <c r="O1157" s="301"/>
      <c r="P1157" s="301"/>
      <c r="Q1157" s="301"/>
      <c r="R1157" s="301"/>
      <c r="S1157" s="301"/>
      <c r="T1157" s="301"/>
      <c r="U1157" s="301"/>
      <c r="V1157" s="301"/>
      <c r="W1157" s="301"/>
      <c r="X1157" s="301"/>
      <c r="Y1157" s="301"/>
      <c r="Z1157" s="301"/>
    </row>
    <row r="1158" spans="1:26" ht="14">
      <c r="A1158" s="298" t="s">
        <v>1667</v>
      </c>
      <c r="B1158" s="298" t="s">
        <v>10291</v>
      </c>
      <c r="C1158" s="299">
        <v>404</v>
      </c>
      <c r="D1158" s="298" t="s">
        <v>10292</v>
      </c>
      <c r="E1158" s="298"/>
      <c r="F1158" s="300">
        <v>3184753777</v>
      </c>
      <c r="G1158" s="298">
        <v>1140826016</v>
      </c>
      <c r="H1158" s="298" t="s">
        <v>10293</v>
      </c>
      <c r="I1158" s="301"/>
      <c r="J1158" s="301"/>
      <c r="K1158" s="301"/>
      <c r="L1158" s="301"/>
      <c r="M1158" s="301"/>
      <c r="N1158" s="301"/>
      <c r="O1158" s="301"/>
      <c r="P1158" s="301"/>
      <c r="Q1158" s="301"/>
      <c r="R1158" s="301"/>
      <c r="S1158" s="301"/>
      <c r="T1158" s="301"/>
      <c r="U1158" s="301"/>
      <c r="V1158" s="301"/>
      <c r="W1158" s="301"/>
      <c r="X1158" s="301"/>
      <c r="Y1158" s="301"/>
      <c r="Z1158" s="301"/>
    </row>
    <row r="1159" spans="1:26" ht="14">
      <c r="A1159" s="298" t="s">
        <v>1669</v>
      </c>
      <c r="B1159" s="298" t="s">
        <v>10294</v>
      </c>
      <c r="C1159" s="299">
        <v>301</v>
      </c>
      <c r="D1159" s="298"/>
      <c r="E1159" s="298"/>
      <c r="F1159" s="300">
        <v>3124903109</v>
      </c>
      <c r="G1159" s="298">
        <v>1020746789</v>
      </c>
      <c r="H1159" s="298" t="s">
        <v>10295</v>
      </c>
      <c r="I1159" s="301"/>
      <c r="J1159" s="301"/>
      <c r="K1159" s="301"/>
      <c r="L1159" s="301"/>
      <c r="M1159" s="301"/>
      <c r="N1159" s="301"/>
      <c r="O1159" s="301"/>
      <c r="P1159" s="301"/>
      <c r="Q1159" s="301"/>
      <c r="R1159" s="301"/>
      <c r="S1159" s="301"/>
      <c r="T1159" s="301"/>
      <c r="U1159" s="301"/>
      <c r="V1159" s="301"/>
      <c r="W1159" s="301"/>
      <c r="X1159" s="301"/>
      <c r="Y1159" s="301"/>
      <c r="Z1159" s="301"/>
    </row>
    <row r="1160" spans="1:26" ht="14">
      <c r="A1160" s="298" t="s">
        <v>1606</v>
      </c>
      <c r="B1160" s="298" t="s">
        <v>10296</v>
      </c>
      <c r="C1160" s="299">
        <v>402</v>
      </c>
      <c r="D1160" s="298"/>
      <c r="E1160" s="298"/>
      <c r="F1160" s="300">
        <v>3204684697</v>
      </c>
      <c r="G1160" s="298">
        <v>1136882418</v>
      </c>
      <c r="H1160" s="298" t="s">
        <v>10239</v>
      </c>
      <c r="I1160" s="301"/>
      <c r="J1160" s="301"/>
      <c r="K1160" s="301"/>
      <c r="L1160" s="301"/>
      <c r="M1160" s="301"/>
      <c r="N1160" s="301"/>
      <c r="O1160" s="301"/>
      <c r="P1160" s="301"/>
      <c r="Q1160" s="301"/>
      <c r="R1160" s="301"/>
      <c r="S1160" s="301"/>
      <c r="T1160" s="301"/>
      <c r="U1160" s="301"/>
      <c r="V1160" s="301"/>
      <c r="W1160" s="301"/>
      <c r="X1160" s="301"/>
      <c r="Y1160" s="301"/>
      <c r="Z1160" s="301"/>
    </row>
    <row r="1161" spans="1:26" ht="14">
      <c r="A1161" s="298" t="s">
        <v>1608</v>
      </c>
      <c r="B1161" s="298" t="s">
        <v>10240</v>
      </c>
      <c r="C1161" s="299">
        <v>206</v>
      </c>
      <c r="D1161" s="298" t="s">
        <v>10241</v>
      </c>
      <c r="E1161" s="298"/>
      <c r="F1161" s="300">
        <v>3168291416</v>
      </c>
      <c r="G1161" s="298">
        <v>1018414467</v>
      </c>
      <c r="H1161" s="298" t="s">
        <v>10242</v>
      </c>
      <c r="I1161" s="301"/>
      <c r="J1161" s="301"/>
      <c r="K1161" s="301"/>
      <c r="L1161" s="301"/>
      <c r="M1161" s="301"/>
      <c r="N1161" s="301"/>
      <c r="O1161" s="301"/>
      <c r="P1161" s="301"/>
      <c r="Q1161" s="301"/>
      <c r="R1161" s="301"/>
      <c r="S1161" s="301"/>
      <c r="T1161" s="301"/>
      <c r="U1161" s="301"/>
      <c r="V1161" s="301"/>
      <c r="W1161" s="301"/>
      <c r="X1161" s="301"/>
      <c r="Y1161" s="301"/>
      <c r="Z1161" s="301"/>
    </row>
    <row r="1162" spans="1:26" ht="14">
      <c r="A1162" s="298" t="s">
        <v>1671</v>
      </c>
      <c r="B1162" s="298" t="s">
        <v>10297</v>
      </c>
      <c r="C1162" s="299">
        <v>201</v>
      </c>
      <c r="D1162" s="298"/>
      <c r="E1162" s="298"/>
      <c r="F1162" s="300">
        <v>3112405533</v>
      </c>
      <c r="G1162" s="298">
        <v>1020772168</v>
      </c>
      <c r="H1162" s="298" t="s">
        <v>10298</v>
      </c>
      <c r="I1162" s="301"/>
      <c r="J1162" s="301"/>
      <c r="K1162" s="301"/>
      <c r="L1162" s="301"/>
      <c r="M1162" s="301"/>
      <c r="N1162" s="301"/>
      <c r="O1162" s="301"/>
      <c r="P1162" s="301"/>
      <c r="Q1162" s="301"/>
      <c r="R1162" s="301"/>
      <c r="S1162" s="301"/>
      <c r="T1162" s="301"/>
      <c r="U1162" s="301"/>
      <c r="V1162" s="301"/>
      <c r="W1162" s="301"/>
      <c r="X1162" s="301"/>
      <c r="Y1162" s="301"/>
      <c r="Z1162" s="301"/>
    </row>
    <row r="1163" spans="1:26" ht="14">
      <c r="A1163" s="298" t="s">
        <v>1678</v>
      </c>
      <c r="B1163" s="298" t="s">
        <v>10299</v>
      </c>
      <c r="C1163" s="299">
        <v>302</v>
      </c>
      <c r="D1163" s="298"/>
      <c r="E1163" s="298"/>
      <c r="F1163" s="300">
        <v>3003938278</v>
      </c>
      <c r="G1163" s="298">
        <v>80203469</v>
      </c>
      <c r="H1163" s="298" t="s">
        <v>10300</v>
      </c>
      <c r="I1163" s="301"/>
      <c r="J1163" s="301"/>
      <c r="K1163" s="301"/>
      <c r="L1163" s="301"/>
      <c r="M1163" s="301"/>
      <c r="N1163" s="301"/>
      <c r="O1163" s="301"/>
      <c r="P1163" s="301"/>
      <c r="Q1163" s="301"/>
      <c r="R1163" s="301"/>
      <c r="S1163" s="301"/>
      <c r="T1163" s="301"/>
      <c r="U1163" s="301"/>
      <c r="V1163" s="301"/>
      <c r="W1163" s="301"/>
      <c r="X1163" s="301"/>
      <c r="Y1163" s="301"/>
      <c r="Z1163" s="301"/>
    </row>
    <row r="1164" spans="1:26" ht="14">
      <c r="A1164" s="298" t="s">
        <v>680</v>
      </c>
      <c r="B1164" s="298" t="s">
        <v>10301</v>
      </c>
      <c r="C1164" s="299">
        <v>204</v>
      </c>
      <c r="D1164" s="298" t="s">
        <v>10302</v>
      </c>
      <c r="E1164" s="298"/>
      <c r="F1164" s="300">
        <v>3115625547</v>
      </c>
      <c r="G1164" s="298">
        <v>1015405848</v>
      </c>
      <c r="H1164" s="298" t="s">
        <v>10303</v>
      </c>
      <c r="I1164" s="301"/>
      <c r="J1164" s="301"/>
      <c r="K1164" s="301"/>
      <c r="L1164" s="301"/>
      <c r="M1164" s="301"/>
      <c r="N1164" s="301"/>
      <c r="O1164" s="301"/>
      <c r="P1164" s="301"/>
      <c r="Q1164" s="301"/>
      <c r="R1164" s="301"/>
      <c r="S1164" s="301"/>
      <c r="T1164" s="301"/>
      <c r="U1164" s="301"/>
      <c r="V1164" s="301"/>
      <c r="W1164" s="301"/>
      <c r="X1164" s="301"/>
      <c r="Y1164" s="301"/>
      <c r="Z1164" s="301"/>
    </row>
    <row r="1165" spans="1:26" ht="14">
      <c r="A1165" s="298" t="s">
        <v>1683</v>
      </c>
      <c r="B1165" s="298" t="s">
        <v>10304</v>
      </c>
      <c r="C1165" s="299">
        <v>501</v>
      </c>
      <c r="D1165" s="298"/>
      <c r="E1165" s="298"/>
      <c r="F1165" s="300">
        <v>3195086349</v>
      </c>
      <c r="G1165" s="298">
        <v>1020724987</v>
      </c>
      <c r="H1165" s="298" t="s">
        <v>10305</v>
      </c>
      <c r="I1165" s="301"/>
      <c r="J1165" s="301"/>
      <c r="K1165" s="301"/>
      <c r="L1165" s="301"/>
      <c r="M1165" s="301"/>
      <c r="N1165" s="301"/>
      <c r="O1165" s="301"/>
      <c r="P1165" s="301"/>
      <c r="Q1165" s="301"/>
      <c r="R1165" s="301"/>
      <c r="S1165" s="301"/>
      <c r="T1165" s="301"/>
      <c r="U1165" s="301"/>
      <c r="V1165" s="301"/>
      <c r="W1165" s="301"/>
      <c r="X1165" s="301"/>
      <c r="Y1165" s="301"/>
      <c r="Z1165" s="301"/>
    </row>
    <row r="1166" spans="1:26" ht="14">
      <c r="A1166" s="298" t="s">
        <v>1686</v>
      </c>
      <c r="B1166" s="298" t="s">
        <v>10306</v>
      </c>
      <c r="C1166" s="299">
        <v>401</v>
      </c>
      <c r="D1166" s="298"/>
      <c r="E1166" s="298"/>
      <c r="F1166" s="300">
        <v>3113589273</v>
      </c>
      <c r="G1166" s="298">
        <v>1061796404</v>
      </c>
      <c r="H1166" s="298" t="s">
        <v>10307</v>
      </c>
      <c r="I1166" s="301"/>
      <c r="J1166" s="301"/>
      <c r="K1166" s="301"/>
      <c r="L1166" s="301"/>
      <c r="M1166" s="301"/>
      <c r="N1166" s="301"/>
      <c r="O1166" s="301"/>
      <c r="P1166" s="301"/>
      <c r="Q1166" s="301"/>
      <c r="R1166" s="301"/>
      <c r="S1166" s="301"/>
      <c r="T1166" s="301"/>
      <c r="U1166" s="301"/>
      <c r="V1166" s="301"/>
      <c r="W1166" s="301"/>
      <c r="X1166" s="301"/>
      <c r="Y1166" s="301"/>
      <c r="Z1166" s="301"/>
    </row>
    <row r="1167" spans="1:26" ht="14">
      <c r="A1167" s="298" t="s">
        <v>1688</v>
      </c>
      <c r="B1167" s="298" t="s">
        <v>10308</v>
      </c>
      <c r="C1167" s="299">
        <v>401</v>
      </c>
      <c r="D1167" s="298" t="s">
        <v>10309</v>
      </c>
      <c r="E1167" s="298"/>
      <c r="F1167" s="300">
        <v>3106195686</v>
      </c>
      <c r="G1167" s="298">
        <v>32256260</v>
      </c>
      <c r="H1167" s="298" t="s">
        <v>10310</v>
      </c>
      <c r="I1167" s="301"/>
      <c r="J1167" s="301"/>
      <c r="K1167" s="301"/>
      <c r="L1167" s="301"/>
      <c r="M1167" s="301"/>
      <c r="N1167" s="301"/>
      <c r="O1167" s="301"/>
      <c r="P1167" s="301"/>
      <c r="Q1167" s="301"/>
      <c r="R1167" s="301"/>
      <c r="S1167" s="301"/>
      <c r="T1167" s="301"/>
      <c r="U1167" s="301"/>
      <c r="V1167" s="301"/>
      <c r="W1167" s="301"/>
      <c r="X1167" s="301"/>
      <c r="Y1167" s="301"/>
      <c r="Z1167" s="301"/>
    </row>
    <row r="1168" spans="1:26" ht="14">
      <c r="A1168" s="298" t="s">
        <v>1690</v>
      </c>
      <c r="B1168" s="298" t="s">
        <v>10311</v>
      </c>
      <c r="C1168" s="299">
        <v>501</v>
      </c>
      <c r="D1168" s="298" t="s">
        <v>10312</v>
      </c>
      <c r="E1168" s="298"/>
      <c r="F1168" s="300">
        <v>3024232230</v>
      </c>
      <c r="G1168" s="298">
        <v>1128265336</v>
      </c>
      <c r="H1168" s="298" t="s">
        <v>10313</v>
      </c>
      <c r="I1168" s="301"/>
      <c r="J1168" s="301"/>
      <c r="K1168" s="301"/>
      <c r="L1168" s="301"/>
      <c r="M1168" s="301"/>
      <c r="N1168" s="301"/>
      <c r="O1168" s="301"/>
      <c r="P1168" s="301"/>
      <c r="Q1168" s="301"/>
      <c r="R1168" s="301"/>
      <c r="S1168" s="301"/>
      <c r="T1168" s="301"/>
      <c r="U1168" s="301"/>
      <c r="V1168" s="301"/>
      <c r="W1168" s="301"/>
      <c r="X1168" s="301"/>
      <c r="Y1168" s="301"/>
      <c r="Z1168" s="301"/>
    </row>
    <row r="1169" spans="1:26" ht="14">
      <c r="A1169" s="298" t="s">
        <v>1703</v>
      </c>
      <c r="B1169" s="298" t="s">
        <v>10314</v>
      </c>
      <c r="C1169" s="299">
        <v>601</v>
      </c>
      <c r="D1169" s="298" t="s">
        <v>10315</v>
      </c>
      <c r="E1169" s="298"/>
      <c r="F1169" s="300">
        <v>3002181826</v>
      </c>
      <c r="G1169" s="298">
        <v>63486331</v>
      </c>
      <c r="H1169" s="298" t="s">
        <v>10316</v>
      </c>
      <c r="I1169" s="301"/>
      <c r="J1169" s="301"/>
      <c r="K1169" s="301"/>
      <c r="L1169" s="301"/>
      <c r="M1169" s="301"/>
      <c r="N1169" s="301"/>
      <c r="O1169" s="301"/>
      <c r="P1169" s="301"/>
      <c r="Q1169" s="301"/>
      <c r="R1169" s="301"/>
      <c r="S1169" s="301"/>
      <c r="T1169" s="301"/>
      <c r="U1169" s="301"/>
      <c r="V1169" s="301"/>
      <c r="W1169" s="301"/>
      <c r="X1169" s="301"/>
      <c r="Y1169" s="301"/>
      <c r="Z1169" s="301"/>
    </row>
    <row r="1170" spans="1:26" ht="14">
      <c r="A1170" s="298" t="s">
        <v>1706</v>
      </c>
      <c r="B1170" s="298" t="s">
        <v>10317</v>
      </c>
      <c r="C1170" s="299">
        <v>103</v>
      </c>
      <c r="D1170" s="298" t="s">
        <v>10318</v>
      </c>
      <c r="E1170" s="298"/>
      <c r="F1170" s="300">
        <v>3163183968</v>
      </c>
      <c r="G1170" s="298">
        <v>80414281</v>
      </c>
      <c r="H1170" s="298" t="s">
        <v>10319</v>
      </c>
      <c r="I1170" s="301"/>
      <c r="J1170" s="301"/>
      <c r="K1170" s="301"/>
      <c r="L1170" s="301"/>
      <c r="M1170" s="301"/>
      <c r="N1170" s="301"/>
      <c r="O1170" s="301"/>
      <c r="P1170" s="301"/>
      <c r="Q1170" s="301"/>
      <c r="R1170" s="301"/>
      <c r="S1170" s="301"/>
      <c r="T1170" s="301"/>
      <c r="U1170" s="301"/>
      <c r="V1170" s="301"/>
      <c r="W1170" s="301"/>
      <c r="X1170" s="301"/>
      <c r="Y1170" s="301"/>
      <c r="Z1170" s="301"/>
    </row>
    <row r="1171" spans="1:26" ht="14">
      <c r="A1171" s="298" t="s">
        <v>1710</v>
      </c>
      <c r="B1171" s="298" t="s">
        <v>10320</v>
      </c>
      <c r="C1171" s="299">
        <v>405</v>
      </c>
      <c r="D1171" s="298" t="s">
        <v>10321</v>
      </c>
      <c r="E1171" s="298"/>
      <c r="F1171" s="300">
        <v>3103963227</v>
      </c>
      <c r="G1171" s="298">
        <v>1094916584</v>
      </c>
      <c r="H1171" s="298" t="s">
        <v>10322</v>
      </c>
      <c r="I1171" s="301"/>
      <c r="J1171" s="301"/>
      <c r="K1171" s="301"/>
      <c r="L1171" s="301"/>
      <c r="M1171" s="301"/>
      <c r="N1171" s="301"/>
      <c r="O1171" s="301"/>
      <c r="P1171" s="301"/>
      <c r="Q1171" s="301"/>
      <c r="R1171" s="301"/>
      <c r="S1171" s="301"/>
      <c r="T1171" s="301"/>
      <c r="U1171" s="301"/>
      <c r="V1171" s="301"/>
      <c r="W1171" s="301"/>
      <c r="X1171" s="301"/>
      <c r="Y1171" s="301"/>
      <c r="Z1171" s="301"/>
    </row>
    <row r="1172" spans="1:26" ht="14">
      <c r="A1172" s="298" t="s">
        <v>1712</v>
      </c>
      <c r="B1172" s="298" t="s">
        <v>10323</v>
      </c>
      <c r="C1172" s="299">
        <v>203</v>
      </c>
      <c r="D1172" s="298" t="s">
        <v>10324</v>
      </c>
      <c r="E1172" s="298"/>
      <c r="F1172" s="300">
        <v>3105758548</v>
      </c>
      <c r="G1172" s="298">
        <v>1020727828</v>
      </c>
      <c r="H1172" s="298" t="s">
        <v>10325</v>
      </c>
      <c r="I1172" s="301"/>
      <c r="J1172" s="301"/>
      <c r="K1172" s="301"/>
      <c r="L1172" s="301"/>
      <c r="M1172" s="301"/>
      <c r="N1172" s="301"/>
      <c r="O1172" s="301"/>
      <c r="P1172" s="301"/>
      <c r="Q1172" s="301"/>
      <c r="R1172" s="301"/>
      <c r="S1172" s="301"/>
      <c r="T1172" s="301"/>
      <c r="U1172" s="301"/>
      <c r="V1172" s="301"/>
      <c r="W1172" s="301"/>
      <c r="X1172" s="301"/>
      <c r="Y1172" s="301"/>
      <c r="Z1172" s="301"/>
    </row>
    <row r="1173" spans="1:26" ht="14">
      <c r="A1173" s="298" t="s">
        <v>1714</v>
      </c>
      <c r="B1173" s="298" t="s">
        <v>10326</v>
      </c>
      <c r="C1173" s="299">
        <v>1101</v>
      </c>
      <c r="D1173" s="298"/>
      <c r="E1173" s="298"/>
      <c r="F1173" s="300">
        <v>3208656135</v>
      </c>
      <c r="G1173" s="298">
        <v>80057508</v>
      </c>
      <c r="H1173" s="298" t="s">
        <v>10327</v>
      </c>
      <c r="I1173" s="301"/>
      <c r="J1173" s="301"/>
      <c r="K1173" s="301"/>
      <c r="L1173" s="301"/>
      <c r="M1173" s="301"/>
      <c r="N1173" s="301"/>
      <c r="O1173" s="301"/>
      <c r="P1173" s="301"/>
      <c r="Q1173" s="301"/>
      <c r="R1173" s="301"/>
      <c r="S1173" s="301"/>
      <c r="T1173" s="301"/>
      <c r="U1173" s="301"/>
      <c r="V1173" s="301"/>
      <c r="W1173" s="301"/>
      <c r="X1173" s="301"/>
      <c r="Y1173" s="301"/>
      <c r="Z1173" s="301"/>
    </row>
    <row r="1174" spans="1:26" ht="14">
      <c r="A1174" s="298" t="s">
        <v>1716</v>
      </c>
      <c r="B1174" s="298" t="s">
        <v>10328</v>
      </c>
      <c r="C1174" s="299">
        <v>501</v>
      </c>
      <c r="D1174" s="298"/>
      <c r="E1174" s="298"/>
      <c r="F1174" s="300">
        <v>3102108024</v>
      </c>
      <c r="G1174" s="298">
        <v>39681439</v>
      </c>
      <c r="H1174" s="298" t="s">
        <v>10329</v>
      </c>
      <c r="I1174" s="301"/>
      <c r="J1174" s="301"/>
      <c r="K1174" s="301"/>
      <c r="L1174" s="301"/>
      <c r="M1174" s="301"/>
      <c r="N1174" s="301"/>
      <c r="O1174" s="301"/>
      <c r="P1174" s="301"/>
      <c r="Q1174" s="301"/>
      <c r="R1174" s="301"/>
      <c r="S1174" s="301"/>
      <c r="T1174" s="301"/>
      <c r="U1174" s="301"/>
      <c r="V1174" s="301"/>
      <c r="W1174" s="301"/>
      <c r="X1174" s="301"/>
      <c r="Y1174" s="301"/>
      <c r="Z1174" s="301"/>
    </row>
    <row r="1175" spans="1:26" ht="14">
      <c r="A1175" s="298" t="s">
        <v>1719</v>
      </c>
      <c r="B1175" s="298" t="s">
        <v>10330</v>
      </c>
      <c r="C1175" s="299">
        <v>402</v>
      </c>
      <c r="D1175" s="298" t="s">
        <v>8237</v>
      </c>
      <c r="E1175" s="298"/>
      <c r="F1175" s="300">
        <v>3124494159</v>
      </c>
      <c r="G1175" s="298">
        <v>52699643</v>
      </c>
      <c r="H1175" s="298" t="s">
        <v>10331</v>
      </c>
      <c r="I1175" s="301"/>
      <c r="J1175" s="301"/>
      <c r="K1175" s="301"/>
      <c r="L1175" s="301"/>
      <c r="M1175" s="301"/>
      <c r="N1175" s="301"/>
      <c r="O1175" s="301"/>
      <c r="P1175" s="301"/>
      <c r="Q1175" s="301"/>
      <c r="R1175" s="301"/>
      <c r="S1175" s="301"/>
      <c r="T1175" s="301"/>
      <c r="U1175" s="301"/>
      <c r="V1175" s="301"/>
      <c r="W1175" s="301"/>
      <c r="X1175" s="301"/>
      <c r="Y1175" s="301"/>
      <c r="Z1175" s="301"/>
    </row>
    <row r="1176" spans="1:26" ht="14">
      <c r="A1176" s="298" t="s">
        <v>1724</v>
      </c>
      <c r="B1176" s="298" t="s">
        <v>10332</v>
      </c>
      <c r="C1176" s="299"/>
      <c r="D1176" s="298"/>
      <c r="E1176" s="298"/>
      <c r="F1176" s="300">
        <v>320418791</v>
      </c>
      <c r="G1176" s="298">
        <v>1020726173</v>
      </c>
      <c r="H1176" s="298" t="s">
        <v>10333</v>
      </c>
      <c r="I1176" s="301"/>
      <c r="J1176" s="301"/>
      <c r="K1176" s="301"/>
      <c r="L1176" s="301"/>
      <c r="M1176" s="301"/>
      <c r="N1176" s="301"/>
      <c r="O1176" s="301"/>
      <c r="P1176" s="301"/>
      <c r="Q1176" s="301"/>
      <c r="R1176" s="301"/>
      <c r="S1176" s="301"/>
      <c r="T1176" s="301"/>
      <c r="U1176" s="301"/>
      <c r="V1176" s="301"/>
      <c r="W1176" s="301"/>
      <c r="X1176" s="301"/>
      <c r="Y1176" s="301"/>
      <c r="Z1176" s="301"/>
    </row>
    <row r="1177" spans="1:26" ht="14">
      <c r="A1177" s="298" t="s">
        <v>1592</v>
      </c>
      <c r="B1177" s="298" t="s">
        <v>10334</v>
      </c>
      <c r="C1177" s="299">
        <v>102</v>
      </c>
      <c r="D1177" s="298"/>
      <c r="E1177" s="298"/>
      <c r="F1177" s="300">
        <v>3187343531</v>
      </c>
      <c r="G1177" s="298">
        <v>79941432</v>
      </c>
      <c r="H1177" s="298" t="s">
        <v>10335</v>
      </c>
      <c r="I1177" s="301"/>
      <c r="J1177" s="301"/>
      <c r="K1177" s="301"/>
      <c r="L1177" s="301"/>
      <c r="M1177" s="301"/>
      <c r="N1177" s="301"/>
      <c r="O1177" s="301"/>
      <c r="P1177" s="301"/>
      <c r="Q1177" s="301"/>
      <c r="R1177" s="301"/>
      <c r="S1177" s="301"/>
      <c r="T1177" s="301"/>
      <c r="U1177" s="301"/>
      <c r="V1177" s="301"/>
      <c r="W1177" s="301"/>
      <c r="X1177" s="301"/>
      <c r="Y1177" s="301"/>
      <c r="Z1177" s="301"/>
    </row>
    <row r="1178" spans="1:26" ht="14">
      <c r="A1178" s="298" t="s">
        <v>1731</v>
      </c>
      <c r="B1178" s="298" t="s">
        <v>10336</v>
      </c>
      <c r="C1178" s="299">
        <v>201</v>
      </c>
      <c r="D1178" s="298"/>
      <c r="E1178" s="298"/>
      <c r="F1178" s="300">
        <v>3102365325</v>
      </c>
      <c r="G1178" s="298">
        <v>51661723</v>
      </c>
      <c r="H1178" s="298" t="s">
        <v>10337</v>
      </c>
      <c r="I1178" s="301"/>
      <c r="J1178" s="301"/>
      <c r="K1178" s="301"/>
      <c r="L1178" s="301"/>
      <c r="M1178" s="301"/>
      <c r="N1178" s="301"/>
      <c r="O1178" s="301"/>
      <c r="P1178" s="301"/>
      <c r="Q1178" s="301"/>
      <c r="R1178" s="301"/>
      <c r="S1178" s="301"/>
      <c r="T1178" s="301"/>
      <c r="U1178" s="301"/>
      <c r="V1178" s="301"/>
      <c r="W1178" s="301"/>
      <c r="X1178" s="301"/>
      <c r="Y1178" s="301"/>
      <c r="Z1178" s="301"/>
    </row>
    <row r="1179" spans="1:26" ht="14">
      <c r="A1179" s="298" t="s">
        <v>1733</v>
      </c>
      <c r="B1179" s="298" t="s">
        <v>10338</v>
      </c>
      <c r="C1179" s="299">
        <v>305</v>
      </c>
      <c r="D1179" s="298"/>
      <c r="E1179" s="298"/>
      <c r="F1179" s="300">
        <v>3143000088</v>
      </c>
      <c r="G1179" s="298">
        <v>80090083</v>
      </c>
      <c r="H1179" s="298" t="s">
        <v>10339</v>
      </c>
      <c r="I1179" s="301"/>
      <c r="J1179" s="301"/>
      <c r="K1179" s="301"/>
      <c r="L1179" s="301"/>
      <c r="M1179" s="301"/>
      <c r="N1179" s="301"/>
      <c r="O1179" s="301"/>
      <c r="P1179" s="301"/>
      <c r="Q1179" s="301"/>
      <c r="R1179" s="301"/>
      <c r="S1179" s="301"/>
      <c r="T1179" s="301"/>
      <c r="U1179" s="301"/>
      <c r="V1179" s="301"/>
      <c r="W1179" s="301"/>
      <c r="X1179" s="301"/>
      <c r="Y1179" s="301"/>
      <c r="Z1179" s="301"/>
    </row>
    <row r="1180" spans="1:26" ht="14">
      <c r="A1180" s="298" t="s">
        <v>1744</v>
      </c>
      <c r="B1180" s="298" t="s">
        <v>10340</v>
      </c>
      <c r="C1180" s="299">
        <v>304</v>
      </c>
      <c r="D1180" s="298" t="s">
        <v>10341</v>
      </c>
      <c r="E1180" s="298"/>
      <c r="F1180" s="300">
        <v>3187548306</v>
      </c>
      <c r="G1180" s="298">
        <v>43983300</v>
      </c>
      <c r="H1180" s="298" t="s">
        <v>10342</v>
      </c>
      <c r="I1180" s="301"/>
      <c r="J1180" s="301"/>
      <c r="K1180" s="301"/>
      <c r="L1180" s="301"/>
      <c r="M1180" s="301"/>
      <c r="N1180" s="301"/>
      <c r="O1180" s="301"/>
      <c r="P1180" s="301"/>
      <c r="Q1180" s="301"/>
      <c r="R1180" s="301"/>
      <c r="S1180" s="301"/>
      <c r="T1180" s="301"/>
      <c r="U1180" s="301"/>
      <c r="V1180" s="301"/>
      <c r="W1180" s="301"/>
      <c r="X1180" s="301"/>
      <c r="Y1180" s="301"/>
      <c r="Z1180" s="301"/>
    </row>
    <row r="1181" spans="1:26" ht="14">
      <c r="A1181" s="298" t="s">
        <v>1747</v>
      </c>
      <c r="B1181" s="298" t="s">
        <v>10343</v>
      </c>
      <c r="C1181" s="299">
        <v>901</v>
      </c>
      <c r="D1181" s="298" t="s">
        <v>10344</v>
      </c>
      <c r="E1181" s="298"/>
      <c r="F1181" s="300">
        <v>3155386449</v>
      </c>
      <c r="G1181" s="298">
        <v>245160</v>
      </c>
      <c r="H1181" s="298" t="s">
        <v>10345</v>
      </c>
      <c r="I1181" s="301"/>
      <c r="J1181" s="301"/>
      <c r="K1181" s="301"/>
      <c r="L1181" s="301"/>
      <c r="M1181" s="301"/>
      <c r="N1181" s="301"/>
      <c r="O1181" s="301"/>
      <c r="P1181" s="301"/>
      <c r="Q1181" s="301"/>
      <c r="R1181" s="301"/>
      <c r="S1181" s="301"/>
      <c r="T1181" s="301"/>
      <c r="U1181" s="301"/>
      <c r="V1181" s="301"/>
      <c r="W1181" s="301"/>
      <c r="X1181" s="301"/>
      <c r="Y1181" s="301"/>
      <c r="Z1181" s="301"/>
    </row>
    <row r="1182" spans="1:26" ht="14">
      <c r="A1182" s="298" t="s">
        <v>1749</v>
      </c>
      <c r="B1182" s="298" t="s">
        <v>10346</v>
      </c>
      <c r="C1182" s="299">
        <v>505</v>
      </c>
      <c r="D1182" s="298" t="s">
        <v>10347</v>
      </c>
      <c r="E1182" s="298"/>
      <c r="F1182" s="300">
        <v>3185894475</v>
      </c>
      <c r="G1182" s="298">
        <v>51656775</v>
      </c>
      <c r="H1182" s="298" t="s">
        <v>10348</v>
      </c>
      <c r="I1182" s="301"/>
      <c r="J1182" s="301"/>
      <c r="K1182" s="301"/>
      <c r="L1182" s="301"/>
      <c r="M1182" s="301"/>
      <c r="N1182" s="301"/>
      <c r="O1182" s="301"/>
      <c r="P1182" s="301"/>
      <c r="Q1182" s="301"/>
      <c r="R1182" s="301"/>
      <c r="S1182" s="301"/>
      <c r="T1182" s="301"/>
      <c r="U1182" s="301"/>
      <c r="V1182" s="301"/>
      <c r="W1182" s="301"/>
      <c r="X1182" s="301"/>
      <c r="Y1182" s="301"/>
      <c r="Z1182" s="301"/>
    </row>
    <row r="1183" spans="1:26" ht="14">
      <c r="A1183" s="298" t="s">
        <v>1757</v>
      </c>
      <c r="B1183" s="298" t="s">
        <v>10349</v>
      </c>
      <c r="C1183" s="299">
        <v>308</v>
      </c>
      <c r="D1183" s="298" t="s">
        <v>10350</v>
      </c>
      <c r="E1183" s="298"/>
      <c r="F1183" s="300">
        <v>3202084669</v>
      </c>
      <c r="G1183" s="298">
        <v>1130665956</v>
      </c>
      <c r="H1183" s="298" t="s">
        <v>10351</v>
      </c>
      <c r="I1183" s="301"/>
      <c r="J1183" s="301"/>
      <c r="K1183" s="301"/>
      <c r="L1183" s="301"/>
      <c r="M1183" s="301"/>
      <c r="N1183" s="301"/>
      <c r="O1183" s="301"/>
      <c r="P1183" s="301"/>
      <c r="Q1183" s="301"/>
      <c r="R1183" s="301"/>
      <c r="S1183" s="301"/>
      <c r="T1183" s="301"/>
      <c r="U1183" s="301"/>
      <c r="V1183" s="301"/>
      <c r="W1183" s="301"/>
      <c r="X1183" s="301"/>
      <c r="Y1183" s="301"/>
      <c r="Z1183" s="301"/>
    </row>
    <row r="1184" spans="1:26" ht="14">
      <c r="A1184" s="298" t="s">
        <v>1759</v>
      </c>
      <c r="B1184" s="298" t="s">
        <v>10352</v>
      </c>
      <c r="C1184" s="299">
        <v>506</v>
      </c>
      <c r="D1184" s="298" t="s">
        <v>10353</v>
      </c>
      <c r="E1184" s="298"/>
      <c r="F1184" s="300">
        <v>3156495470</v>
      </c>
      <c r="G1184" s="298">
        <v>80086324</v>
      </c>
      <c r="H1184" s="298" t="s">
        <v>10354</v>
      </c>
      <c r="I1184" s="301"/>
      <c r="J1184" s="301"/>
      <c r="K1184" s="301"/>
      <c r="L1184" s="301"/>
      <c r="M1184" s="301"/>
      <c r="N1184" s="301"/>
      <c r="O1184" s="301"/>
      <c r="P1184" s="301"/>
      <c r="Q1184" s="301"/>
      <c r="R1184" s="301"/>
      <c r="S1184" s="301"/>
      <c r="T1184" s="301"/>
      <c r="U1184" s="301"/>
      <c r="V1184" s="301"/>
      <c r="W1184" s="301"/>
      <c r="X1184" s="301"/>
      <c r="Y1184" s="301"/>
      <c r="Z1184" s="301"/>
    </row>
    <row r="1185" spans="1:26" ht="14">
      <c r="A1185" s="298" t="s">
        <v>1767</v>
      </c>
      <c r="B1185" s="298" t="s">
        <v>10355</v>
      </c>
      <c r="C1185" s="299" t="s">
        <v>10356</v>
      </c>
      <c r="D1185" s="298"/>
      <c r="E1185" s="298"/>
      <c r="F1185" s="300">
        <v>3003469717</v>
      </c>
      <c r="G1185" s="298">
        <v>1110512353</v>
      </c>
      <c r="H1185" s="298" t="s">
        <v>10357</v>
      </c>
      <c r="I1185" s="301"/>
      <c r="J1185" s="301"/>
      <c r="K1185" s="301"/>
      <c r="L1185" s="301"/>
      <c r="M1185" s="301"/>
      <c r="N1185" s="301"/>
      <c r="O1185" s="301"/>
      <c r="P1185" s="301"/>
      <c r="Q1185" s="301"/>
      <c r="R1185" s="301"/>
      <c r="S1185" s="301"/>
      <c r="T1185" s="301"/>
      <c r="U1185" s="301"/>
      <c r="V1185" s="301"/>
      <c r="W1185" s="301"/>
      <c r="X1185" s="301"/>
      <c r="Y1185" s="301"/>
      <c r="Z1185" s="301"/>
    </row>
    <row r="1186" spans="1:26" ht="14">
      <c r="A1186" s="298" t="s">
        <v>1769</v>
      </c>
      <c r="B1186" s="298" t="s">
        <v>10358</v>
      </c>
      <c r="C1186" s="299">
        <v>701</v>
      </c>
      <c r="D1186" s="298" t="s">
        <v>10359</v>
      </c>
      <c r="E1186" s="298"/>
      <c r="F1186" s="300">
        <v>3168659394</v>
      </c>
      <c r="G1186" s="298">
        <v>52618549</v>
      </c>
      <c r="H1186" s="298" t="s">
        <v>10360</v>
      </c>
      <c r="I1186" s="301"/>
      <c r="J1186" s="301"/>
      <c r="K1186" s="301"/>
      <c r="L1186" s="301"/>
      <c r="M1186" s="301"/>
      <c r="N1186" s="301"/>
      <c r="O1186" s="301"/>
      <c r="P1186" s="301"/>
      <c r="Q1186" s="301"/>
      <c r="R1186" s="301"/>
      <c r="S1186" s="301"/>
      <c r="T1186" s="301"/>
      <c r="U1186" s="301"/>
      <c r="V1186" s="301"/>
      <c r="W1186" s="301"/>
      <c r="X1186" s="301"/>
      <c r="Y1186" s="301"/>
      <c r="Z1186" s="301"/>
    </row>
    <row r="1187" spans="1:26" ht="14">
      <c r="A1187" s="298" t="s">
        <v>1771</v>
      </c>
      <c r="B1187" s="298" t="s">
        <v>10361</v>
      </c>
      <c r="C1187" s="299">
        <v>1004</v>
      </c>
      <c r="D1187" s="298" t="s">
        <v>10362</v>
      </c>
      <c r="E1187" s="298"/>
      <c r="F1187" s="300">
        <v>3112291934</v>
      </c>
      <c r="G1187" s="298">
        <v>53167305</v>
      </c>
      <c r="H1187" s="298" t="s">
        <v>10363</v>
      </c>
      <c r="I1187" s="301"/>
      <c r="J1187" s="301"/>
      <c r="K1187" s="301"/>
      <c r="L1187" s="301"/>
      <c r="M1187" s="301"/>
      <c r="N1187" s="301"/>
      <c r="O1187" s="301"/>
      <c r="P1187" s="301"/>
      <c r="Q1187" s="301"/>
      <c r="R1187" s="301"/>
      <c r="S1187" s="301"/>
      <c r="T1187" s="301"/>
      <c r="U1187" s="301"/>
      <c r="V1187" s="301"/>
      <c r="W1187" s="301"/>
      <c r="X1187" s="301"/>
      <c r="Y1187" s="301"/>
      <c r="Z1187" s="301"/>
    </row>
    <row r="1188" spans="1:26" ht="14">
      <c r="A1188" s="298" t="s">
        <v>1773</v>
      </c>
      <c r="B1188" s="298" t="s">
        <v>10364</v>
      </c>
      <c r="C1188" s="299">
        <v>102</v>
      </c>
      <c r="D1188" s="298"/>
      <c r="E1188" s="298"/>
      <c r="F1188" s="300">
        <v>3103099034</v>
      </c>
      <c r="G1188" s="298">
        <v>41514173</v>
      </c>
      <c r="H1188" s="298" t="s">
        <v>10365</v>
      </c>
      <c r="I1188" s="301"/>
      <c r="J1188" s="301"/>
      <c r="K1188" s="301"/>
      <c r="L1188" s="301"/>
      <c r="M1188" s="301"/>
      <c r="N1188" s="301"/>
      <c r="O1188" s="301"/>
      <c r="P1188" s="301"/>
      <c r="Q1188" s="301"/>
      <c r="R1188" s="301"/>
      <c r="S1188" s="301"/>
      <c r="T1188" s="301"/>
      <c r="U1188" s="301"/>
      <c r="V1188" s="301"/>
      <c r="W1188" s="301"/>
      <c r="X1188" s="301"/>
      <c r="Y1188" s="301"/>
      <c r="Z1188" s="301"/>
    </row>
    <row r="1189" spans="1:26" ht="14">
      <c r="A1189" s="298" t="s">
        <v>1775</v>
      </c>
      <c r="B1189" s="298" t="s">
        <v>10366</v>
      </c>
      <c r="C1189" s="299">
        <v>202</v>
      </c>
      <c r="D1189" s="298" t="s">
        <v>10367</v>
      </c>
      <c r="E1189" s="298"/>
      <c r="F1189" s="300">
        <v>3008121201</v>
      </c>
      <c r="G1189" s="298">
        <v>1032359065</v>
      </c>
      <c r="H1189" s="298" t="s">
        <v>10368</v>
      </c>
      <c r="I1189" s="301"/>
      <c r="J1189" s="301"/>
      <c r="K1189" s="301"/>
      <c r="L1189" s="301"/>
      <c r="M1189" s="301"/>
      <c r="N1189" s="301"/>
      <c r="O1189" s="301"/>
      <c r="P1189" s="301"/>
      <c r="Q1189" s="301"/>
      <c r="R1189" s="301"/>
      <c r="S1189" s="301"/>
      <c r="T1189" s="301"/>
      <c r="U1189" s="301"/>
      <c r="V1189" s="301"/>
      <c r="W1189" s="301"/>
      <c r="X1189" s="301"/>
      <c r="Y1189" s="301"/>
      <c r="Z1189" s="301"/>
    </row>
    <row r="1190" spans="1:26" ht="14">
      <c r="A1190" s="298" t="s">
        <v>493</v>
      </c>
      <c r="B1190" s="298" t="s">
        <v>10369</v>
      </c>
      <c r="C1190" s="299">
        <v>801</v>
      </c>
      <c r="D1190" s="298" t="s">
        <v>10370</v>
      </c>
      <c r="E1190" s="298"/>
      <c r="F1190" s="300">
        <v>3153200299</v>
      </c>
      <c r="G1190" s="298">
        <v>79621246</v>
      </c>
      <c r="H1190" s="298" t="s">
        <v>10371</v>
      </c>
      <c r="I1190" s="301"/>
      <c r="J1190" s="301"/>
      <c r="K1190" s="301"/>
      <c r="L1190" s="301"/>
      <c r="M1190" s="301"/>
      <c r="N1190" s="301"/>
      <c r="O1190" s="301"/>
      <c r="P1190" s="301"/>
      <c r="Q1190" s="301"/>
      <c r="R1190" s="301"/>
      <c r="S1190" s="301"/>
      <c r="T1190" s="301"/>
      <c r="U1190" s="301"/>
      <c r="V1190" s="301"/>
      <c r="W1190" s="301"/>
      <c r="X1190" s="301"/>
      <c r="Y1190" s="301"/>
      <c r="Z1190" s="301"/>
    </row>
    <row r="1191" spans="1:26" ht="14">
      <c r="A1191" s="298" t="s">
        <v>1781</v>
      </c>
      <c r="B1191" s="298" t="s">
        <v>10372</v>
      </c>
      <c r="C1191" s="299">
        <v>304</v>
      </c>
      <c r="D1191" s="298"/>
      <c r="E1191" s="298"/>
      <c r="F1191" s="300">
        <v>3112273952</v>
      </c>
      <c r="G1191" s="298">
        <v>52418164</v>
      </c>
      <c r="H1191" s="298" t="s">
        <v>10373</v>
      </c>
      <c r="I1191" s="301"/>
      <c r="J1191" s="301"/>
      <c r="K1191" s="301"/>
      <c r="L1191" s="301"/>
      <c r="M1191" s="301"/>
      <c r="N1191" s="301"/>
      <c r="O1191" s="301"/>
      <c r="P1191" s="301"/>
      <c r="Q1191" s="301"/>
      <c r="R1191" s="301"/>
      <c r="S1191" s="301"/>
      <c r="T1191" s="301"/>
      <c r="U1191" s="301"/>
      <c r="V1191" s="301"/>
      <c r="W1191" s="301"/>
      <c r="X1191" s="301"/>
      <c r="Y1191" s="301"/>
      <c r="Z1191" s="301"/>
    </row>
    <row r="1192" spans="1:26" ht="14">
      <c r="A1192" s="298" t="s">
        <v>1783</v>
      </c>
      <c r="B1192" s="298" t="s">
        <v>10374</v>
      </c>
      <c r="C1192" s="299"/>
      <c r="D1192" s="298" t="s">
        <v>10375</v>
      </c>
      <c r="E1192" s="298"/>
      <c r="F1192" s="300">
        <v>3114621205</v>
      </c>
      <c r="G1192" s="298">
        <v>5727167</v>
      </c>
      <c r="H1192" s="298" t="s">
        <v>10376</v>
      </c>
      <c r="I1192" s="301"/>
      <c r="J1192" s="301"/>
      <c r="K1192" s="301"/>
      <c r="L1192" s="301"/>
      <c r="M1192" s="301"/>
      <c r="N1192" s="301"/>
      <c r="O1192" s="301"/>
      <c r="P1192" s="301"/>
      <c r="Q1192" s="301"/>
      <c r="R1192" s="301"/>
      <c r="S1192" s="301"/>
      <c r="T1192" s="301"/>
      <c r="U1192" s="301"/>
      <c r="V1192" s="301"/>
      <c r="W1192" s="301"/>
      <c r="X1192" s="301"/>
      <c r="Y1192" s="301"/>
      <c r="Z1192" s="301"/>
    </row>
    <row r="1193" spans="1:26" ht="14">
      <c r="A1193" s="298" t="s">
        <v>1786</v>
      </c>
      <c r="B1193" s="298" t="s">
        <v>10377</v>
      </c>
      <c r="C1193" s="299">
        <v>401</v>
      </c>
      <c r="D1193" s="298" t="s">
        <v>10378</v>
      </c>
      <c r="E1193" s="298"/>
      <c r="F1193" s="300">
        <v>3168764535</v>
      </c>
      <c r="G1193" s="298">
        <v>52804951</v>
      </c>
      <c r="H1193" s="298" t="s">
        <v>10379</v>
      </c>
      <c r="I1193" s="301"/>
      <c r="J1193" s="301"/>
      <c r="K1193" s="301"/>
      <c r="L1193" s="301"/>
      <c r="M1193" s="301"/>
      <c r="N1193" s="301"/>
      <c r="O1193" s="301"/>
      <c r="P1193" s="301"/>
      <c r="Q1193" s="301"/>
      <c r="R1193" s="301"/>
      <c r="S1193" s="301"/>
      <c r="T1193" s="301"/>
      <c r="U1193" s="301"/>
      <c r="V1193" s="301"/>
      <c r="W1193" s="301"/>
      <c r="X1193" s="301"/>
      <c r="Y1193" s="301"/>
      <c r="Z1193" s="301"/>
    </row>
    <row r="1194" spans="1:26" ht="14">
      <c r="A1194" s="298" t="s">
        <v>1788</v>
      </c>
      <c r="B1194" s="298" t="s">
        <v>10380</v>
      </c>
      <c r="C1194" s="299">
        <v>502</v>
      </c>
      <c r="D1194" s="298"/>
      <c r="E1194" s="298"/>
      <c r="F1194" s="300">
        <v>3219980625</v>
      </c>
      <c r="G1194" s="298">
        <v>51891808</v>
      </c>
      <c r="H1194" s="298" t="s">
        <v>10381</v>
      </c>
      <c r="I1194" s="301"/>
      <c r="J1194" s="301"/>
      <c r="K1194" s="301"/>
      <c r="L1194" s="301"/>
      <c r="M1194" s="301"/>
      <c r="N1194" s="301"/>
      <c r="O1194" s="301"/>
      <c r="P1194" s="301"/>
      <c r="Q1194" s="301"/>
      <c r="R1194" s="301"/>
      <c r="S1194" s="301"/>
      <c r="T1194" s="301"/>
      <c r="U1194" s="301"/>
      <c r="V1194" s="301"/>
      <c r="W1194" s="301"/>
      <c r="X1194" s="301"/>
      <c r="Y1194" s="301"/>
      <c r="Z1194" s="301"/>
    </row>
    <row r="1195" spans="1:26" ht="14">
      <c r="A1195" s="298" t="s">
        <v>1790</v>
      </c>
      <c r="B1195" s="298" t="s">
        <v>10382</v>
      </c>
      <c r="C1195" s="299">
        <v>406</v>
      </c>
      <c r="D1195" s="298"/>
      <c r="E1195" s="298"/>
      <c r="F1195" s="300">
        <v>3208544726</v>
      </c>
      <c r="G1195" s="298">
        <v>52415026</v>
      </c>
      <c r="H1195" s="298" t="s">
        <v>10383</v>
      </c>
      <c r="I1195" s="301"/>
      <c r="J1195" s="301"/>
      <c r="K1195" s="301"/>
      <c r="L1195" s="301"/>
      <c r="M1195" s="301"/>
      <c r="N1195" s="301"/>
      <c r="O1195" s="301"/>
      <c r="P1195" s="301"/>
      <c r="Q1195" s="301"/>
      <c r="R1195" s="301"/>
      <c r="S1195" s="301"/>
      <c r="T1195" s="301"/>
      <c r="U1195" s="301"/>
      <c r="V1195" s="301"/>
      <c r="W1195" s="301"/>
      <c r="X1195" s="301"/>
      <c r="Y1195" s="301"/>
      <c r="Z1195" s="301"/>
    </row>
    <row r="1196" spans="1:26" ht="14">
      <c r="A1196" s="298" t="s">
        <v>1792</v>
      </c>
      <c r="B1196" s="298" t="s">
        <v>10384</v>
      </c>
      <c r="C1196" s="299">
        <v>104</v>
      </c>
      <c r="D1196" s="298" t="s">
        <v>10385</v>
      </c>
      <c r="E1196" s="298"/>
      <c r="F1196" s="300">
        <v>3183931333</v>
      </c>
      <c r="G1196" s="298">
        <v>1025060292</v>
      </c>
      <c r="H1196" s="298" t="s">
        <v>10386</v>
      </c>
      <c r="I1196" s="301"/>
      <c r="J1196" s="301"/>
      <c r="K1196" s="301"/>
      <c r="L1196" s="301"/>
      <c r="M1196" s="301"/>
      <c r="N1196" s="301"/>
      <c r="O1196" s="301"/>
      <c r="P1196" s="301"/>
      <c r="Q1196" s="301"/>
      <c r="R1196" s="301"/>
      <c r="S1196" s="301"/>
      <c r="T1196" s="301"/>
      <c r="U1196" s="301"/>
      <c r="V1196" s="301"/>
      <c r="W1196" s="301"/>
      <c r="X1196" s="301"/>
      <c r="Y1196" s="301"/>
      <c r="Z1196" s="301"/>
    </row>
    <row r="1197" spans="1:26" ht="14">
      <c r="A1197" s="298" t="s">
        <v>1794</v>
      </c>
      <c r="B1197" s="298" t="s">
        <v>10387</v>
      </c>
      <c r="C1197" s="299">
        <v>701</v>
      </c>
      <c r="D1197" s="298" t="s">
        <v>10388</v>
      </c>
      <c r="E1197" s="298"/>
      <c r="F1197" s="300">
        <v>3013712964</v>
      </c>
      <c r="G1197" s="298">
        <v>1061693473</v>
      </c>
      <c r="H1197" s="298" t="s">
        <v>10389</v>
      </c>
      <c r="I1197" s="301"/>
      <c r="J1197" s="301"/>
      <c r="K1197" s="301"/>
      <c r="L1197" s="301"/>
      <c r="M1197" s="301"/>
      <c r="N1197" s="301"/>
      <c r="O1197" s="301"/>
      <c r="P1197" s="301"/>
      <c r="Q1197" s="301"/>
      <c r="R1197" s="301"/>
      <c r="S1197" s="301"/>
      <c r="T1197" s="301"/>
      <c r="U1197" s="301"/>
      <c r="V1197" s="301"/>
      <c r="W1197" s="301"/>
      <c r="X1197" s="301"/>
      <c r="Y1197" s="301"/>
      <c r="Z1197" s="301"/>
    </row>
    <row r="1198" spans="1:26" ht="14">
      <c r="A1198" s="298" t="s">
        <v>1797</v>
      </c>
      <c r="B1198" s="298" t="s">
        <v>10390</v>
      </c>
      <c r="C1198" s="299">
        <v>224</v>
      </c>
      <c r="D1198" s="298" t="s">
        <v>10391</v>
      </c>
      <c r="E1198" s="298"/>
      <c r="F1198" s="300">
        <v>3108161851</v>
      </c>
      <c r="G1198" s="298">
        <v>1026261221</v>
      </c>
      <c r="H1198" s="298" t="s">
        <v>10392</v>
      </c>
      <c r="I1198" s="301"/>
      <c r="J1198" s="301"/>
      <c r="K1198" s="301"/>
      <c r="L1198" s="301"/>
      <c r="M1198" s="301"/>
      <c r="N1198" s="301"/>
      <c r="O1198" s="301"/>
      <c r="P1198" s="301"/>
      <c r="Q1198" s="301"/>
      <c r="R1198" s="301"/>
      <c r="S1198" s="301"/>
      <c r="T1198" s="301"/>
      <c r="U1198" s="301"/>
      <c r="V1198" s="301"/>
      <c r="W1198" s="301"/>
      <c r="X1198" s="301"/>
      <c r="Y1198" s="301"/>
      <c r="Z1198" s="301"/>
    </row>
    <row r="1199" spans="1:26" ht="14">
      <c r="A1199" s="298" t="s">
        <v>1810</v>
      </c>
      <c r="B1199" s="298" t="s">
        <v>10393</v>
      </c>
      <c r="C1199" s="299">
        <v>102</v>
      </c>
      <c r="D1199" s="298"/>
      <c r="E1199" s="298"/>
      <c r="F1199" s="300">
        <v>3004195871</v>
      </c>
      <c r="G1199" s="298">
        <v>1020797422</v>
      </c>
      <c r="H1199" s="298" t="s">
        <v>10394</v>
      </c>
      <c r="I1199" s="301"/>
      <c r="J1199" s="301"/>
      <c r="K1199" s="301"/>
      <c r="L1199" s="301"/>
      <c r="M1199" s="301"/>
      <c r="N1199" s="301"/>
      <c r="O1199" s="301"/>
      <c r="P1199" s="301"/>
      <c r="Q1199" s="301"/>
      <c r="R1199" s="301"/>
      <c r="S1199" s="301"/>
      <c r="T1199" s="301"/>
      <c r="U1199" s="301"/>
      <c r="V1199" s="301"/>
      <c r="W1199" s="301"/>
      <c r="X1199" s="301"/>
      <c r="Y1199" s="301"/>
      <c r="Z1199" s="301"/>
    </row>
    <row r="1200" spans="1:26" ht="14">
      <c r="A1200" s="298" t="s">
        <v>1812</v>
      </c>
      <c r="B1200" s="298" t="s">
        <v>10395</v>
      </c>
      <c r="C1200" s="299">
        <v>810</v>
      </c>
      <c r="D1200" s="298" t="s">
        <v>10396</v>
      </c>
      <c r="E1200" s="298"/>
      <c r="F1200" s="300">
        <v>3166221211</v>
      </c>
      <c r="G1200" s="298">
        <v>1061745202</v>
      </c>
      <c r="H1200" s="298" t="s">
        <v>10397</v>
      </c>
      <c r="I1200" s="301"/>
      <c r="J1200" s="301"/>
      <c r="K1200" s="301"/>
      <c r="L1200" s="301"/>
      <c r="M1200" s="301"/>
      <c r="N1200" s="301"/>
      <c r="O1200" s="301"/>
      <c r="P1200" s="301"/>
      <c r="Q1200" s="301"/>
      <c r="R1200" s="301"/>
      <c r="S1200" s="301"/>
      <c r="T1200" s="301"/>
      <c r="U1200" s="301"/>
      <c r="V1200" s="301"/>
      <c r="W1200" s="301"/>
      <c r="X1200" s="301"/>
      <c r="Y1200" s="301"/>
      <c r="Z1200" s="301"/>
    </row>
    <row r="1201" spans="1:26" ht="14">
      <c r="A1201" s="298" t="s">
        <v>1815</v>
      </c>
      <c r="B1201" s="298" t="s">
        <v>10398</v>
      </c>
      <c r="C1201" s="299">
        <v>1003</v>
      </c>
      <c r="D1201" s="298" t="s">
        <v>10399</v>
      </c>
      <c r="E1201" s="298"/>
      <c r="F1201" s="300">
        <v>3005512529</v>
      </c>
      <c r="G1201" s="298">
        <v>1010222729</v>
      </c>
      <c r="H1201" s="298" t="s">
        <v>10400</v>
      </c>
      <c r="I1201" s="301"/>
      <c r="J1201" s="301"/>
      <c r="K1201" s="301"/>
      <c r="L1201" s="301"/>
      <c r="M1201" s="301"/>
      <c r="N1201" s="301"/>
      <c r="O1201" s="301"/>
      <c r="P1201" s="301"/>
      <c r="Q1201" s="301"/>
      <c r="R1201" s="301"/>
      <c r="S1201" s="301"/>
      <c r="T1201" s="301"/>
      <c r="U1201" s="301"/>
      <c r="V1201" s="301"/>
      <c r="W1201" s="301"/>
      <c r="X1201" s="301"/>
      <c r="Y1201" s="301"/>
      <c r="Z1201" s="301"/>
    </row>
    <row r="1202" spans="1:26" ht="14">
      <c r="A1202" s="298" t="s">
        <v>1801</v>
      </c>
      <c r="B1202" s="298" t="s">
        <v>10401</v>
      </c>
      <c r="C1202" s="299">
        <v>502</v>
      </c>
      <c r="D1202" s="298" t="s">
        <v>10402</v>
      </c>
      <c r="E1202" s="298"/>
      <c r="F1202" s="300">
        <v>3209771439</v>
      </c>
      <c r="G1202" s="298">
        <v>1127577745</v>
      </c>
      <c r="H1202" s="298" t="s">
        <v>10403</v>
      </c>
      <c r="I1202" s="301"/>
      <c r="J1202" s="301"/>
      <c r="K1202" s="301"/>
      <c r="L1202" s="301"/>
      <c r="M1202" s="301"/>
      <c r="N1202" s="301"/>
      <c r="O1202" s="301"/>
      <c r="P1202" s="301"/>
      <c r="Q1202" s="301"/>
      <c r="R1202" s="301"/>
      <c r="S1202" s="301"/>
      <c r="T1202" s="301"/>
      <c r="U1202" s="301"/>
      <c r="V1202" s="301"/>
      <c r="W1202" s="301"/>
      <c r="X1202" s="301"/>
      <c r="Y1202" s="301"/>
      <c r="Z1202" s="301"/>
    </row>
    <row r="1203" spans="1:26" ht="14">
      <c r="A1203" s="298" t="s">
        <v>1818</v>
      </c>
      <c r="B1203" s="298" t="s">
        <v>10404</v>
      </c>
      <c r="C1203" s="299">
        <v>304</v>
      </c>
      <c r="D1203" s="298"/>
      <c r="E1203" s="298"/>
      <c r="F1203" s="300">
        <v>3144561406</v>
      </c>
      <c r="G1203" s="298">
        <v>1019121306</v>
      </c>
      <c r="H1203" s="298" t="s">
        <v>10405</v>
      </c>
      <c r="I1203" s="301"/>
      <c r="J1203" s="301"/>
      <c r="K1203" s="301"/>
      <c r="L1203" s="301"/>
      <c r="M1203" s="301"/>
      <c r="N1203" s="301"/>
      <c r="O1203" s="301"/>
      <c r="P1203" s="301"/>
      <c r="Q1203" s="301"/>
      <c r="R1203" s="301"/>
      <c r="S1203" s="301"/>
      <c r="T1203" s="301"/>
      <c r="U1203" s="301"/>
      <c r="V1203" s="301"/>
      <c r="W1203" s="301"/>
      <c r="X1203" s="301"/>
      <c r="Y1203" s="301"/>
      <c r="Z1203" s="301"/>
    </row>
    <row r="1204" spans="1:26" ht="14">
      <c r="A1204" s="298" t="s">
        <v>1825</v>
      </c>
      <c r="B1204" s="298" t="s">
        <v>10406</v>
      </c>
      <c r="C1204" s="299">
        <v>502</v>
      </c>
      <c r="D1204" s="298"/>
      <c r="E1204" s="298"/>
      <c r="F1204" s="300">
        <v>3133319399</v>
      </c>
      <c r="G1204" s="298">
        <v>31579914</v>
      </c>
      <c r="H1204" s="298" t="s">
        <v>10407</v>
      </c>
      <c r="I1204" s="301"/>
      <c r="J1204" s="301"/>
      <c r="K1204" s="301"/>
      <c r="L1204" s="301"/>
      <c r="M1204" s="301"/>
      <c r="N1204" s="301"/>
      <c r="O1204" s="301"/>
      <c r="P1204" s="301"/>
      <c r="Q1204" s="301"/>
      <c r="R1204" s="301"/>
      <c r="S1204" s="301"/>
      <c r="T1204" s="301"/>
      <c r="U1204" s="301"/>
      <c r="V1204" s="301"/>
      <c r="W1204" s="301"/>
      <c r="X1204" s="301"/>
      <c r="Y1204" s="301"/>
      <c r="Z1204" s="301"/>
    </row>
    <row r="1205" spans="1:26" ht="14">
      <c r="A1205" s="298" t="s">
        <v>1827</v>
      </c>
      <c r="B1205" s="298" t="s">
        <v>10408</v>
      </c>
      <c r="C1205" s="299">
        <v>101</v>
      </c>
      <c r="D1205" s="298"/>
      <c r="E1205" s="298"/>
      <c r="F1205" s="300">
        <v>3016722355</v>
      </c>
      <c r="G1205" s="298">
        <v>7884207</v>
      </c>
      <c r="H1205" s="298" t="s">
        <v>10409</v>
      </c>
      <c r="I1205" s="301"/>
      <c r="J1205" s="301"/>
      <c r="K1205" s="301"/>
      <c r="L1205" s="301"/>
      <c r="M1205" s="301"/>
      <c r="N1205" s="301"/>
      <c r="O1205" s="301"/>
      <c r="P1205" s="301"/>
      <c r="Q1205" s="301"/>
      <c r="R1205" s="301"/>
      <c r="S1205" s="301"/>
      <c r="T1205" s="301"/>
      <c r="U1205" s="301"/>
      <c r="V1205" s="301"/>
      <c r="W1205" s="301"/>
      <c r="X1205" s="301"/>
      <c r="Y1205" s="301"/>
      <c r="Z1205" s="301"/>
    </row>
    <row r="1206" spans="1:26" ht="14">
      <c r="A1206" s="298" t="s">
        <v>1829</v>
      </c>
      <c r="B1206" s="298" t="s">
        <v>10410</v>
      </c>
      <c r="C1206" s="299" t="s">
        <v>9525</v>
      </c>
      <c r="D1206" s="298" t="s">
        <v>10411</v>
      </c>
      <c r="E1206" s="298"/>
      <c r="F1206" s="300">
        <v>3144866124</v>
      </c>
      <c r="G1206" s="298"/>
      <c r="H1206" s="298" t="s">
        <v>10412</v>
      </c>
      <c r="I1206" s="301"/>
      <c r="J1206" s="301"/>
      <c r="K1206" s="301"/>
      <c r="L1206" s="301"/>
      <c r="M1206" s="301"/>
      <c r="N1206" s="301"/>
      <c r="O1206" s="301"/>
      <c r="P1206" s="301"/>
      <c r="Q1206" s="301"/>
      <c r="R1206" s="301"/>
      <c r="S1206" s="301"/>
      <c r="T1206" s="301"/>
      <c r="U1206" s="301"/>
      <c r="V1206" s="301"/>
      <c r="W1206" s="301"/>
      <c r="X1206" s="301"/>
      <c r="Y1206" s="301"/>
      <c r="Z1206" s="301"/>
    </row>
    <row r="1207" spans="1:26" ht="14">
      <c r="A1207" s="298" t="s">
        <v>10413</v>
      </c>
      <c r="B1207" s="298" t="s">
        <v>10414</v>
      </c>
      <c r="C1207" s="299">
        <v>401</v>
      </c>
      <c r="D1207" s="298"/>
      <c r="E1207" s="298"/>
      <c r="F1207" s="300">
        <v>3108502131</v>
      </c>
      <c r="G1207" s="298">
        <v>80503502</v>
      </c>
      <c r="H1207" s="298" t="s">
        <v>10415</v>
      </c>
      <c r="I1207" s="301"/>
      <c r="J1207" s="301"/>
      <c r="K1207" s="301"/>
      <c r="L1207" s="301"/>
      <c r="M1207" s="301"/>
      <c r="N1207" s="301"/>
      <c r="O1207" s="301"/>
      <c r="P1207" s="301"/>
      <c r="Q1207" s="301"/>
      <c r="R1207" s="301"/>
      <c r="S1207" s="301"/>
      <c r="T1207" s="301"/>
      <c r="U1207" s="301"/>
      <c r="V1207" s="301"/>
      <c r="W1207" s="301"/>
      <c r="X1207" s="301"/>
      <c r="Y1207" s="301"/>
      <c r="Z1207" s="301"/>
    </row>
    <row r="1208" spans="1:26" ht="14">
      <c r="A1208" s="298" t="s">
        <v>1833</v>
      </c>
      <c r="B1208" s="298" t="s">
        <v>10416</v>
      </c>
      <c r="C1208" s="299">
        <v>441</v>
      </c>
      <c r="D1208" s="298" t="s">
        <v>10417</v>
      </c>
      <c r="E1208" s="298"/>
      <c r="F1208" s="300">
        <v>3124342547</v>
      </c>
      <c r="G1208" s="298">
        <v>1018508871</v>
      </c>
      <c r="H1208" s="298" t="s">
        <v>10418</v>
      </c>
      <c r="I1208" s="301"/>
      <c r="J1208" s="301"/>
      <c r="K1208" s="301"/>
      <c r="L1208" s="301"/>
      <c r="M1208" s="301"/>
      <c r="N1208" s="301"/>
      <c r="O1208" s="301"/>
      <c r="P1208" s="301"/>
      <c r="Q1208" s="301"/>
      <c r="R1208" s="301"/>
      <c r="S1208" s="301"/>
      <c r="T1208" s="301"/>
      <c r="U1208" s="301"/>
      <c r="V1208" s="301"/>
      <c r="W1208" s="301"/>
      <c r="X1208" s="301"/>
      <c r="Y1208" s="301"/>
      <c r="Z1208" s="301"/>
    </row>
    <row r="1209" spans="1:26" ht="14">
      <c r="A1209" s="298" t="s">
        <v>1843</v>
      </c>
      <c r="B1209" s="298" t="s">
        <v>10419</v>
      </c>
      <c r="C1209" s="299">
        <v>306</v>
      </c>
      <c r="D1209" s="298"/>
      <c r="E1209" s="298"/>
      <c r="F1209" s="300">
        <v>3214654683</v>
      </c>
      <c r="G1209" s="298">
        <v>52863716</v>
      </c>
      <c r="H1209" s="298" t="s">
        <v>10420</v>
      </c>
      <c r="I1209" s="301"/>
      <c r="J1209" s="301"/>
      <c r="K1209" s="301"/>
      <c r="L1209" s="301"/>
      <c r="M1209" s="301"/>
      <c r="N1209" s="301"/>
      <c r="O1209" s="301"/>
      <c r="P1209" s="301"/>
      <c r="Q1209" s="301"/>
      <c r="R1209" s="301"/>
      <c r="S1209" s="301"/>
      <c r="T1209" s="301"/>
      <c r="U1209" s="301"/>
      <c r="V1209" s="301"/>
      <c r="W1209" s="301"/>
      <c r="X1209" s="301"/>
      <c r="Y1209" s="301"/>
      <c r="Z1209" s="301"/>
    </row>
    <row r="1210" spans="1:26" ht="14">
      <c r="A1210" s="298" t="s">
        <v>1848</v>
      </c>
      <c r="B1210" s="298" t="s">
        <v>10421</v>
      </c>
      <c r="C1210" s="299">
        <v>304</v>
      </c>
      <c r="D1210" s="298"/>
      <c r="E1210" s="298"/>
      <c r="F1210" s="300">
        <v>3105508071</v>
      </c>
      <c r="G1210" s="298">
        <v>52695379</v>
      </c>
      <c r="H1210" s="298"/>
      <c r="I1210" s="301"/>
      <c r="J1210" s="301"/>
      <c r="K1210" s="301"/>
      <c r="L1210" s="301"/>
      <c r="M1210" s="301"/>
      <c r="N1210" s="301"/>
      <c r="O1210" s="301"/>
      <c r="P1210" s="301"/>
      <c r="Q1210" s="301"/>
      <c r="R1210" s="301"/>
      <c r="S1210" s="301"/>
      <c r="T1210" s="301"/>
      <c r="U1210" s="301"/>
      <c r="V1210" s="301"/>
      <c r="W1210" s="301"/>
      <c r="X1210" s="301"/>
      <c r="Y1210" s="301"/>
      <c r="Z1210" s="301"/>
    </row>
    <row r="1211" spans="1:26" ht="14">
      <c r="A1211" s="298" t="s">
        <v>1850</v>
      </c>
      <c r="B1211" s="298" t="s">
        <v>10422</v>
      </c>
      <c r="C1211" s="299" t="s">
        <v>9282</v>
      </c>
      <c r="D1211" s="298" t="s">
        <v>10423</v>
      </c>
      <c r="E1211" s="298"/>
      <c r="F1211" s="300">
        <v>3213439794</v>
      </c>
      <c r="G1211" s="298">
        <v>1020789074</v>
      </c>
      <c r="H1211" s="298"/>
      <c r="I1211" s="301"/>
      <c r="J1211" s="301"/>
      <c r="K1211" s="301"/>
      <c r="L1211" s="301"/>
      <c r="M1211" s="301"/>
      <c r="N1211" s="301"/>
      <c r="O1211" s="301"/>
      <c r="P1211" s="301"/>
      <c r="Q1211" s="301"/>
      <c r="R1211" s="301"/>
      <c r="S1211" s="301"/>
      <c r="T1211" s="301"/>
      <c r="U1211" s="301"/>
      <c r="V1211" s="301"/>
      <c r="W1211" s="301"/>
      <c r="X1211" s="301"/>
      <c r="Y1211" s="301"/>
      <c r="Z1211" s="301"/>
    </row>
    <row r="1212" spans="1:26" ht="14">
      <c r="A1212" s="298" t="s">
        <v>1836</v>
      </c>
      <c r="B1212" s="298" t="s">
        <v>10424</v>
      </c>
      <c r="C1212" s="299">
        <v>801</v>
      </c>
      <c r="D1212" s="298"/>
      <c r="E1212" s="298"/>
      <c r="F1212" s="300">
        <v>3202169210</v>
      </c>
      <c r="G1212" s="298">
        <v>45762070</v>
      </c>
      <c r="H1212" s="298" t="s">
        <v>10425</v>
      </c>
      <c r="I1212" s="301"/>
      <c r="J1212" s="301"/>
      <c r="K1212" s="301"/>
      <c r="L1212" s="301"/>
      <c r="M1212" s="301"/>
      <c r="N1212" s="301"/>
      <c r="O1212" s="301"/>
      <c r="P1212" s="301"/>
      <c r="Q1212" s="301"/>
      <c r="R1212" s="301"/>
      <c r="S1212" s="301"/>
      <c r="T1212" s="301"/>
      <c r="U1212" s="301"/>
      <c r="V1212" s="301"/>
      <c r="W1212" s="301"/>
      <c r="X1212" s="301"/>
      <c r="Y1212" s="301"/>
      <c r="Z1212" s="301"/>
    </row>
    <row r="1213" spans="1:26" ht="14">
      <c r="A1213" s="298" t="s">
        <v>1840</v>
      </c>
      <c r="B1213" s="298" t="s">
        <v>10426</v>
      </c>
      <c r="C1213" s="299">
        <v>403</v>
      </c>
      <c r="D1213" s="298"/>
      <c r="E1213" s="298"/>
      <c r="F1213" s="300">
        <v>3143577379</v>
      </c>
      <c r="G1213" s="298">
        <v>52819913</v>
      </c>
      <c r="H1213" s="298" t="s">
        <v>10427</v>
      </c>
      <c r="I1213" s="301"/>
      <c r="J1213" s="301"/>
      <c r="K1213" s="301"/>
      <c r="L1213" s="301"/>
      <c r="M1213" s="301"/>
      <c r="N1213" s="301"/>
      <c r="O1213" s="301"/>
      <c r="P1213" s="301"/>
      <c r="Q1213" s="301"/>
      <c r="R1213" s="301"/>
      <c r="S1213" s="301"/>
      <c r="T1213" s="301"/>
      <c r="U1213" s="301"/>
      <c r="V1213" s="301"/>
      <c r="W1213" s="301"/>
      <c r="X1213" s="301"/>
      <c r="Y1213" s="301"/>
      <c r="Z1213" s="301"/>
    </row>
    <row r="1214" spans="1:26" ht="14">
      <c r="A1214" s="298" t="s">
        <v>1853</v>
      </c>
      <c r="B1214" s="298" t="s">
        <v>10428</v>
      </c>
      <c r="C1214" s="299">
        <v>508</v>
      </c>
      <c r="D1214" s="298"/>
      <c r="E1214" s="298"/>
      <c r="F1214" s="300">
        <v>3044803034</v>
      </c>
      <c r="G1214" s="298">
        <v>1140826588</v>
      </c>
      <c r="H1214" s="298" t="s">
        <v>10429</v>
      </c>
      <c r="I1214" s="301"/>
      <c r="J1214" s="301"/>
      <c r="K1214" s="301"/>
      <c r="L1214" s="301"/>
      <c r="M1214" s="301"/>
      <c r="N1214" s="301"/>
      <c r="O1214" s="301"/>
      <c r="P1214" s="301"/>
      <c r="Q1214" s="301"/>
      <c r="R1214" s="301"/>
      <c r="S1214" s="301"/>
      <c r="T1214" s="301"/>
      <c r="U1214" s="301"/>
      <c r="V1214" s="301"/>
      <c r="W1214" s="301"/>
      <c r="X1214" s="301"/>
      <c r="Y1214" s="301"/>
      <c r="Z1214" s="301"/>
    </row>
    <row r="1215" spans="1:26" ht="14">
      <c r="A1215" s="298" t="s">
        <v>1856</v>
      </c>
      <c r="B1215" s="298" t="s">
        <v>10430</v>
      </c>
      <c r="C1215" s="299">
        <v>402</v>
      </c>
      <c r="D1215" s="298"/>
      <c r="E1215" s="298"/>
      <c r="F1215" s="300">
        <v>3166902585</v>
      </c>
      <c r="G1215" s="298">
        <v>52420081</v>
      </c>
      <c r="H1215" s="298" t="s">
        <v>10431</v>
      </c>
      <c r="I1215" s="301"/>
      <c r="J1215" s="301"/>
      <c r="K1215" s="301"/>
      <c r="L1215" s="301"/>
      <c r="M1215" s="301"/>
      <c r="N1215" s="301"/>
      <c r="O1215" s="301"/>
      <c r="P1215" s="301"/>
      <c r="Q1215" s="301"/>
      <c r="R1215" s="301"/>
      <c r="S1215" s="301"/>
      <c r="T1215" s="301"/>
      <c r="U1215" s="301"/>
      <c r="V1215" s="301"/>
      <c r="W1215" s="301"/>
      <c r="X1215" s="301"/>
      <c r="Y1215" s="301"/>
      <c r="Z1215" s="301"/>
    </row>
    <row r="1216" spans="1:26" ht="14">
      <c r="A1216" s="298" t="s">
        <v>1860</v>
      </c>
      <c r="B1216" s="298" t="s">
        <v>10432</v>
      </c>
      <c r="C1216" s="299">
        <v>403</v>
      </c>
      <c r="D1216" s="298"/>
      <c r="E1216" s="298"/>
      <c r="F1216" s="300">
        <v>3112079125</v>
      </c>
      <c r="G1216" s="298">
        <v>1078367504</v>
      </c>
      <c r="H1216" s="298" t="s">
        <v>10433</v>
      </c>
      <c r="I1216" s="301"/>
      <c r="J1216" s="301"/>
      <c r="K1216" s="301"/>
      <c r="L1216" s="301"/>
      <c r="M1216" s="301"/>
      <c r="N1216" s="301"/>
      <c r="O1216" s="301"/>
      <c r="P1216" s="301"/>
      <c r="Q1216" s="301"/>
      <c r="R1216" s="301"/>
      <c r="S1216" s="301"/>
      <c r="T1216" s="301"/>
      <c r="U1216" s="301"/>
      <c r="V1216" s="301"/>
      <c r="W1216" s="301"/>
      <c r="X1216" s="301"/>
      <c r="Y1216" s="301"/>
      <c r="Z1216" s="301"/>
    </row>
    <row r="1217" spans="1:26" ht="14">
      <c r="A1217" s="298" t="s">
        <v>1864</v>
      </c>
      <c r="B1217" s="298" t="s">
        <v>10434</v>
      </c>
      <c r="C1217" s="299">
        <v>204</v>
      </c>
      <c r="D1217" s="298" t="s">
        <v>8610</v>
      </c>
      <c r="E1217" s="298"/>
      <c r="F1217" s="300">
        <v>3057492151</v>
      </c>
      <c r="G1217" s="298">
        <v>1015426108</v>
      </c>
      <c r="H1217" s="298" t="s">
        <v>10435</v>
      </c>
      <c r="I1217" s="301"/>
      <c r="J1217" s="301"/>
      <c r="K1217" s="301"/>
      <c r="L1217" s="301"/>
      <c r="M1217" s="301"/>
      <c r="N1217" s="301"/>
      <c r="O1217" s="301"/>
      <c r="P1217" s="301"/>
      <c r="Q1217" s="301"/>
      <c r="R1217" s="301"/>
      <c r="S1217" s="301"/>
      <c r="T1217" s="301"/>
      <c r="U1217" s="301"/>
      <c r="V1217" s="301"/>
      <c r="W1217" s="301"/>
      <c r="X1217" s="301"/>
      <c r="Y1217" s="301"/>
      <c r="Z1217" s="301"/>
    </row>
    <row r="1218" spans="1:26" ht="14">
      <c r="A1218" s="298" t="s">
        <v>1866</v>
      </c>
      <c r="B1218" s="298" t="s">
        <v>10436</v>
      </c>
      <c r="C1218" s="299">
        <v>308</v>
      </c>
      <c r="D1218" s="298"/>
      <c r="E1218" s="298"/>
      <c r="F1218" s="300">
        <v>3186318251</v>
      </c>
      <c r="G1218" s="298">
        <v>1014218765</v>
      </c>
      <c r="H1218" s="298" t="s">
        <v>10437</v>
      </c>
      <c r="I1218" s="301"/>
      <c r="J1218" s="301"/>
      <c r="K1218" s="301"/>
      <c r="L1218" s="301"/>
      <c r="M1218" s="301"/>
      <c r="N1218" s="301"/>
      <c r="O1218" s="301"/>
      <c r="P1218" s="301"/>
      <c r="Q1218" s="301"/>
      <c r="R1218" s="301"/>
      <c r="S1218" s="301"/>
      <c r="T1218" s="301"/>
      <c r="U1218" s="301"/>
      <c r="V1218" s="301"/>
      <c r="W1218" s="301"/>
      <c r="X1218" s="301"/>
      <c r="Y1218" s="301"/>
      <c r="Z1218" s="301"/>
    </row>
    <row r="1219" spans="1:26" ht="14">
      <c r="A1219" s="298" t="s">
        <v>1871</v>
      </c>
      <c r="B1219" s="298" t="s">
        <v>10438</v>
      </c>
      <c r="C1219" s="299">
        <v>403</v>
      </c>
      <c r="D1219" s="298" t="s">
        <v>10439</v>
      </c>
      <c r="E1219" s="298"/>
      <c r="F1219" s="300">
        <v>3116280766</v>
      </c>
      <c r="G1219" s="298">
        <v>1072920755</v>
      </c>
      <c r="H1219" s="298" t="s">
        <v>10440</v>
      </c>
      <c r="I1219" s="301"/>
      <c r="J1219" s="301"/>
      <c r="K1219" s="301"/>
      <c r="L1219" s="301"/>
      <c r="M1219" s="301"/>
      <c r="N1219" s="301"/>
      <c r="O1219" s="301"/>
      <c r="P1219" s="301"/>
      <c r="Q1219" s="301"/>
      <c r="R1219" s="301"/>
      <c r="S1219" s="301"/>
      <c r="T1219" s="301"/>
      <c r="U1219" s="301"/>
      <c r="V1219" s="301"/>
      <c r="W1219" s="301"/>
      <c r="X1219" s="301"/>
      <c r="Y1219" s="301"/>
      <c r="Z1219" s="301"/>
    </row>
    <row r="1220" spans="1:26" ht="14">
      <c r="A1220" s="303" t="s">
        <v>2377</v>
      </c>
      <c r="B1220" s="298" t="s">
        <v>10441</v>
      </c>
      <c r="C1220" s="299">
        <v>503</v>
      </c>
      <c r="D1220" s="298"/>
      <c r="E1220" s="298"/>
      <c r="F1220" s="300">
        <v>3160492988</v>
      </c>
      <c r="G1220" s="298">
        <v>52390434</v>
      </c>
      <c r="H1220" s="298" t="s">
        <v>10442</v>
      </c>
      <c r="I1220" s="301"/>
      <c r="J1220" s="301"/>
      <c r="K1220" s="301"/>
      <c r="L1220" s="301"/>
      <c r="M1220" s="301"/>
      <c r="N1220" s="301"/>
      <c r="O1220" s="301"/>
      <c r="P1220" s="301"/>
      <c r="Q1220" s="301"/>
      <c r="R1220" s="301"/>
      <c r="S1220" s="301"/>
      <c r="T1220" s="301"/>
      <c r="U1220" s="301"/>
      <c r="V1220" s="301"/>
      <c r="W1220" s="301"/>
      <c r="X1220" s="301"/>
      <c r="Y1220" s="301"/>
      <c r="Z1220" s="301"/>
    </row>
    <row r="1221" spans="1:26" ht="14">
      <c r="A1221" s="298" t="s">
        <v>1888</v>
      </c>
      <c r="B1221" s="298" t="s">
        <v>10443</v>
      </c>
      <c r="C1221" s="299">
        <v>401</v>
      </c>
      <c r="D1221" s="298"/>
      <c r="E1221" s="298"/>
      <c r="F1221" s="300">
        <v>3212266160</v>
      </c>
      <c r="G1221" s="298">
        <v>1020761707</v>
      </c>
      <c r="H1221" s="298" t="s">
        <v>10444</v>
      </c>
      <c r="I1221" s="301"/>
      <c r="J1221" s="301"/>
      <c r="K1221" s="301"/>
      <c r="L1221" s="301"/>
      <c r="M1221" s="301"/>
      <c r="N1221" s="301"/>
      <c r="O1221" s="301"/>
      <c r="P1221" s="301"/>
      <c r="Q1221" s="301"/>
      <c r="R1221" s="301"/>
      <c r="S1221" s="301"/>
      <c r="T1221" s="301"/>
      <c r="U1221" s="301"/>
      <c r="V1221" s="301"/>
      <c r="W1221" s="301"/>
      <c r="X1221" s="301"/>
      <c r="Y1221" s="301"/>
      <c r="Z1221" s="301"/>
    </row>
    <row r="1222" spans="1:26" ht="14">
      <c r="A1222" s="298" t="s">
        <v>1890</v>
      </c>
      <c r="B1222" s="298" t="s">
        <v>10445</v>
      </c>
      <c r="C1222" s="299" t="s">
        <v>9282</v>
      </c>
      <c r="D1222" s="298" t="s">
        <v>10446</v>
      </c>
      <c r="E1222" s="298"/>
      <c r="F1222" s="300">
        <v>3112248480</v>
      </c>
      <c r="G1222" s="298">
        <v>53911382</v>
      </c>
      <c r="H1222" s="298" t="s">
        <v>10447</v>
      </c>
      <c r="I1222" s="301"/>
      <c r="J1222" s="301"/>
      <c r="K1222" s="301"/>
      <c r="L1222" s="301"/>
      <c r="M1222" s="301"/>
      <c r="N1222" s="301"/>
      <c r="O1222" s="301"/>
      <c r="P1222" s="301"/>
      <c r="Q1222" s="301"/>
      <c r="R1222" s="301"/>
      <c r="S1222" s="301"/>
      <c r="T1222" s="301"/>
      <c r="U1222" s="301"/>
      <c r="V1222" s="301"/>
      <c r="W1222" s="301"/>
      <c r="X1222" s="301"/>
      <c r="Y1222" s="301"/>
      <c r="Z1222" s="301"/>
    </row>
    <row r="1223" spans="1:26" ht="14">
      <c r="A1223" s="298" t="s">
        <v>1892</v>
      </c>
      <c r="B1223" s="298" t="s">
        <v>10448</v>
      </c>
      <c r="C1223" s="299">
        <v>301</v>
      </c>
      <c r="D1223" s="298" t="s">
        <v>8237</v>
      </c>
      <c r="E1223" s="298"/>
      <c r="F1223" s="300">
        <v>3223601447</v>
      </c>
      <c r="G1223" s="298">
        <v>68290692</v>
      </c>
      <c r="H1223" s="298" t="s">
        <v>10449</v>
      </c>
      <c r="I1223" s="301"/>
      <c r="J1223" s="301"/>
      <c r="K1223" s="301"/>
      <c r="L1223" s="301"/>
      <c r="M1223" s="301"/>
      <c r="N1223" s="301"/>
      <c r="O1223" s="301"/>
      <c r="P1223" s="301"/>
      <c r="Q1223" s="301"/>
      <c r="R1223" s="301"/>
      <c r="S1223" s="301"/>
      <c r="T1223" s="301"/>
      <c r="U1223" s="301"/>
      <c r="V1223" s="301"/>
      <c r="W1223" s="301"/>
      <c r="X1223" s="301"/>
      <c r="Y1223" s="301"/>
      <c r="Z1223" s="301"/>
    </row>
    <row r="1224" spans="1:26" ht="14">
      <c r="A1224" s="298" t="s">
        <v>1894</v>
      </c>
      <c r="B1224" s="298" t="s">
        <v>10450</v>
      </c>
      <c r="C1224" s="299">
        <v>607</v>
      </c>
      <c r="D1224" s="298"/>
      <c r="E1224" s="298"/>
      <c r="F1224" s="300">
        <v>3107770770</v>
      </c>
      <c r="G1224" s="298">
        <v>1032437223</v>
      </c>
      <c r="H1224" s="298" t="s">
        <v>10451</v>
      </c>
      <c r="I1224" s="301"/>
      <c r="J1224" s="301"/>
      <c r="K1224" s="301"/>
      <c r="L1224" s="301"/>
      <c r="M1224" s="301"/>
      <c r="N1224" s="301"/>
      <c r="O1224" s="301"/>
      <c r="P1224" s="301"/>
      <c r="Q1224" s="301"/>
      <c r="R1224" s="301"/>
      <c r="S1224" s="301"/>
      <c r="T1224" s="301"/>
      <c r="U1224" s="301"/>
      <c r="V1224" s="301"/>
      <c r="W1224" s="301"/>
      <c r="X1224" s="301"/>
      <c r="Y1224" s="301"/>
      <c r="Z1224" s="301"/>
    </row>
    <row r="1225" spans="1:26" ht="14">
      <c r="A1225" s="298" t="s">
        <v>1897</v>
      </c>
      <c r="B1225" s="298" t="s">
        <v>10452</v>
      </c>
      <c r="C1225" s="299">
        <v>603</v>
      </c>
      <c r="D1225" s="298"/>
      <c r="E1225" s="298"/>
      <c r="F1225" s="300">
        <v>3044174646</v>
      </c>
      <c r="G1225" s="298">
        <v>1128407366</v>
      </c>
      <c r="H1225" s="298" t="s">
        <v>10453</v>
      </c>
      <c r="I1225" s="301"/>
      <c r="J1225" s="301"/>
      <c r="K1225" s="301"/>
      <c r="L1225" s="301"/>
      <c r="M1225" s="301"/>
      <c r="N1225" s="301"/>
      <c r="O1225" s="301"/>
      <c r="P1225" s="301"/>
      <c r="Q1225" s="301"/>
      <c r="R1225" s="301"/>
      <c r="S1225" s="301"/>
      <c r="T1225" s="301"/>
      <c r="U1225" s="301"/>
      <c r="V1225" s="301"/>
      <c r="W1225" s="301"/>
      <c r="X1225" s="301"/>
      <c r="Y1225" s="301"/>
      <c r="Z1225" s="301"/>
    </row>
    <row r="1226" spans="1:26" ht="14">
      <c r="A1226" s="298" t="s">
        <v>1899</v>
      </c>
      <c r="B1226" s="298" t="s">
        <v>10454</v>
      </c>
      <c r="C1226" s="299">
        <v>602</v>
      </c>
      <c r="D1226" s="298" t="s">
        <v>10455</v>
      </c>
      <c r="E1226" s="298"/>
      <c r="F1226" s="300">
        <v>3214916835</v>
      </c>
      <c r="G1226" s="298">
        <v>53119439</v>
      </c>
      <c r="H1226" s="298" t="s">
        <v>10456</v>
      </c>
      <c r="I1226" s="301"/>
      <c r="J1226" s="301"/>
      <c r="K1226" s="301"/>
      <c r="L1226" s="301"/>
      <c r="M1226" s="301"/>
      <c r="N1226" s="301"/>
      <c r="O1226" s="301"/>
      <c r="P1226" s="301"/>
      <c r="Q1226" s="301"/>
      <c r="R1226" s="301"/>
      <c r="S1226" s="301"/>
      <c r="T1226" s="301"/>
      <c r="U1226" s="301"/>
      <c r="V1226" s="301"/>
      <c r="W1226" s="301"/>
      <c r="X1226" s="301"/>
      <c r="Y1226" s="301"/>
      <c r="Z1226" s="301"/>
    </row>
    <row r="1227" spans="1:26" ht="14">
      <c r="A1227" s="298" t="s">
        <v>1902</v>
      </c>
      <c r="B1227" s="298" t="s">
        <v>10457</v>
      </c>
      <c r="C1227" s="299">
        <v>203</v>
      </c>
      <c r="D1227" s="298"/>
      <c r="E1227" s="298"/>
      <c r="F1227" s="300">
        <v>3005255154</v>
      </c>
      <c r="G1227" s="298">
        <v>1032372671</v>
      </c>
      <c r="H1227" s="298" t="s">
        <v>10458</v>
      </c>
      <c r="I1227" s="301"/>
      <c r="J1227" s="301"/>
      <c r="K1227" s="301"/>
      <c r="L1227" s="301"/>
      <c r="M1227" s="301"/>
      <c r="N1227" s="301"/>
      <c r="O1227" s="301"/>
      <c r="P1227" s="301"/>
      <c r="Q1227" s="301"/>
      <c r="R1227" s="301"/>
      <c r="S1227" s="301"/>
      <c r="T1227" s="301"/>
      <c r="U1227" s="301"/>
      <c r="V1227" s="301"/>
      <c r="W1227" s="301"/>
      <c r="X1227" s="301"/>
      <c r="Y1227" s="301"/>
      <c r="Z1227" s="301"/>
    </row>
    <row r="1228" spans="1:26" ht="14">
      <c r="A1228" s="298" t="s">
        <v>1912</v>
      </c>
      <c r="B1228" s="298" t="s">
        <v>10459</v>
      </c>
      <c r="C1228" s="299">
        <v>305</v>
      </c>
      <c r="D1228" s="298"/>
      <c r="E1228" s="298"/>
      <c r="F1228" s="300">
        <v>3016093525</v>
      </c>
      <c r="G1228" s="298">
        <v>1061697632</v>
      </c>
      <c r="H1228" s="298" t="s">
        <v>10460</v>
      </c>
      <c r="I1228" s="301"/>
      <c r="J1228" s="301"/>
      <c r="K1228" s="301"/>
      <c r="L1228" s="301"/>
      <c r="M1228" s="301"/>
      <c r="N1228" s="301"/>
      <c r="O1228" s="301"/>
      <c r="P1228" s="301"/>
      <c r="Q1228" s="301"/>
      <c r="R1228" s="301"/>
      <c r="S1228" s="301"/>
      <c r="T1228" s="301"/>
      <c r="U1228" s="301"/>
      <c r="V1228" s="301"/>
      <c r="W1228" s="301"/>
      <c r="X1228" s="301"/>
      <c r="Y1228" s="301"/>
      <c r="Z1228" s="301"/>
    </row>
    <row r="1229" spans="1:26" ht="14">
      <c r="A1229" s="298" t="s">
        <v>1914</v>
      </c>
      <c r="B1229" s="298" t="s">
        <v>10461</v>
      </c>
      <c r="C1229" s="299">
        <v>501</v>
      </c>
      <c r="D1229" s="298"/>
      <c r="E1229" s="298"/>
      <c r="F1229" s="300">
        <v>3153310982</v>
      </c>
      <c r="G1229" s="298">
        <v>52047304</v>
      </c>
      <c r="H1229" s="298" t="s">
        <v>10462</v>
      </c>
      <c r="I1229" s="301"/>
      <c r="J1229" s="301"/>
      <c r="K1229" s="301"/>
      <c r="L1229" s="301"/>
      <c r="M1229" s="301"/>
      <c r="N1229" s="301"/>
      <c r="O1229" s="301"/>
      <c r="P1229" s="301"/>
      <c r="Q1229" s="301"/>
      <c r="R1229" s="301"/>
      <c r="S1229" s="301"/>
      <c r="T1229" s="301"/>
      <c r="U1229" s="301"/>
      <c r="V1229" s="301"/>
      <c r="W1229" s="301"/>
      <c r="X1229" s="301"/>
      <c r="Y1229" s="301"/>
      <c r="Z1229" s="301"/>
    </row>
    <row r="1230" spans="1:26" ht="14">
      <c r="A1230" s="298" t="s">
        <v>1916</v>
      </c>
      <c r="B1230" s="298" t="s">
        <v>10463</v>
      </c>
      <c r="C1230" s="299">
        <v>602</v>
      </c>
      <c r="D1230" s="298"/>
      <c r="E1230" s="298"/>
      <c r="F1230" s="300">
        <v>3202615638</v>
      </c>
      <c r="G1230" s="298">
        <v>52693191</v>
      </c>
      <c r="H1230" s="298" t="s">
        <v>10464</v>
      </c>
      <c r="I1230" s="301"/>
      <c r="J1230" s="301"/>
      <c r="K1230" s="301"/>
      <c r="L1230" s="301"/>
      <c r="M1230" s="301"/>
      <c r="N1230" s="301"/>
      <c r="O1230" s="301"/>
      <c r="P1230" s="301"/>
      <c r="Q1230" s="301"/>
      <c r="R1230" s="301"/>
      <c r="S1230" s="301"/>
      <c r="T1230" s="301"/>
      <c r="U1230" s="301"/>
      <c r="V1230" s="301"/>
      <c r="W1230" s="301"/>
      <c r="X1230" s="301"/>
      <c r="Y1230" s="301"/>
      <c r="Z1230" s="301"/>
    </row>
    <row r="1231" spans="1:26" ht="14">
      <c r="A1231" s="298" t="s">
        <v>1920</v>
      </c>
      <c r="B1231" s="298" t="s">
        <v>10465</v>
      </c>
      <c r="C1231" s="299">
        <v>1101</v>
      </c>
      <c r="D1231" s="298"/>
      <c r="E1231" s="298"/>
      <c r="F1231" s="300">
        <v>3158004740</v>
      </c>
      <c r="G1231" s="298">
        <v>52047364</v>
      </c>
      <c r="H1231" s="298" t="s">
        <v>10466</v>
      </c>
      <c r="I1231" s="301"/>
      <c r="J1231" s="301"/>
      <c r="K1231" s="301"/>
      <c r="L1231" s="301"/>
      <c r="M1231" s="301"/>
      <c r="N1231" s="301"/>
      <c r="O1231" s="301"/>
      <c r="P1231" s="301"/>
      <c r="Q1231" s="301"/>
      <c r="R1231" s="301"/>
      <c r="S1231" s="301"/>
      <c r="T1231" s="301"/>
      <c r="U1231" s="301"/>
      <c r="V1231" s="301"/>
      <c r="W1231" s="301"/>
      <c r="X1231" s="301"/>
      <c r="Y1231" s="301"/>
      <c r="Z1231" s="301"/>
    </row>
    <row r="1232" spans="1:26" ht="14">
      <c r="A1232" s="298" t="s">
        <v>1922</v>
      </c>
      <c r="B1232" s="298" t="s">
        <v>10467</v>
      </c>
      <c r="C1232" s="299">
        <v>602</v>
      </c>
      <c r="D1232" s="298"/>
      <c r="E1232" s="298"/>
      <c r="F1232" s="300">
        <v>3163547110</v>
      </c>
      <c r="G1232" s="298">
        <v>52864099</v>
      </c>
      <c r="H1232" s="298" t="s">
        <v>10468</v>
      </c>
      <c r="I1232" s="301"/>
      <c r="J1232" s="301"/>
      <c r="K1232" s="301"/>
      <c r="L1232" s="301"/>
      <c r="M1232" s="301"/>
      <c r="N1232" s="301"/>
      <c r="O1232" s="301"/>
      <c r="P1232" s="301"/>
      <c r="Q1232" s="301"/>
      <c r="R1232" s="301"/>
      <c r="S1232" s="301"/>
      <c r="T1232" s="301"/>
      <c r="U1232" s="301"/>
      <c r="V1232" s="301"/>
      <c r="W1232" s="301"/>
      <c r="X1232" s="301"/>
      <c r="Y1232" s="301"/>
      <c r="Z1232" s="301"/>
    </row>
    <row r="1233" spans="1:26" ht="14">
      <c r="A1233" s="298" t="s">
        <v>1924</v>
      </c>
      <c r="B1233" s="298" t="s">
        <v>10469</v>
      </c>
      <c r="C1233" s="299">
        <v>605</v>
      </c>
      <c r="D1233" s="298"/>
      <c r="E1233" s="298"/>
      <c r="F1233" s="300">
        <v>3124191195</v>
      </c>
      <c r="G1233" s="298">
        <v>66862807</v>
      </c>
      <c r="H1233" s="298" t="s">
        <v>10470</v>
      </c>
      <c r="I1233" s="301"/>
      <c r="J1233" s="301"/>
      <c r="K1233" s="301"/>
      <c r="L1233" s="301"/>
      <c r="M1233" s="301"/>
      <c r="N1233" s="301"/>
      <c r="O1233" s="301"/>
      <c r="P1233" s="301"/>
      <c r="Q1233" s="301"/>
      <c r="R1233" s="301"/>
      <c r="S1233" s="301"/>
      <c r="T1233" s="301"/>
      <c r="U1233" s="301"/>
      <c r="V1233" s="301"/>
      <c r="W1233" s="301"/>
      <c r="X1233" s="301"/>
      <c r="Y1233" s="301"/>
      <c r="Z1233" s="301"/>
    </row>
    <row r="1234" spans="1:26" ht="14">
      <c r="A1234" s="298" t="s">
        <v>1926</v>
      </c>
      <c r="B1234" s="298" t="s">
        <v>10471</v>
      </c>
      <c r="C1234" s="299">
        <v>306</v>
      </c>
      <c r="D1234" s="298"/>
      <c r="E1234" s="298"/>
      <c r="F1234" s="300">
        <v>3103330917</v>
      </c>
      <c r="G1234" s="298">
        <v>1001283322</v>
      </c>
      <c r="H1234" s="298" t="s">
        <v>10472</v>
      </c>
      <c r="I1234" s="301"/>
      <c r="J1234" s="301"/>
      <c r="K1234" s="301"/>
      <c r="L1234" s="301"/>
      <c r="M1234" s="301"/>
      <c r="N1234" s="301"/>
      <c r="O1234" s="301"/>
      <c r="P1234" s="301"/>
      <c r="Q1234" s="301"/>
      <c r="R1234" s="301"/>
      <c r="S1234" s="301"/>
      <c r="T1234" s="301"/>
      <c r="U1234" s="301"/>
      <c r="V1234" s="301"/>
      <c r="W1234" s="301"/>
      <c r="X1234" s="301"/>
      <c r="Y1234" s="301"/>
      <c r="Z1234" s="301"/>
    </row>
    <row r="1235" spans="1:26" ht="14">
      <c r="A1235" s="298" t="s">
        <v>1928</v>
      </c>
      <c r="B1235" s="298" t="s">
        <v>10473</v>
      </c>
      <c r="C1235" s="299">
        <v>304</v>
      </c>
      <c r="D1235" s="298" t="s">
        <v>10474</v>
      </c>
      <c r="E1235" s="298"/>
      <c r="F1235" s="300">
        <v>3057233411</v>
      </c>
      <c r="G1235" s="298">
        <v>1049617586</v>
      </c>
      <c r="H1235" s="298" t="s">
        <v>10475</v>
      </c>
      <c r="I1235" s="301"/>
      <c r="J1235" s="301"/>
      <c r="K1235" s="301"/>
      <c r="L1235" s="301"/>
      <c r="M1235" s="301"/>
      <c r="N1235" s="301"/>
      <c r="O1235" s="301"/>
      <c r="P1235" s="301"/>
      <c r="Q1235" s="301"/>
      <c r="R1235" s="301"/>
      <c r="S1235" s="301"/>
      <c r="T1235" s="301"/>
      <c r="U1235" s="301"/>
      <c r="V1235" s="301"/>
      <c r="W1235" s="301"/>
      <c r="X1235" s="301"/>
      <c r="Y1235" s="301"/>
      <c r="Z1235" s="301"/>
    </row>
    <row r="1236" spans="1:26" ht="14">
      <c r="A1236" s="298" t="s">
        <v>1904</v>
      </c>
      <c r="B1236" s="298" t="s">
        <v>10476</v>
      </c>
      <c r="C1236" s="299">
        <v>1302</v>
      </c>
      <c r="D1236" s="298"/>
      <c r="E1236" s="298"/>
      <c r="F1236" s="300">
        <v>3158982041</v>
      </c>
      <c r="G1236" s="298">
        <v>35473121</v>
      </c>
      <c r="H1236" s="298" t="s">
        <v>10477</v>
      </c>
      <c r="I1236" s="301"/>
      <c r="J1236" s="301"/>
      <c r="K1236" s="301"/>
      <c r="L1236" s="301"/>
      <c r="M1236" s="301"/>
      <c r="N1236" s="301"/>
      <c r="O1236" s="301"/>
      <c r="P1236" s="301"/>
      <c r="Q1236" s="301"/>
      <c r="R1236" s="301"/>
      <c r="S1236" s="301"/>
      <c r="T1236" s="301"/>
      <c r="U1236" s="301"/>
      <c r="V1236" s="301"/>
      <c r="W1236" s="301"/>
      <c r="X1236" s="301"/>
      <c r="Y1236" s="301"/>
      <c r="Z1236" s="301"/>
    </row>
    <row r="1237" spans="1:26" ht="14">
      <c r="A1237" s="298" t="s">
        <v>1936</v>
      </c>
      <c r="B1237" s="298" t="s">
        <v>10478</v>
      </c>
      <c r="C1237" s="299">
        <v>505</v>
      </c>
      <c r="D1237" s="298" t="s">
        <v>10479</v>
      </c>
      <c r="E1237" s="298"/>
      <c r="F1237" s="300">
        <v>3168228940</v>
      </c>
      <c r="G1237" s="298">
        <v>1112762334</v>
      </c>
      <c r="H1237" s="298" t="s">
        <v>10480</v>
      </c>
      <c r="I1237" s="301"/>
      <c r="J1237" s="301"/>
      <c r="K1237" s="301"/>
      <c r="L1237" s="301"/>
      <c r="M1237" s="301"/>
      <c r="N1237" s="301"/>
      <c r="O1237" s="301"/>
      <c r="P1237" s="301"/>
      <c r="Q1237" s="301"/>
      <c r="R1237" s="301"/>
      <c r="S1237" s="301"/>
      <c r="T1237" s="301"/>
      <c r="U1237" s="301"/>
      <c r="V1237" s="301"/>
      <c r="W1237" s="301"/>
      <c r="X1237" s="301"/>
      <c r="Y1237" s="301"/>
      <c r="Z1237" s="301"/>
    </row>
    <row r="1238" spans="1:26" ht="14">
      <c r="A1238" s="298" t="s">
        <v>1909</v>
      </c>
      <c r="B1238" s="298" t="s">
        <v>10481</v>
      </c>
      <c r="C1238" s="299">
        <v>301</v>
      </c>
      <c r="D1238" s="298"/>
      <c r="E1238" s="298"/>
      <c r="F1238" s="300">
        <v>3176406075</v>
      </c>
      <c r="G1238" s="298">
        <v>1130682797</v>
      </c>
      <c r="H1238" s="298" t="s">
        <v>10482</v>
      </c>
      <c r="I1238" s="301"/>
      <c r="J1238" s="301"/>
      <c r="K1238" s="301"/>
      <c r="L1238" s="301"/>
      <c r="M1238" s="301"/>
      <c r="N1238" s="301"/>
      <c r="O1238" s="301"/>
      <c r="P1238" s="301"/>
      <c r="Q1238" s="301"/>
      <c r="R1238" s="301"/>
      <c r="S1238" s="301"/>
      <c r="T1238" s="301"/>
      <c r="U1238" s="301"/>
      <c r="V1238" s="301"/>
      <c r="W1238" s="301"/>
      <c r="X1238" s="301"/>
      <c r="Y1238" s="301"/>
      <c r="Z1238" s="301"/>
    </row>
    <row r="1239" spans="1:26" ht="14">
      <c r="A1239" s="298" t="s">
        <v>1942</v>
      </c>
      <c r="B1239" s="298" t="s">
        <v>10483</v>
      </c>
      <c r="C1239" s="299">
        <v>201</v>
      </c>
      <c r="D1239" s="298" t="s">
        <v>10484</v>
      </c>
      <c r="E1239" s="298"/>
      <c r="F1239" s="300">
        <v>3104153394</v>
      </c>
      <c r="G1239" s="298">
        <v>43626518</v>
      </c>
      <c r="H1239" s="298" t="s">
        <v>10485</v>
      </c>
      <c r="I1239" s="301"/>
      <c r="J1239" s="301"/>
      <c r="K1239" s="301"/>
      <c r="L1239" s="301"/>
      <c r="M1239" s="301"/>
      <c r="N1239" s="301"/>
      <c r="O1239" s="301"/>
      <c r="P1239" s="301"/>
      <c r="Q1239" s="301"/>
      <c r="R1239" s="301"/>
      <c r="S1239" s="301"/>
      <c r="T1239" s="301"/>
      <c r="U1239" s="301"/>
      <c r="V1239" s="301"/>
      <c r="W1239" s="301"/>
      <c r="X1239" s="301"/>
      <c r="Y1239" s="301"/>
      <c r="Z1239" s="301"/>
    </row>
    <row r="1240" spans="1:26" ht="14">
      <c r="A1240" s="298" t="s">
        <v>1944</v>
      </c>
      <c r="B1240" s="298" t="s">
        <v>10486</v>
      </c>
      <c r="C1240" s="299"/>
      <c r="D1240" s="298"/>
      <c r="E1240" s="298"/>
      <c r="F1240" s="300">
        <v>3115922736</v>
      </c>
      <c r="G1240" s="298">
        <v>2000025697</v>
      </c>
      <c r="H1240" s="298" t="s">
        <v>10487</v>
      </c>
      <c r="I1240" s="301"/>
      <c r="J1240" s="301"/>
      <c r="K1240" s="301"/>
      <c r="L1240" s="301"/>
      <c r="M1240" s="301"/>
      <c r="N1240" s="301"/>
      <c r="O1240" s="301"/>
      <c r="P1240" s="301"/>
      <c r="Q1240" s="301"/>
      <c r="R1240" s="301"/>
      <c r="S1240" s="301"/>
      <c r="T1240" s="301"/>
      <c r="U1240" s="301"/>
      <c r="V1240" s="301"/>
      <c r="W1240" s="301"/>
      <c r="X1240" s="301"/>
      <c r="Y1240" s="301"/>
      <c r="Z1240" s="301"/>
    </row>
    <row r="1241" spans="1:26" ht="14">
      <c r="A1241" s="298" t="s">
        <v>1947</v>
      </c>
      <c r="B1241" s="298" t="s">
        <v>10488</v>
      </c>
      <c r="C1241" s="299">
        <v>1205</v>
      </c>
      <c r="D1241" s="298" t="s">
        <v>10489</v>
      </c>
      <c r="E1241" s="298"/>
      <c r="F1241" s="300">
        <v>3165237293</v>
      </c>
      <c r="G1241" s="298">
        <v>41794185</v>
      </c>
      <c r="H1241" s="298" t="s">
        <v>10490</v>
      </c>
      <c r="I1241" s="301"/>
      <c r="J1241" s="301"/>
      <c r="K1241" s="301"/>
      <c r="L1241" s="301"/>
      <c r="M1241" s="301"/>
      <c r="N1241" s="301"/>
      <c r="O1241" s="301"/>
      <c r="P1241" s="301"/>
      <c r="Q1241" s="301"/>
      <c r="R1241" s="301"/>
      <c r="S1241" s="301"/>
      <c r="T1241" s="301"/>
      <c r="U1241" s="301"/>
      <c r="V1241" s="301"/>
      <c r="W1241" s="301"/>
      <c r="X1241" s="301"/>
      <c r="Y1241" s="301"/>
      <c r="Z1241" s="301"/>
    </row>
    <row r="1242" spans="1:26" ht="14">
      <c r="A1242" s="298" t="s">
        <v>2088</v>
      </c>
      <c r="B1242" s="298" t="s">
        <v>10491</v>
      </c>
      <c r="C1242" s="299">
        <v>401</v>
      </c>
      <c r="D1242" s="298" t="s">
        <v>7201</v>
      </c>
      <c r="E1242" s="298"/>
      <c r="F1242" s="300">
        <v>3112620581</v>
      </c>
      <c r="G1242" s="298">
        <v>79651562</v>
      </c>
      <c r="H1242" s="298" t="s">
        <v>10492</v>
      </c>
      <c r="I1242" s="301"/>
      <c r="J1242" s="301"/>
      <c r="K1242" s="301"/>
      <c r="L1242" s="301"/>
      <c r="M1242" s="301"/>
      <c r="N1242" s="301"/>
      <c r="O1242" s="301"/>
      <c r="P1242" s="301"/>
      <c r="Q1242" s="301"/>
      <c r="R1242" s="301"/>
      <c r="S1242" s="301"/>
      <c r="T1242" s="301"/>
      <c r="U1242" s="301"/>
      <c r="V1242" s="301"/>
      <c r="W1242" s="301"/>
      <c r="X1242" s="301"/>
      <c r="Y1242" s="301"/>
      <c r="Z1242" s="301"/>
    </row>
    <row r="1243" spans="1:26" ht="14">
      <c r="A1243" s="298" t="s">
        <v>2135</v>
      </c>
      <c r="B1243" s="298" t="s">
        <v>10493</v>
      </c>
      <c r="C1243" s="299">
        <v>201</v>
      </c>
      <c r="D1243" s="298" t="s">
        <v>9799</v>
      </c>
      <c r="E1243" s="298"/>
      <c r="F1243" s="300">
        <v>3028417529</v>
      </c>
      <c r="G1243" s="298">
        <v>102074107</v>
      </c>
      <c r="H1243" s="298" t="s">
        <v>10494</v>
      </c>
      <c r="I1243" s="301"/>
      <c r="J1243" s="301"/>
      <c r="K1243" s="301"/>
      <c r="L1243" s="301"/>
      <c r="M1243" s="301"/>
      <c r="N1243" s="301"/>
      <c r="O1243" s="301"/>
      <c r="P1243" s="301"/>
      <c r="Q1243" s="301"/>
      <c r="R1243" s="301"/>
      <c r="S1243" s="301"/>
      <c r="T1243" s="301"/>
      <c r="U1243" s="301"/>
      <c r="V1243" s="301"/>
      <c r="W1243" s="301"/>
      <c r="X1243" s="301"/>
      <c r="Y1243" s="301"/>
      <c r="Z1243" s="301"/>
    </row>
    <row r="1244" spans="1:26" ht="14">
      <c r="A1244" s="298" t="s">
        <v>2148</v>
      </c>
      <c r="B1244" s="298" t="s">
        <v>10495</v>
      </c>
      <c r="C1244" s="299">
        <v>603</v>
      </c>
      <c r="D1244" s="298" t="s">
        <v>10496</v>
      </c>
      <c r="E1244" s="298"/>
      <c r="F1244" s="300">
        <v>3014965193</v>
      </c>
      <c r="G1244" s="298">
        <v>80098524</v>
      </c>
      <c r="H1244" s="298" t="s">
        <v>10497</v>
      </c>
      <c r="I1244" s="301"/>
      <c r="J1244" s="301"/>
      <c r="K1244" s="301"/>
      <c r="L1244" s="301"/>
      <c r="M1244" s="301"/>
      <c r="N1244" s="301"/>
      <c r="O1244" s="301"/>
      <c r="P1244" s="301"/>
      <c r="Q1244" s="301"/>
      <c r="R1244" s="301"/>
      <c r="S1244" s="301"/>
      <c r="T1244" s="301"/>
      <c r="U1244" s="301"/>
      <c r="V1244" s="301"/>
      <c r="W1244" s="301"/>
      <c r="X1244" s="301"/>
      <c r="Y1244" s="301"/>
      <c r="Z1244" s="301"/>
    </row>
    <row r="1245" spans="1:26" ht="14">
      <c r="A1245" s="298" t="s">
        <v>2143</v>
      </c>
      <c r="B1245" s="298" t="s">
        <v>10498</v>
      </c>
      <c r="C1245" s="299">
        <v>201</v>
      </c>
      <c r="D1245" s="298" t="s">
        <v>10499</v>
      </c>
      <c r="E1245" s="298"/>
      <c r="F1245" s="300">
        <v>3103058856</v>
      </c>
      <c r="G1245" s="298">
        <v>52428350</v>
      </c>
      <c r="H1245" s="298"/>
      <c r="I1245" s="301"/>
      <c r="J1245" s="301"/>
      <c r="K1245" s="301"/>
      <c r="L1245" s="301"/>
      <c r="M1245" s="301"/>
      <c r="N1245" s="301"/>
      <c r="O1245" s="301"/>
      <c r="P1245" s="301"/>
      <c r="Q1245" s="301"/>
      <c r="R1245" s="301"/>
      <c r="S1245" s="301"/>
      <c r="T1245" s="301"/>
      <c r="U1245" s="301"/>
      <c r="V1245" s="301"/>
      <c r="W1245" s="301"/>
      <c r="X1245" s="301"/>
      <c r="Y1245" s="301"/>
      <c r="Z1245" s="301"/>
    </row>
    <row r="1246" spans="1:26" ht="14">
      <c r="A1246" s="298" t="s">
        <v>10500</v>
      </c>
      <c r="B1246" s="298" t="s">
        <v>10501</v>
      </c>
      <c r="C1246" s="299">
        <v>401</v>
      </c>
      <c r="D1246" s="298"/>
      <c r="E1246" s="298"/>
      <c r="F1246" s="300">
        <v>3159012310</v>
      </c>
      <c r="G1246" s="298">
        <v>9531644</v>
      </c>
      <c r="H1246" s="298" t="s">
        <v>9961</v>
      </c>
      <c r="I1246" s="301"/>
      <c r="J1246" s="301"/>
      <c r="K1246" s="301"/>
      <c r="L1246" s="301"/>
      <c r="M1246" s="301"/>
      <c r="N1246" s="301"/>
      <c r="O1246" s="301"/>
      <c r="P1246" s="301"/>
      <c r="Q1246" s="301"/>
      <c r="R1246" s="301"/>
      <c r="S1246" s="301"/>
      <c r="T1246" s="301"/>
      <c r="U1246" s="301"/>
      <c r="V1246" s="301"/>
      <c r="W1246" s="301"/>
      <c r="X1246" s="301"/>
      <c r="Y1246" s="301"/>
      <c r="Z1246" s="301"/>
    </row>
    <row r="1247" spans="1:26" ht="14">
      <c r="A1247" s="298" t="s">
        <v>2199</v>
      </c>
      <c r="B1247" s="298" t="s">
        <v>10502</v>
      </c>
      <c r="C1247" s="299">
        <v>707</v>
      </c>
      <c r="D1247" s="298" t="s">
        <v>10503</v>
      </c>
      <c r="E1247" s="298"/>
      <c r="F1247" s="300">
        <v>3208836840</v>
      </c>
      <c r="G1247" s="298">
        <v>1032391012</v>
      </c>
      <c r="H1247" s="298" t="s">
        <v>10504</v>
      </c>
      <c r="I1247" s="301"/>
      <c r="J1247" s="301"/>
      <c r="K1247" s="301"/>
      <c r="L1247" s="301"/>
      <c r="M1247" s="301"/>
      <c r="N1247" s="301"/>
      <c r="O1247" s="301"/>
      <c r="P1247" s="301"/>
      <c r="Q1247" s="301"/>
      <c r="R1247" s="301"/>
      <c r="S1247" s="301"/>
      <c r="T1247" s="301"/>
      <c r="U1247" s="301"/>
      <c r="V1247" s="301"/>
      <c r="W1247" s="301"/>
      <c r="X1247" s="301"/>
      <c r="Y1247" s="301"/>
      <c r="Z1247" s="301"/>
    </row>
    <row r="1248" spans="1:26" ht="14">
      <c r="A1248" s="298" t="s">
        <v>2201</v>
      </c>
      <c r="B1248" s="298" t="s">
        <v>10505</v>
      </c>
      <c r="C1248" s="299">
        <v>601</v>
      </c>
      <c r="D1248" s="298" t="s">
        <v>8177</v>
      </c>
      <c r="E1248" s="298"/>
      <c r="F1248" s="300">
        <v>3173767638</v>
      </c>
      <c r="G1248" s="298">
        <v>1014280180</v>
      </c>
      <c r="H1248" s="298" t="s">
        <v>10506</v>
      </c>
      <c r="I1248" s="301"/>
      <c r="J1248" s="301"/>
      <c r="K1248" s="301"/>
      <c r="L1248" s="301"/>
      <c r="M1248" s="301"/>
      <c r="N1248" s="301"/>
      <c r="O1248" s="301"/>
      <c r="P1248" s="301"/>
      <c r="Q1248" s="301"/>
      <c r="R1248" s="301"/>
      <c r="S1248" s="301"/>
      <c r="T1248" s="301"/>
      <c r="U1248" s="301"/>
      <c r="V1248" s="301"/>
      <c r="W1248" s="301"/>
      <c r="X1248" s="301"/>
      <c r="Y1248" s="301"/>
      <c r="Z1248" s="301"/>
    </row>
    <row r="1249" spans="1:26" ht="14">
      <c r="A1249" s="298" t="s">
        <v>2221</v>
      </c>
      <c r="B1249" s="298" t="s">
        <v>10507</v>
      </c>
      <c r="C1249" s="299">
        <v>1002</v>
      </c>
      <c r="D1249" s="298"/>
      <c r="E1249" s="298"/>
      <c r="F1249" s="300">
        <v>3155624502</v>
      </c>
      <c r="G1249" s="298">
        <v>41672476</v>
      </c>
      <c r="H1249" s="298"/>
      <c r="I1249" s="301"/>
      <c r="J1249" s="301"/>
      <c r="K1249" s="301"/>
      <c r="L1249" s="301"/>
      <c r="M1249" s="301"/>
      <c r="N1249" s="301"/>
      <c r="O1249" s="301"/>
      <c r="P1249" s="301"/>
      <c r="Q1249" s="301"/>
      <c r="R1249" s="301"/>
      <c r="S1249" s="301"/>
      <c r="T1249" s="301"/>
      <c r="U1249" s="301"/>
      <c r="V1249" s="301"/>
      <c r="W1249" s="301"/>
      <c r="X1249" s="301"/>
      <c r="Y1249" s="301"/>
      <c r="Z1249" s="301"/>
    </row>
    <row r="1250" spans="1:26" ht="14">
      <c r="A1250" s="298" t="s">
        <v>2223</v>
      </c>
      <c r="B1250" s="298" t="s">
        <v>10508</v>
      </c>
      <c r="C1250" s="299">
        <v>601</v>
      </c>
      <c r="D1250" s="298"/>
      <c r="E1250" s="298"/>
      <c r="F1250" s="300">
        <v>3103469662</v>
      </c>
      <c r="G1250" s="298">
        <v>42885646</v>
      </c>
      <c r="H1250" s="298" t="s">
        <v>10509</v>
      </c>
      <c r="I1250" s="301"/>
      <c r="J1250" s="301"/>
      <c r="K1250" s="301"/>
      <c r="L1250" s="301"/>
      <c r="M1250" s="301"/>
      <c r="N1250" s="301"/>
      <c r="O1250" s="301"/>
      <c r="P1250" s="301"/>
      <c r="Q1250" s="301"/>
      <c r="R1250" s="301"/>
      <c r="S1250" s="301"/>
      <c r="T1250" s="301"/>
      <c r="U1250" s="301"/>
      <c r="V1250" s="301"/>
      <c r="W1250" s="301"/>
      <c r="X1250" s="301"/>
      <c r="Y1250" s="301"/>
      <c r="Z1250" s="301"/>
    </row>
    <row r="1251" spans="1:26" ht="14">
      <c r="A1251" s="298" t="s">
        <v>2028</v>
      </c>
      <c r="B1251" s="298" t="s">
        <v>10510</v>
      </c>
      <c r="C1251" s="299" t="s">
        <v>9434</v>
      </c>
      <c r="D1251" s="298"/>
      <c r="E1251" s="298"/>
      <c r="F1251" s="300">
        <v>3123054909</v>
      </c>
      <c r="G1251" s="298">
        <v>51834148</v>
      </c>
      <c r="H1251" s="298" t="s">
        <v>10511</v>
      </c>
      <c r="I1251" s="301"/>
      <c r="J1251" s="301"/>
      <c r="K1251" s="301"/>
      <c r="L1251" s="301"/>
      <c r="M1251" s="301"/>
      <c r="N1251" s="301"/>
      <c r="O1251" s="301"/>
      <c r="P1251" s="301"/>
      <c r="Q1251" s="301"/>
      <c r="R1251" s="301"/>
      <c r="S1251" s="301"/>
      <c r="T1251" s="301"/>
      <c r="U1251" s="301"/>
      <c r="V1251" s="301"/>
      <c r="W1251" s="301"/>
      <c r="X1251" s="301"/>
      <c r="Y1251" s="301"/>
      <c r="Z1251" s="301"/>
    </row>
    <row r="1252" spans="1:26" ht="14">
      <c r="A1252" s="298" t="s">
        <v>2331</v>
      </c>
      <c r="B1252" s="298" t="s">
        <v>10512</v>
      </c>
      <c r="C1252" s="299">
        <v>602</v>
      </c>
      <c r="D1252" s="298" t="s">
        <v>10513</v>
      </c>
      <c r="E1252" s="298"/>
      <c r="F1252" s="300">
        <v>3105702758</v>
      </c>
      <c r="G1252" s="298">
        <v>8218472</v>
      </c>
      <c r="H1252" s="298" t="s">
        <v>10514</v>
      </c>
      <c r="I1252" s="301"/>
      <c r="J1252" s="301"/>
      <c r="K1252" s="301"/>
      <c r="L1252" s="301"/>
      <c r="M1252" s="301"/>
      <c r="N1252" s="301"/>
      <c r="O1252" s="301"/>
      <c r="P1252" s="301"/>
      <c r="Q1252" s="301"/>
      <c r="R1252" s="301"/>
      <c r="S1252" s="301"/>
      <c r="T1252" s="301"/>
      <c r="U1252" s="301"/>
      <c r="V1252" s="301"/>
      <c r="W1252" s="301"/>
      <c r="X1252" s="301"/>
      <c r="Y1252" s="301"/>
      <c r="Z1252" s="301"/>
    </row>
    <row r="1253" spans="1:26" ht="14">
      <c r="A1253" s="298" t="s">
        <v>817</v>
      </c>
      <c r="B1253" s="298" t="s">
        <v>10515</v>
      </c>
      <c r="C1253" s="299"/>
      <c r="D1253" s="298" t="s">
        <v>10516</v>
      </c>
      <c r="E1253" s="298"/>
      <c r="F1253" s="300">
        <v>3212427599</v>
      </c>
      <c r="G1253" s="298">
        <v>51765272</v>
      </c>
      <c r="H1253" s="298" t="s">
        <v>10517</v>
      </c>
      <c r="I1253" s="301"/>
      <c r="J1253" s="301"/>
      <c r="K1253" s="301"/>
      <c r="L1253" s="301"/>
      <c r="M1253" s="301"/>
      <c r="N1253" s="301"/>
      <c r="O1253" s="301"/>
      <c r="P1253" s="301"/>
      <c r="Q1253" s="301"/>
      <c r="R1253" s="301"/>
      <c r="S1253" s="301"/>
      <c r="T1253" s="301"/>
      <c r="U1253" s="301"/>
      <c r="V1253" s="301"/>
      <c r="W1253" s="301"/>
      <c r="X1253" s="301"/>
      <c r="Y1253" s="301"/>
      <c r="Z1253" s="301"/>
    </row>
    <row r="1254" spans="1:26" ht="14">
      <c r="A1254" s="298" t="s">
        <v>815</v>
      </c>
      <c r="B1254" s="298" t="s">
        <v>10518</v>
      </c>
      <c r="C1254" s="299"/>
      <c r="D1254" s="298"/>
      <c r="E1254" s="298"/>
      <c r="F1254" s="300"/>
      <c r="G1254" s="298"/>
      <c r="H1254" s="298"/>
      <c r="I1254" s="301"/>
      <c r="J1254" s="301"/>
      <c r="K1254" s="301"/>
      <c r="L1254" s="301"/>
      <c r="M1254" s="301"/>
      <c r="N1254" s="301"/>
      <c r="O1254" s="301"/>
      <c r="P1254" s="301"/>
      <c r="Q1254" s="301"/>
      <c r="R1254" s="301"/>
      <c r="S1254" s="301"/>
      <c r="T1254" s="301"/>
      <c r="U1254" s="301"/>
      <c r="V1254" s="301"/>
      <c r="W1254" s="301"/>
      <c r="X1254" s="301"/>
      <c r="Y1254" s="301"/>
      <c r="Z1254" s="301"/>
    </row>
    <row r="1255" spans="1:26" ht="14">
      <c r="A1255" s="298" t="s">
        <v>2361</v>
      </c>
      <c r="B1255" s="298" t="s">
        <v>10519</v>
      </c>
      <c r="C1255" s="299">
        <v>412</v>
      </c>
      <c r="D1255" s="298" t="s">
        <v>10520</v>
      </c>
      <c r="E1255" s="298"/>
      <c r="F1255" s="300">
        <v>17863824070</v>
      </c>
      <c r="G1255" s="298">
        <v>37273406</v>
      </c>
      <c r="H1255" s="298" t="s">
        <v>10521</v>
      </c>
      <c r="I1255" s="301"/>
      <c r="J1255" s="301"/>
      <c r="K1255" s="301"/>
      <c r="L1255" s="301"/>
      <c r="M1255" s="301"/>
      <c r="N1255" s="301"/>
      <c r="O1255" s="301"/>
      <c r="P1255" s="301"/>
      <c r="Q1255" s="301"/>
      <c r="R1255" s="301"/>
      <c r="S1255" s="301"/>
      <c r="T1255" s="301"/>
      <c r="U1255" s="301"/>
      <c r="V1255" s="301"/>
      <c r="W1255" s="301"/>
      <c r="X1255" s="301"/>
      <c r="Y1255" s="301"/>
      <c r="Z1255" s="301"/>
    </row>
    <row r="1256" spans="1:26" ht="14">
      <c r="A1256" s="298" t="s">
        <v>2365</v>
      </c>
      <c r="B1256" s="298" t="s">
        <v>10522</v>
      </c>
      <c r="C1256" s="299">
        <v>202</v>
      </c>
      <c r="D1256" s="298"/>
      <c r="E1256" s="298"/>
      <c r="F1256" s="300">
        <v>3102324856</v>
      </c>
      <c r="G1256" s="298">
        <v>1018448045</v>
      </c>
      <c r="H1256" s="298" t="s">
        <v>10523</v>
      </c>
      <c r="I1256" s="301"/>
      <c r="J1256" s="301"/>
      <c r="K1256" s="301"/>
      <c r="L1256" s="301"/>
      <c r="M1256" s="301"/>
      <c r="N1256" s="301"/>
      <c r="O1256" s="301"/>
      <c r="P1256" s="301"/>
      <c r="Q1256" s="301"/>
      <c r="R1256" s="301"/>
      <c r="S1256" s="301"/>
      <c r="T1256" s="301"/>
      <c r="U1256" s="301"/>
      <c r="V1256" s="301"/>
      <c r="W1256" s="301"/>
      <c r="X1256" s="301"/>
      <c r="Y1256" s="301"/>
      <c r="Z1256" s="301"/>
    </row>
    <row r="1257" spans="1:26" ht="14">
      <c r="A1257" s="298" t="s">
        <v>2394</v>
      </c>
      <c r="B1257" s="298" t="s">
        <v>10524</v>
      </c>
      <c r="C1257" s="299">
        <v>201</v>
      </c>
      <c r="D1257" s="298"/>
      <c r="E1257" s="298"/>
      <c r="F1257" s="300">
        <v>3006447127</v>
      </c>
      <c r="G1257" s="298">
        <v>41354996</v>
      </c>
      <c r="H1257" s="298" t="s">
        <v>10525</v>
      </c>
      <c r="I1257" s="301"/>
      <c r="J1257" s="301"/>
      <c r="K1257" s="301"/>
      <c r="L1257" s="301"/>
      <c r="M1257" s="301"/>
      <c r="N1257" s="301"/>
      <c r="O1257" s="301"/>
      <c r="P1257" s="301"/>
      <c r="Q1257" s="301"/>
      <c r="R1257" s="301"/>
      <c r="S1257" s="301"/>
      <c r="T1257" s="301"/>
      <c r="U1257" s="301"/>
      <c r="V1257" s="301"/>
      <c r="W1257" s="301"/>
      <c r="X1257" s="301"/>
      <c r="Y1257" s="301"/>
      <c r="Z1257" s="301"/>
    </row>
    <row r="1258" spans="1:26" ht="14">
      <c r="A1258" s="298" t="s">
        <v>810</v>
      </c>
      <c r="B1258" s="298" t="s">
        <v>10526</v>
      </c>
      <c r="C1258" s="299">
        <v>305</v>
      </c>
      <c r="D1258" s="298" t="s">
        <v>10527</v>
      </c>
      <c r="E1258" s="298"/>
      <c r="F1258" s="300">
        <v>3188015781</v>
      </c>
      <c r="G1258" s="298">
        <v>63337780</v>
      </c>
      <c r="H1258" s="298"/>
      <c r="I1258" s="301"/>
      <c r="J1258" s="301"/>
      <c r="K1258" s="301"/>
      <c r="L1258" s="301"/>
      <c r="M1258" s="301"/>
      <c r="N1258" s="301"/>
      <c r="O1258" s="301"/>
      <c r="P1258" s="301"/>
      <c r="Q1258" s="301"/>
      <c r="R1258" s="301"/>
      <c r="S1258" s="301"/>
      <c r="T1258" s="301"/>
      <c r="U1258" s="301"/>
      <c r="V1258" s="301"/>
      <c r="W1258" s="301"/>
      <c r="X1258" s="301"/>
      <c r="Y1258" s="301"/>
      <c r="Z1258" s="301"/>
    </row>
    <row r="1259" spans="1:26" ht="14">
      <c r="A1259" s="298" t="s">
        <v>2398</v>
      </c>
      <c r="B1259" s="298" t="s">
        <v>10528</v>
      </c>
      <c r="C1259" s="299">
        <v>404</v>
      </c>
      <c r="D1259" s="298" t="s">
        <v>10529</v>
      </c>
      <c r="E1259" s="298"/>
      <c r="F1259" s="300">
        <v>3143675192</v>
      </c>
      <c r="G1259" s="298">
        <v>1018431613</v>
      </c>
      <c r="H1259" s="298" t="s">
        <v>10530</v>
      </c>
      <c r="I1259" s="301"/>
      <c r="J1259" s="301"/>
      <c r="K1259" s="301"/>
      <c r="L1259" s="301"/>
      <c r="M1259" s="301"/>
      <c r="N1259" s="301"/>
      <c r="O1259" s="301"/>
      <c r="P1259" s="301"/>
      <c r="Q1259" s="301"/>
      <c r="R1259" s="301"/>
      <c r="S1259" s="301"/>
      <c r="T1259" s="301"/>
      <c r="U1259" s="301"/>
      <c r="V1259" s="301"/>
      <c r="W1259" s="301"/>
      <c r="X1259" s="301"/>
      <c r="Y1259" s="301"/>
      <c r="Z1259" s="301"/>
    </row>
    <row r="1260" spans="1:26" ht="14">
      <c r="A1260" s="298" t="s">
        <v>2444</v>
      </c>
      <c r="B1260" s="298" t="s">
        <v>10531</v>
      </c>
      <c r="C1260" s="299">
        <v>501</v>
      </c>
      <c r="D1260" s="298"/>
      <c r="E1260" s="298"/>
      <c r="F1260" s="300">
        <v>3133792648</v>
      </c>
      <c r="G1260" s="298"/>
      <c r="H1260" s="298" t="s">
        <v>10532</v>
      </c>
      <c r="I1260" s="301"/>
      <c r="J1260" s="301"/>
      <c r="K1260" s="301"/>
      <c r="L1260" s="301"/>
      <c r="M1260" s="301"/>
      <c r="N1260" s="301"/>
      <c r="O1260" s="301"/>
      <c r="P1260" s="301"/>
      <c r="Q1260" s="301"/>
      <c r="R1260" s="301"/>
      <c r="S1260" s="301"/>
      <c r="T1260" s="301"/>
      <c r="U1260" s="301"/>
      <c r="V1260" s="301"/>
      <c r="W1260" s="301"/>
      <c r="X1260" s="301"/>
      <c r="Y1260" s="301"/>
      <c r="Z1260" s="301"/>
    </row>
    <row r="1261" spans="1:26" ht="14">
      <c r="A1261" s="298" t="s">
        <v>2556</v>
      </c>
      <c r="B1261" s="298" t="s">
        <v>10533</v>
      </c>
      <c r="C1261" s="299">
        <v>201</v>
      </c>
      <c r="D1261" s="298"/>
      <c r="E1261" s="298"/>
      <c r="F1261" s="300">
        <v>3002950804</v>
      </c>
      <c r="G1261" s="298">
        <v>1026275654</v>
      </c>
      <c r="H1261" s="298" t="s">
        <v>10534</v>
      </c>
      <c r="I1261" s="301"/>
      <c r="J1261" s="301"/>
      <c r="K1261" s="301"/>
      <c r="L1261" s="301"/>
      <c r="M1261" s="301"/>
      <c r="N1261" s="301"/>
      <c r="O1261" s="301"/>
      <c r="P1261" s="301"/>
      <c r="Q1261" s="301"/>
      <c r="R1261" s="301"/>
      <c r="S1261" s="301"/>
      <c r="T1261" s="301"/>
      <c r="U1261" s="301"/>
      <c r="V1261" s="301"/>
      <c r="W1261" s="301"/>
      <c r="X1261" s="301"/>
      <c r="Y1261" s="301"/>
      <c r="Z1261" s="301"/>
    </row>
    <row r="1262" spans="1:26" ht="14">
      <c r="A1262" s="298" t="s">
        <v>2558</v>
      </c>
      <c r="B1262" s="298" t="s">
        <v>10535</v>
      </c>
      <c r="C1262" s="299">
        <v>706</v>
      </c>
      <c r="D1262" s="298" t="s">
        <v>10536</v>
      </c>
      <c r="E1262" s="298" t="s">
        <v>10537</v>
      </c>
      <c r="F1262" s="300">
        <v>3102107152</v>
      </c>
      <c r="G1262" s="298">
        <v>35468170</v>
      </c>
      <c r="H1262" s="298" t="s">
        <v>10538</v>
      </c>
      <c r="I1262" s="301"/>
      <c r="J1262" s="301"/>
      <c r="K1262" s="301"/>
      <c r="L1262" s="301"/>
      <c r="M1262" s="301"/>
      <c r="N1262" s="301"/>
      <c r="O1262" s="301"/>
      <c r="P1262" s="301"/>
      <c r="Q1262" s="301"/>
      <c r="R1262" s="301"/>
      <c r="S1262" s="301"/>
      <c r="T1262" s="301"/>
      <c r="U1262" s="301"/>
      <c r="V1262" s="301"/>
      <c r="W1262" s="301"/>
      <c r="X1262" s="301"/>
      <c r="Y1262" s="301"/>
      <c r="Z1262" s="301"/>
    </row>
    <row r="1263" spans="1:26" ht="14">
      <c r="A1263" s="298" t="s">
        <v>2560</v>
      </c>
      <c r="B1263" s="298" t="s">
        <v>10539</v>
      </c>
      <c r="C1263" s="299">
        <v>1202</v>
      </c>
      <c r="D1263" s="298" t="s">
        <v>10540</v>
      </c>
      <c r="E1263" s="298"/>
      <c r="F1263" s="300">
        <v>3124573820</v>
      </c>
      <c r="G1263" s="298">
        <v>1020794750</v>
      </c>
      <c r="H1263" s="298" t="s">
        <v>10541</v>
      </c>
      <c r="I1263" s="301"/>
      <c r="J1263" s="301"/>
      <c r="K1263" s="301"/>
      <c r="L1263" s="301"/>
      <c r="M1263" s="301"/>
      <c r="N1263" s="301"/>
      <c r="O1263" s="301"/>
      <c r="P1263" s="301"/>
      <c r="Q1263" s="301"/>
      <c r="R1263" s="301"/>
      <c r="S1263" s="301"/>
      <c r="T1263" s="301"/>
      <c r="U1263" s="301"/>
      <c r="V1263" s="301"/>
      <c r="W1263" s="301"/>
      <c r="X1263" s="301"/>
      <c r="Y1263" s="301"/>
      <c r="Z1263" s="301"/>
    </row>
    <row r="1264" spans="1:26" ht="14">
      <c r="A1264" s="303" t="s">
        <v>539</v>
      </c>
      <c r="B1264" s="298" t="s">
        <v>10542</v>
      </c>
      <c r="C1264" s="299"/>
      <c r="D1264" s="298"/>
      <c r="E1264" s="298"/>
      <c r="F1264" s="300">
        <v>3160410414</v>
      </c>
      <c r="G1264" s="298">
        <v>1018439360</v>
      </c>
      <c r="H1264" s="298" t="s">
        <v>10543</v>
      </c>
      <c r="I1264" s="301"/>
      <c r="J1264" s="301"/>
      <c r="K1264" s="301"/>
      <c r="L1264" s="301"/>
      <c r="M1264" s="301"/>
      <c r="N1264" s="301"/>
      <c r="O1264" s="301"/>
      <c r="P1264" s="301"/>
      <c r="Q1264" s="301"/>
      <c r="R1264" s="301"/>
      <c r="S1264" s="301"/>
      <c r="T1264" s="301"/>
      <c r="U1264" s="301"/>
      <c r="V1264" s="301"/>
      <c r="W1264" s="301"/>
      <c r="X1264" s="301"/>
      <c r="Y1264" s="301"/>
      <c r="Z1264" s="301"/>
    </row>
    <row r="1265" spans="1:26" ht="14">
      <c r="A1265" s="298" t="s">
        <v>10544</v>
      </c>
      <c r="B1265" s="298" t="s">
        <v>10545</v>
      </c>
      <c r="C1265" s="299"/>
      <c r="D1265" s="298"/>
      <c r="E1265" s="298"/>
      <c r="F1265" s="300">
        <v>3157210756</v>
      </c>
      <c r="G1265" s="298">
        <v>51663878</v>
      </c>
      <c r="H1265" s="298" t="s">
        <v>10546</v>
      </c>
      <c r="I1265" s="301"/>
      <c r="J1265" s="301"/>
      <c r="K1265" s="301"/>
      <c r="L1265" s="301"/>
      <c r="M1265" s="301"/>
      <c r="N1265" s="301"/>
      <c r="O1265" s="301"/>
      <c r="P1265" s="301"/>
      <c r="Q1265" s="301"/>
      <c r="R1265" s="301"/>
      <c r="S1265" s="301"/>
      <c r="T1265" s="301"/>
      <c r="U1265" s="301"/>
      <c r="V1265" s="301"/>
      <c r="W1265" s="301"/>
      <c r="X1265" s="301"/>
      <c r="Y1265" s="301"/>
      <c r="Z1265" s="301"/>
    </row>
    <row r="1266" spans="1:26" ht="14">
      <c r="A1266" s="298" t="s">
        <v>10547</v>
      </c>
      <c r="B1266" s="298" t="s">
        <v>10548</v>
      </c>
      <c r="C1266" s="299"/>
      <c r="D1266" s="298"/>
      <c r="E1266" s="298"/>
      <c r="F1266" s="300" t="s">
        <v>10549</v>
      </c>
      <c r="G1266" s="298">
        <v>52710508</v>
      </c>
      <c r="H1266" s="298" t="s">
        <v>9591</v>
      </c>
      <c r="I1266" s="301"/>
      <c r="J1266" s="301"/>
      <c r="K1266" s="301"/>
      <c r="L1266" s="301"/>
      <c r="M1266" s="301"/>
      <c r="N1266" s="301"/>
      <c r="O1266" s="301"/>
      <c r="P1266" s="301"/>
      <c r="Q1266" s="301"/>
      <c r="R1266" s="301"/>
      <c r="S1266" s="301"/>
      <c r="T1266" s="301"/>
      <c r="U1266" s="301"/>
      <c r="V1266" s="301"/>
      <c r="W1266" s="301"/>
      <c r="X1266" s="301"/>
      <c r="Y1266" s="301"/>
      <c r="Z1266" s="301"/>
    </row>
    <row r="1267" spans="1:26" ht="16">
      <c r="A1267" s="196" t="s">
        <v>10550</v>
      </c>
      <c r="B1267" s="250" t="s">
        <v>10551</v>
      </c>
      <c r="C1267" s="251">
        <v>401</v>
      </c>
      <c r="D1267" s="10"/>
      <c r="E1267" s="10"/>
      <c r="F1267" s="252">
        <v>3173441693</v>
      </c>
      <c r="G1267" s="250">
        <v>35468683</v>
      </c>
      <c r="H1267" s="250" t="s">
        <v>10552</v>
      </c>
    </row>
    <row r="1268" spans="1:26" ht="16">
      <c r="A1268" s="250" t="s">
        <v>2030</v>
      </c>
      <c r="B1268" s="250" t="s">
        <v>10553</v>
      </c>
      <c r="C1268" s="251">
        <v>501</v>
      </c>
      <c r="D1268" s="10"/>
      <c r="E1268" s="10"/>
      <c r="F1268" s="252">
        <v>3123047874</v>
      </c>
      <c r="G1268" s="250">
        <v>1020813151</v>
      </c>
      <c r="H1268" s="250" t="s">
        <v>10554</v>
      </c>
    </row>
    <row r="1269" spans="1:26" ht="16">
      <c r="A1269" s="250" t="s">
        <v>10555</v>
      </c>
      <c r="B1269" s="250" t="s">
        <v>10556</v>
      </c>
      <c r="C1269" s="251">
        <v>502</v>
      </c>
      <c r="D1269" s="10"/>
      <c r="E1269" s="10"/>
      <c r="F1269" s="252">
        <v>3174296518</v>
      </c>
      <c r="G1269" s="250">
        <v>1020759737</v>
      </c>
      <c r="H1269" s="250" t="s">
        <v>10557</v>
      </c>
    </row>
    <row r="1270" spans="1:26" ht="16">
      <c r="A1270" s="250" t="s">
        <v>10558</v>
      </c>
      <c r="B1270" s="250" t="s">
        <v>10559</v>
      </c>
      <c r="C1270" s="251">
        <v>503</v>
      </c>
      <c r="D1270" s="10"/>
      <c r="E1270" s="10"/>
      <c r="F1270" s="252">
        <v>3106086054</v>
      </c>
      <c r="G1270" s="250" t="s">
        <v>10560</v>
      </c>
      <c r="H1270" s="250"/>
    </row>
    <row r="1271" spans="1:26" ht="16">
      <c r="A1271" s="250" t="s">
        <v>10561</v>
      </c>
      <c r="B1271" s="250" t="s">
        <v>10562</v>
      </c>
      <c r="C1271" s="251">
        <v>1004</v>
      </c>
      <c r="D1271" s="10"/>
      <c r="E1271" s="10"/>
      <c r="F1271" s="252">
        <v>3102950559</v>
      </c>
      <c r="G1271" s="250">
        <v>52249354</v>
      </c>
      <c r="H1271" s="250" t="s">
        <v>10563</v>
      </c>
    </row>
    <row r="1272" spans="1:26" ht="14">
      <c r="A1272" s="298" t="s">
        <v>7696</v>
      </c>
      <c r="B1272" s="298" t="s">
        <v>10564</v>
      </c>
      <c r="C1272" s="299"/>
      <c r="D1272" s="298"/>
      <c r="E1272" s="298"/>
      <c r="F1272" s="300">
        <v>3173633945</v>
      </c>
      <c r="G1272" s="298">
        <v>39577593</v>
      </c>
      <c r="H1272" s="298" t="s">
        <v>7699</v>
      </c>
      <c r="I1272" s="301"/>
      <c r="J1272" s="301"/>
      <c r="K1272" s="301"/>
      <c r="L1272" s="301"/>
      <c r="M1272" s="301"/>
      <c r="N1272" s="301"/>
      <c r="O1272" s="301"/>
      <c r="P1272" s="301"/>
      <c r="Q1272" s="301"/>
      <c r="R1272" s="301"/>
      <c r="S1272" s="301"/>
      <c r="T1272" s="301"/>
      <c r="U1272" s="301"/>
      <c r="V1272" s="301"/>
      <c r="W1272" s="301"/>
      <c r="X1272" s="301"/>
      <c r="Y1272" s="301"/>
      <c r="Z1272" s="301"/>
    </row>
    <row r="1273" spans="1:26" ht="14">
      <c r="A1273" s="298" t="s">
        <v>10565</v>
      </c>
      <c r="B1273" s="298" t="s">
        <v>10566</v>
      </c>
      <c r="C1273" s="299"/>
      <c r="D1273" s="298"/>
      <c r="E1273" s="298"/>
      <c r="F1273" s="300">
        <v>3138279890</v>
      </c>
      <c r="G1273" s="298">
        <v>1019127674</v>
      </c>
      <c r="H1273" s="298" t="s">
        <v>6935</v>
      </c>
      <c r="I1273" s="301"/>
      <c r="J1273" s="301"/>
      <c r="K1273" s="301"/>
      <c r="L1273" s="301"/>
      <c r="M1273" s="301"/>
      <c r="N1273" s="301"/>
      <c r="O1273" s="301"/>
      <c r="P1273" s="301"/>
      <c r="Q1273" s="301"/>
      <c r="R1273" s="301"/>
      <c r="S1273" s="301"/>
      <c r="T1273" s="301"/>
      <c r="U1273" s="301"/>
      <c r="V1273" s="301"/>
      <c r="W1273" s="301"/>
      <c r="X1273" s="301"/>
      <c r="Y1273" s="301"/>
      <c r="Z1273" s="301"/>
    </row>
    <row r="1274" spans="1:26" ht="18.75" customHeight="1">
      <c r="A1274" s="167" t="s">
        <v>10567</v>
      </c>
      <c r="B1274" s="167" t="s">
        <v>10568</v>
      </c>
      <c r="C1274" s="351"/>
      <c r="D1274" s="167"/>
      <c r="E1274" s="298"/>
      <c r="F1274" s="351">
        <v>3103244253</v>
      </c>
      <c r="G1274" s="298">
        <v>52690847</v>
      </c>
      <c r="H1274" s="298" t="s">
        <v>10569</v>
      </c>
      <c r="I1274" s="301"/>
      <c r="J1274" s="301"/>
      <c r="K1274" s="301"/>
      <c r="L1274" s="301"/>
      <c r="M1274" s="301"/>
      <c r="N1274" s="301"/>
      <c r="O1274" s="301"/>
      <c r="P1274" s="301"/>
      <c r="Q1274" s="301"/>
      <c r="R1274" s="301"/>
      <c r="S1274" s="301"/>
      <c r="T1274" s="301"/>
      <c r="U1274" s="301"/>
      <c r="V1274" s="301"/>
      <c r="W1274" s="301"/>
      <c r="X1274" s="301"/>
      <c r="Y1274" s="301"/>
      <c r="Z1274" s="301"/>
    </row>
    <row r="1275" spans="1:26" ht="17.25" customHeight="1">
      <c r="A1275" s="193" t="s">
        <v>10570</v>
      </c>
      <c r="B1275" s="298" t="s">
        <v>10571</v>
      </c>
      <c r="C1275" s="299"/>
      <c r="D1275" s="298"/>
      <c r="E1275" s="298"/>
      <c r="F1275" s="300">
        <v>3132142139</v>
      </c>
      <c r="G1275" s="193">
        <v>53061567</v>
      </c>
      <c r="H1275" s="298" t="s">
        <v>10572</v>
      </c>
      <c r="I1275" s="301"/>
      <c r="J1275" s="301"/>
      <c r="K1275" s="301"/>
      <c r="L1275" s="301"/>
      <c r="M1275" s="301"/>
      <c r="N1275" s="301"/>
      <c r="O1275" s="301"/>
      <c r="P1275" s="301"/>
      <c r="Q1275" s="301"/>
      <c r="R1275" s="301"/>
      <c r="S1275" s="301"/>
      <c r="T1275" s="301"/>
      <c r="U1275" s="301"/>
      <c r="V1275" s="301"/>
      <c r="W1275" s="301"/>
      <c r="X1275" s="301"/>
      <c r="Y1275" s="301"/>
      <c r="Z1275" s="301"/>
    </row>
    <row r="1276" spans="1:26" ht="16">
      <c r="A1276" s="250" t="s">
        <v>10573</v>
      </c>
      <c r="B1276" s="250" t="s">
        <v>10574</v>
      </c>
      <c r="C1276" s="251">
        <v>302</v>
      </c>
      <c r="D1276" s="10" t="s">
        <v>10575</v>
      </c>
      <c r="E1276" s="10"/>
      <c r="F1276" s="252">
        <v>3057676327</v>
      </c>
      <c r="G1276" s="250">
        <v>1140839879</v>
      </c>
      <c r="H1276" s="250" t="s">
        <v>10576</v>
      </c>
    </row>
    <row r="1277" spans="1:26" ht="16">
      <c r="A1277" s="250" t="s">
        <v>10577</v>
      </c>
      <c r="B1277" s="250" t="s">
        <v>10578</v>
      </c>
      <c r="C1277" s="251">
        <v>509</v>
      </c>
      <c r="D1277" s="10"/>
      <c r="E1277" s="10"/>
      <c r="F1277" s="252">
        <v>3176423083</v>
      </c>
      <c r="G1277" s="250">
        <v>1019026830</v>
      </c>
      <c r="H1277" s="250" t="s">
        <v>10579</v>
      </c>
    </row>
    <row r="1278" spans="1:26" ht="16">
      <c r="A1278" s="274" t="s">
        <v>47</v>
      </c>
      <c r="B1278" s="250" t="s">
        <v>10580</v>
      </c>
      <c r="C1278" s="251">
        <v>907</v>
      </c>
      <c r="D1278" s="10"/>
      <c r="E1278" s="10"/>
      <c r="F1278" s="252">
        <v>3123549906</v>
      </c>
      <c r="G1278" s="250"/>
      <c r="H1278" s="250"/>
    </row>
    <row r="1279" spans="1:26" ht="16">
      <c r="A1279" s="250" t="s">
        <v>10581</v>
      </c>
      <c r="B1279" s="250" t="s">
        <v>10582</v>
      </c>
      <c r="C1279" s="251">
        <v>901</v>
      </c>
      <c r="D1279" s="10"/>
      <c r="E1279" s="10"/>
      <c r="F1279" s="252">
        <v>3102387027</v>
      </c>
      <c r="G1279" s="250">
        <v>35459503</v>
      </c>
      <c r="H1279" s="250" t="s">
        <v>10583</v>
      </c>
    </row>
    <row r="1280" spans="1:26" ht="16">
      <c r="A1280" s="250" t="s">
        <v>10584</v>
      </c>
      <c r="B1280" s="250" t="s">
        <v>10585</v>
      </c>
      <c r="C1280" s="251">
        <v>1710</v>
      </c>
      <c r="D1280" s="10"/>
      <c r="E1280" s="10"/>
      <c r="F1280" s="252">
        <v>3133501826</v>
      </c>
      <c r="G1280" s="250">
        <v>52257520</v>
      </c>
      <c r="H1280" s="250" t="s">
        <v>10586</v>
      </c>
      <c r="I1280" s="352">
        <v>46084</v>
      </c>
    </row>
    <row r="1281" spans="1:26" ht="16">
      <c r="A1281" s="250" t="s">
        <v>10587</v>
      </c>
      <c r="B1281" s="250" t="s">
        <v>10588</v>
      </c>
      <c r="C1281" s="251">
        <v>301</v>
      </c>
      <c r="D1281" s="10" t="s">
        <v>6594</v>
      </c>
      <c r="E1281" s="10"/>
      <c r="F1281" s="252">
        <v>3197675696</v>
      </c>
      <c r="G1281" s="250">
        <v>1032378707</v>
      </c>
      <c r="H1281" s="250" t="s">
        <v>10589</v>
      </c>
    </row>
    <row r="1282" spans="1:26" ht="16">
      <c r="A1282" s="250" t="s">
        <v>10590</v>
      </c>
      <c r="B1282" s="250" t="s">
        <v>10591</v>
      </c>
      <c r="C1282" s="251">
        <v>503</v>
      </c>
      <c r="D1282" s="10" t="s">
        <v>10592</v>
      </c>
      <c r="E1282" s="10"/>
      <c r="F1282" s="252">
        <v>3103222843</v>
      </c>
      <c r="G1282" s="250">
        <v>41738843</v>
      </c>
      <c r="H1282" s="250" t="s">
        <v>10593</v>
      </c>
    </row>
    <row r="1283" spans="1:26" ht="16">
      <c r="A1283" s="250" t="s">
        <v>2668</v>
      </c>
      <c r="B1283" s="250" t="s">
        <v>10594</v>
      </c>
      <c r="C1283" s="251"/>
      <c r="D1283" s="10" t="s">
        <v>3833</v>
      </c>
      <c r="E1283" s="10"/>
      <c r="F1283" s="252">
        <v>3102231158</v>
      </c>
      <c r="G1283" s="250">
        <v>41479617</v>
      </c>
      <c r="H1283" s="250"/>
    </row>
    <row r="1284" spans="1:26" ht="21.75" customHeight="1">
      <c r="A1284" s="250" t="s">
        <v>10595</v>
      </c>
      <c r="B1284" s="193" t="s">
        <v>10596</v>
      </c>
      <c r="C1284" s="251"/>
      <c r="D1284" s="10"/>
      <c r="E1284" s="10"/>
      <c r="F1284" s="252">
        <v>3102571523</v>
      </c>
      <c r="G1284" s="193">
        <v>24337416</v>
      </c>
      <c r="H1284" s="250" t="s">
        <v>10597</v>
      </c>
    </row>
    <row r="1285" spans="1:26" ht="20.25" customHeight="1">
      <c r="A1285" s="298" t="s">
        <v>10598</v>
      </c>
      <c r="B1285" s="298" t="s">
        <v>10599</v>
      </c>
      <c r="C1285" s="299"/>
      <c r="D1285" s="298"/>
      <c r="E1285" s="298"/>
      <c r="F1285" s="300">
        <v>3104005574</v>
      </c>
      <c r="G1285" s="298">
        <v>1020844386</v>
      </c>
      <c r="H1285" s="298" t="s">
        <v>10600</v>
      </c>
      <c r="I1285" s="301"/>
      <c r="J1285" s="301"/>
      <c r="K1285" s="301"/>
      <c r="L1285" s="301"/>
      <c r="M1285" s="301"/>
      <c r="N1285" s="301"/>
      <c r="O1285" s="301"/>
      <c r="P1285" s="301"/>
      <c r="Q1285" s="301"/>
      <c r="R1285" s="301"/>
      <c r="S1285" s="301"/>
      <c r="T1285" s="301"/>
      <c r="U1285" s="301"/>
      <c r="V1285" s="301"/>
      <c r="W1285" s="301"/>
      <c r="X1285" s="301"/>
      <c r="Y1285" s="301"/>
      <c r="Z1285" s="301"/>
    </row>
    <row r="1286" spans="1:26" ht="18.75" customHeight="1">
      <c r="A1286" s="193" t="s">
        <v>10601</v>
      </c>
      <c r="B1286" s="298" t="s">
        <v>10602</v>
      </c>
      <c r="C1286" s="299"/>
      <c r="D1286" s="298"/>
      <c r="E1286" s="298"/>
      <c r="F1286" s="300">
        <v>3144936615</v>
      </c>
      <c r="G1286" s="298">
        <v>1032422665</v>
      </c>
      <c r="H1286" s="298" t="s">
        <v>10603</v>
      </c>
      <c r="I1286" s="301"/>
      <c r="J1286" s="301"/>
      <c r="K1286" s="301"/>
      <c r="L1286" s="301"/>
      <c r="M1286" s="301"/>
      <c r="N1286" s="301"/>
      <c r="O1286" s="301"/>
      <c r="P1286" s="301"/>
      <c r="Q1286" s="301"/>
      <c r="R1286" s="301"/>
      <c r="S1286" s="301"/>
      <c r="T1286" s="301"/>
      <c r="U1286" s="301"/>
      <c r="V1286" s="301"/>
      <c r="W1286" s="301"/>
      <c r="X1286" s="301"/>
      <c r="Y1286" s="301"/>
      <c r="Z1286" s="301"/>
    </row>
    <row r="1287" spans="1:26" ht="20.25" customHeight="1">
      <c r="A1287" s="298" t="s">
        <v>10604</v>
      </c>
      <c r="B1287" s="298" t="s">
        <v>10605</v>
      </c>
      <c r="C1287" s="299"/>
      <c r="D1287" s="298"/>
      <c r="E1287" s="298"/>
      <c r="F1287" s="300">
        <v>3204115521</v>
      </c>
      <c r="G1287" s="193">
        <v>51722482</v>
      </c>
      <c r="H1287" s="298" t="s">
        <v>10606</v>
      </c>
      <c r="I1287" s="301"/>
      <c r="J1287" s="301"/>
      <c r="K1287" s="301"/>
      <c r="L1287" s="301"/>
      <c r="M1287" s="301"/>
      <c r="N1287" s="301"/>
      <c r="O1287" s="301"/>
      <c r="P1287" s="301"/>
      <c r="Q1287" s="301"/>
      <c r="R1287" s="301"/>
      <c r="S1287" s="301"/>
      <c r="T1287" s="301"/>
      <c r="U1287" s="301"/>
      <c r="V1287" s="301"/>
      <c r="W1287" s="301"/>
      <c r="X1287" s="301"/>
      <c r="Y1287" s="301"/>
      <c r="Z1287" s="301"/>
    </row>
    <row r="1288" spans="1:26" ht="19.5" customHeight="1">
      <c r="A1288" s="273" t="s">
        <v>10607</v>
      </c>
      <c r="B1288" s="193" t="s">
        <v>10608</v>
      </c>
      <c r="C1288" s="251"/>
      <c r="D1288" s="10"/>
      <c r="E1288" s="10"/>
      <c r="F1288" s="252">
        <v>3144585959</v>
      </c>
      <c r="G1288" s="250">
        <v>52261398</v>
      </c>
      <c r="H1288" s="250" t="s">
        <v>10609</v>
      </c>
    </row>
    <row r="1289" spans="1:26" ht="20.25" customHeight="1">
      <c r="A1289" s="273" t="s">
        <v>409</v>
      </c>
      <c r="B1289" s="250" t="s">
        <v>10610</v>
      </c>
      <c r="C1289" s="251">
        <v>1508</v>
      </c>
      <c r="D1289" s="10"/>
      <c r="E1289" s="10"/>
      <c r="F1289" s="252">
        <v>3107311140</v>
      </c>
      <c r="G1289" s="250">
        <v>67030521</v>
      </c>
      <c r="H1289" s="250" t="s">
        <v>10611</v>
      </c>
      <c r="I1289" s="301"/>
      <c r="J1289" s="301"/>
      <c r="K1289" s="301"/>
      <c r="L1289" s="301"/>
      <c r="M1289" s="301"/>
      <c r="N1289" s="301"/>
      <c r="O1289" s="301"/>
      <c r="P1289" s="301"/>
      <c r="Q1289" s="301"/>
      <c r="R1289" s="301"/>
      <c r="S1289" s="301"/>
      <c r="T1289" s="301"/>
      <c r="U1289" s="301"/>
      <c r="V1289" s="301"/>
      <c r="W1289" s="301"/>
      <c r="X1289" s="301"/>
      <c r="Y1289" s="301"/>
      <c r="Z1289" s="301"/>
    </row>
    <row r="1290" spans="1:26" ht="16">
      <c r="A1290" s="274" t="s">
        <v>512</v>
      </c>
      <c r="B1290" s="250" t="s">
        <v>2856</v>
      </c>
      <c r="C1290" s="251">
        <v>1502</v>
      </c>
      <c r="D1290" s="10" t="s">
        <v>2857</v>
      </c>
      <c r="E1290" s="10"/>
      <c r="F1290" s="252">
        <v>3108834699</v>
      </c>
      <c r="G1290" s="250"/>
      <c r="H1290" s="250"/>
    </row>
    <row r="1291" spans="1:26" ht="16">
      <c r="A1291" s="250" t="s">
        <v>10612</v>
      </c>
      <c r="B1291" s="250" t="s">
        <v>10613</v>
      </c>
      <c r="C1291" s="251">
        <v>401</v>
      </c>
      <c r="D1291" s="10" t="s">
        <v>10614</v>
      </c>
      <c r="E1291" s="10"/>
      <c r="F1291" s="252">
        <v>3154659904</v>
      </c>
      <c r="G1291" s="250">
        <v>43221843</v>
      </c>
      <c r="H1291" s="250" t="s">
        <v>10615</v>
      </c>
    </row>
    <row r="1292" spans="1:26" ht="16">
      <c r="A1292" s="250" t="s">
        <v>10616</v>
      </c>
      <c r="B1292" s="250" t="s">
        <v>10617</v>
      </c>
      <c r="C1292" s="251">
        <v>602</v>
      </c>
      <c r="D1292" s="10"/>
      <c r="E1292" s="10"/>
      <c r="F1292" s="252">
        <v>3153801005</v>
      </c>
      <c r="G1292" s="250">
        <v>1020739575</v>
      </c>
      <c r="H1292" s="250" t="s">
        <v>10618</v>
      </c>
      <c r="I1292" s="353">
        <v>46101</v>
      </c>
    </row>
    <row r="1293" spans="1:26" ht="16">
      <c r="A1293" s="250" t="s">
        <v>10619</v>
      </c>
      <c r="B1293" s="250" t="s">
        <v>10620</v>
      </c>
      <c r="C1293" s="251">
        <v>202</v>
      </c>
      <c r="D1293" s="10" t="s">
        <v>10621</v>
      </c>
      <c r="E1293" s="196"/>
      <c r="F1293" s="257">
        <v>3153055013</v>
      </c>
      <c r="G1293" s="250">
        <v>51562583</v>
      </c>
      <c r="H1293" s="250" t="s">
        <v>10622</v>
      </c>
    </row>
    <row r="1294" spans="1:26" ht="22.5" customHeight="1">
      <c r="A1294" s="250" t="s">
        <v>2203</v>
      </c>
      <c r="B1294" s="250" t="s">
        <v>10623</v>
      </c>
      <c r="C1294" s="251"/>
      <c r="D1294" s="10"/>
      <c r="E1294" s="10"/>
      <c r="F1294" s="257">
        <v>3102345492</v>
      </c>
      <c r="G1294" s="250">
        <v>1020752964</v>
      </c>
      <c r="H1294" s="250" t="s">
        <v>10624</v>
      </c>
    </row>
    <row r="1295" spans="1:26" ht="16">
      <c r="A1295" s="250" t="s">
        <v>2442</v>
      </c>
      <c r="B1295" s="250" t="s">
        <v>10625</v>
      </c>
      <c r="C1295" s="251">
        <v>602</v>
      </c>
      <c r="D1295" s="10"/>
      <c r="E1295" s="10"/>
      <c r="F1295" s="252">
        <v>3108744658</v>
      </c>
      <c r="G1295" s="250">
        <v>39685089</v>
      </c>
      <c r="H1295" s="5" t="s">
        <v>10626</v>
      </c>
    </row>
    <row r="1296" spans="1:26" ht="16">
      <c r="A1296" s="250" t="s">
        <v>10627</v>
      </c>
      <c r="B1296" s="250" t="s">
        <v>10628</v>
      </c>
      <c r="C1296" s="251">
        <v>102</v>
      </c>
      <c r="D1296" s="10"/>
      <c r="E1296" s="10"/>
      <c r="F1296" s="252">
        <v>3133964500</v>
      </c>
      <c r="G1296" s="250">
        <v>1032447082</v>
      </c>
      <c r="H1296" s="250" t="s">
        <v>10629</v>
      </c>
    </row>
    <row r="1297" spans="1:26" ht="16">
      <c r="A1297" s="5"/>
      <c r="B1297" s="5"/>
      <c r="C1297" s="263"/>
      <c r="D1297" s="5"/>
      <c r="E1297" s="5"/>
      <c r="F1297" s="264"/>
      <c r="G1297" s="5"/>
      <c r="H1297" s="5"/>
      <c r="I1297" s="354"/>
      <c r="J1297" s="354"/>
      <c r="K1297" s="354"/>
      <c r="L1297" s="354"/>
      <c r="M1297" s="354"/>
      <c r="N1297" s="354"/>
      <c r="O1297" s="354"/>
      <c r="P1297" s="354"/>
      <c r="Q1297" s="354"/>
      <c r="R1297" s="354"/>
      <c r="S1297" s="354"/>
      <c r="T1297" s="354"/>
      <c r="U1297" s="354"/>
      <c r="V1297" s="354"/>
      <c r="W1297" s="354"/>
      <c r="X1297" s="354"/>
      <c r="Y1297" s="354"/>
      <c r="Z1297" s="354"/>
    </row>
    <row r="1298" spans="1:26" ht="16">
      <c r="A1298" s="5"/>
      <c r="B1298" s="5"/>
      <c r="C1298" s="263"/>
      <c r="D1298" s="5"/>
      <c r="E1298" s="5"/>
      <c r="F1298" s="264"/>
      <c r="G1298" s="5"/>
      <c r="H1298" s="5"/>
      <c r="I1298" s="354"/>
      <c r="J1298" s="354"/>
      <c r="K1298" s="354"/>
      <c r="L1298" s="354"/>
      <c r="M1298" s="354"/>
      <c r="N1298" s="354"/>
      <c r="O1298" s="354"/>
      <c r="P1298" s="354"/>
      <c r="Q1298" s="354"/>
      <c r="R1298" s="354"/>
      <c r="S1298" s="354"/>
      <c r="T1298" s="354"/>
      <c r="U1298" s="354"/>
      <c r="V1298" s="354"/>
      <c r="W1298" s="354"/>
      <c r="X1298" s="354"/>
      <c r="Y1298" s="354"/>
      <c r="Z1298" s="354"/>
    </row>
    <row r="1299" spans="1:26" ht="16">
      <c r="A1299" s="5"/>
      <c r="B1299" s="5"/>
      <c r="C1299" s="263"/>
      <c r="D1299" s="5"/>
      <c r="E1299" s="5"/>
      <c r="F1299" s="264"/>
      <c r="G1299" s="5"/>
      <c r="H1299" s="5"/>
      <c r="I1299" s="354"/>
      <c r="J1299" s="354"/>
      <c r="K1299" s="354"/>
      <c r="L1299" s="354"/>
      <c r="M1299" s="354"/>
      <c r="N1299" s="354"/>
      <c r="O1299" s="354"/>
      <c r="P1299" s="354"/>
      <c r="Q1299" s="354"/>
      <c r="R1299" s="354"/>
      <c r="S1299" s="354"/>
      <c r="T1299" s="354"/>
      <c r="U1299" s="354"/>
      <c r="V1299" s="354"/>
      <c r="W1299" s="354"/>
      <c r="X1299" s="354"/>
      <c r="Y1299" s="354"/>
      <c r="Z1299" s="354"/>
    </row>
    <row r="1300" spans="1:26" ht="16">
      <c r="A1300" s="5"/>
      <c r="B1300" s="5"/>
      <c r="C1300" s="263"/>
      <c r="D1300" s="5"/>
      <c r="E1300" s="5"/>
      <c r="F1300" s="264"/>
      <c r="G1300" s="5"/>
      <c r="H1300" s="5"/>
      <c r="I1300" s="354"/>
      <c r="J1300" s="354"/>
      <c r="K1300" s="354"/>
      <c r="L1300" s="354"/>
      <c r="M1300" s="354"/>
      <c r="N1300" s="354"/>
      <c r="O1300" s="354"/>
      <c r="P1300" s="354"/>
      <c r="Q1300" s="354"/>
      <c r="R1300" s="354"/>
      <c r="S1300" s="354"/>
      <c r="T1300" s="354"/>
      <c r="U1300" s="354"/>
      <c r="V1300" s="354"/>
      <c r="W1300" s="354"/>
      <c r="X1300" s="354"/>
      <c r="Y1300" s="354"/>
      <c r="Z1300" s="354"/>
    </row>
    <row r="1301" spans="1:26" ht="16">
      <c r="A1301" s="5"/>
      <c r="B1301" s="5"/>
      <c r="C1301" s="263"/>
      <c r="D1301" s="5"/>
      <c r="E1301" s="5"/>
      <c r="F1301" s="264"/>
      <c r="G1301" s="5"/>
      <c r="H1301" s="5"/>
      <c r="I1301" s="354"/>
      <c r="J1301" s="354"/>
      <c r="K1301" s="354"/>
      <c r="L1301" s="354"/>
      <c r="M1301" s="354"/>
      <c r="N1301" s="354"/>
      <c r="O1301" s="354"/>
      <c r="P1301" s="354"/>
      <c r="Q1301" s="354"/>
      <c r="R1301" s="354"/>
      <c r="S1301" s="354"/>
      <c r="T1301" s="354"/>
      <c r="U1301" s="354"/>
      <c r="V1301" s="354"/>
      <c r="W1301" s="354"/>
      <c r="X1301" s="354"/>
      <c r="Y1301" s="354"/>
      <c r="Z1301" s="354"/>
    </row>
    <row r="1302" spans="1:26" ht="16">
      <c r="A1302" s="5"/>
      <c r="B1302" s="5"/>
      <c r="C1302" s="263"/>
      <c r="D1302" s="5"/>
      <c r="E1302" s="5"/>
      <c r="F1302" s="264"/>
      <c r="G1302" s="5"/>
      <c r="H1302" s="5"/>
      <c r="I1302" s="354"/>
      <c r="J1302" s="354"/>
      <c r="K1302" s="354"/>
      <c r="L1302" s="354"/>
      <c r="M1302" s="354"/>
      <c r="N1302" s="354"/>
      <c r="O1302" s="354"/>
      <c r="P1302" s="354"/>
      <c r="Q1302" s="354"/>
      <c r="R1302" s="354"/>
      <c r="S1302" s="354"/>
      <c r="T1302" s="354"/>
      <c r="U1302" s="354"/>
      <c r="V1302" s="354"/>
      <c r="W1302" s="354"/>
      <c r="X1302" s="354"/>
      <c r="Y1302" s="354"/>
      <c r="Z1302" s="354"/>
    </row>
    <row r="1303" spans="1:26" ht="16">
      <c r="A1303" s="5"/>
      <c r="B1303" s="5"/>
      <c r="C1303" s="263"/>
      <c r="D1303" s="5"/>
      <c r="E1303" s="5"/>
      <c r="F1303" s="264"/>
      <c r="G1303" s="5"/>
      <c r="H1303" s="5"/>
      <c r="I1303" s="354"/>
      <c r="J1303" s="354"/>
      <c r="K1303" s="354"/>
      <c r="L1303" s="354"/>
      <c r="M1303" s="354"/>
      <c r="N1303" s="354"/>
      <c r="O1303" s="354"/>
      <c r="P1303" s="354"/>
      <c r="Q1303" s="354"/>
      <c r="R1303" s="354"/>
      <c r="S1303" s="354"/>
      <c r="T1303" s="354"/>
      <c r="U1303" s="354"/>
      <c r="V1303" s="354"/>
      <c r="W1303" s="354"/>
      <c r="X1303" s="354"/>
      <c r="Y1303" s="354"/>
      <c r="Z1303" s="354"/>
    </row>
    <row r="1304" spans="1:26" ht="16">
      <c r="A1304" s="5"/>
      <c r="B1304" s="5"/>
      <c r="C1304" s="263"/>
      <c r="D1304" s="5"/>
      <c r="E1304" s="5"/>
      <c r="F1304" s="264"/>
      <c r="G1304" s="5"/>
      <c r="H1304" s="5"/>
      <c r="I1304" s="354"/>
      <c r="J1304" s="354"/>
      <c r="K1304" s="354"/>
      <c r="L1304" s="354"/>
      <c r="M1304" s="354"/>
      <c r="N1304" s="354"/>
      <c r="O1304" s="354"/>
      <c r="P1304" s="354"/>
      <c r="Q1304" s="354"/>
      <c r="R1304" s="354"/>
      <c r="S1304" s="354"/>
      <c r="T1304" s="354"/>
      <c r="U1304" s="354"/>
      <c r="V1304" s="354"/>
      <c r="W1304" s="354"/>
      <c r="X1304" s="354"/>
      <c r="Y1304" s="354"/>
      <c r="Z1304" s="354"/>
    </row>
    <row r="1305" spans="1:26" ht="16">
      <c r="A1305" s="5"/>
      <c r="B1305" s="5"/>
      <c r="C1305" s="263"/>
      <c r="D1305" s="5"/>
      <c r="E1305" s="5"/>
      <c r="F1305" s="264"/>
      <c r="G1305" s="5"/>
      <c r="H1305" s="5"/>
      <c r="I1305" s="354"/>
      <c r="J1305" s="354"/>
      <c r="K1305" s="354"/>
      <c r="L1305" s="354"/>
      <c r="M1305" s="354"/>
      <c r="N1305" s="354"/>
      <c r="O1305" s="354"/>
      <c r="P1305" s="354"/>
      <c r="Q1305" s="354"/>
      <c r="R1305" s="354"/>
      <c r="S1305" s="354"/>
      <c r="T1305" s="354"/>
      <c r="U1305" s="354"/>
      <c r="V1305" s="354"/>
      <c r="W1305" s="354"/>
      <c r="X1305" s="354"/>
      <c r="Y1305" s="354"/>
      <c r="Z1305" s="354"/>
    </row>
    <row r="1306" spans="1:26" ht="16">
      <c r="A1306" s="5"/>
      <c r="B1306" s="5"/>
      <c r="C1306" s="263"/>
      <c r="D1306" s="5"/>
      <c r="E1306" s="5"/>
      <c r="F1306" s="264"/>
      <c r="G1306" s="5"/>
      <c r="H1306" s="5"/>
      <c r="I1306" s="354"/>
      <c r="J1306" s="354"/>
      <c r="K1306" s="354"/>
      <c r="L1306" s="354"/>
      <c r="M1306" s="354"/>
      <c r="N1306" s="354"/>
      <c r="O1306" s="354"/>
      <c r="P1306" s="354"/>
      <c r="Q1306" s="354"/>
      <c r="R1306" s="354"/>
      <c r="S1306" s="354"/>
      <c r="T1306" s="354"/>
      <c r="U1306" s="354"/>
      <c r="V1306" s="354"/>
      <c r="W1306" s="354"/>
      <c r="X1306" s="354"/>
      <c r="Y1306" s="354"/>
      <c r="Z1306" s="354"/>
    </row>
    <row r="1307" spans="1:26" ht="16">
      <c r="A1307" s="5"/>
      <c r="B1307" s="5"/>
      <c r="C1307" s="263"/>
      <c r="D1307" s="5"/>
      <c r="E1307" s="5"/>
      <c r="F1307" s="264"/>
      <c r="G1307" s="5"/>
      <c r="H1307" s="5"/>
      <c r="I1307" s="354"/>
      <c r="J1307" s="354"/>
      <c r="K1307" s="354"/>
      <c r="L1307" s="354"/>
      <c r="M1307" s="354"/>
      <c r="N1307" s="354"/>
      <c r="O1307" s="354"/>
      <c r="P1307" s="354"/>
      <c r="Q1307" s="354"/>
      <c r="R1307" s="354"/>
      <c r="S1307" s="354"/>
      <c r="T1307" s="354"/>
      <c r="U1307" s="354"/>
      <c r="V1307" s="354"/>
      <c r="W1307" s="354"/>
      <c r="X1307" s="354"/>
      <c r="Y1307" s="354"/>
      <c r="Z1307" s="354"/>
    </row>
    <row r="1308" spans="1:26" ht="16">
      <c r="A1308" s="5"/>
      <c r="B1308" s="5"/>
      <c r="C1308" s="263"/>
      <c r="D1308" s="5"/>
      <c r="E1308" s="5"/>
      <c r="F1308" s="264"/>
      <c r="G1308" s="5"/>
      <c r="H1308" s="5"/>
      <c r="I1308" s="354"/>
      <c r="J1308" s="354"/>
      <c r="K1308" s="354"/>
      <c r="L1308" s="354"/>
      <c r="M1308" s="354"/>
      <c r="N1308" s="354"/>
      <c r="O1308" s="354"/>
      <c r="P1308" s="354"/>
      <c r="Q1308" s="354"/>
      <c r="R1308" s="354"/>
      <c r="S1308" s="354"/>
      <c r="T1308" s="354"/>
      <c r="U1308" s="354"/>
      <c r="V1308" s="354"/>
      <c r="W1308" s="354"/>
      <c r="X1308" s="354"/>
      <c r="Y1308" s="354"/>
      <c r="Z1308" s="354"/>
    </row>
    <row r="1309" spans="1:26" ht="16">
      <c r="A1309" s="5"/>
      <c r="B1309" s="5"/>
      <c r="C1309" s="263"/>
      <c r="D1309" s="5"/>
      <c r="E1309" s="5"/>
      <c r="F1309" s="264"/>
      <c r="G1309" s="5"/>
      <c r="H1309" s="5"/>
      <c r="I1309" s="354"/>
      <c r="J1309" s="354"/>
      <c r="K1309" s="354"/>
      <c r="L1309" s="354"/>
      <c r="M1309" s="354"/>
      <c r="N1309" s="354"/>
      <c r="O1309" s="354"/>
      <c r="P1309" s="354"/>
      <c r="Q1309" s="354"/>
      <c r="R1309" s="354"/>
      <c r="S1309" s="354"/>
      <c r="T1309" s="354"/>
      <c r="U1309" s="354"/>
      <c r="V1309" s="354"/>
      <c r="W1309" s="354"/>
      <c r="X1309" s="354"/>
      <c r="Y1309" s="354"/>
      <c r="Z1309" s="354"/>
    </row>
    <row r="1310" spans="1:26" ht="16">
      <c r="A1310" s="5"/>
      <c r="B1310" s="5"/>
      <c r="C1310" s="263"/>
      <c r="D1310" s="5"/>
      <c r="E1310" s="5"/>
      <c r="F1310" s="264"/>
      <c r="G1310" s="5"/>
      <c r="H1310" s="5"/>
      <c r="I1310" s="354"/>
      <c r="J1310" s="354"/>
      <c r="K1310" s="354"/>
      <c r="L1310" s="354"/>
      <c r="M1310" s="354"/>
      <c r="N1310" s="354"/>
      <c r="O1310" s="354"/>
      <c r="P1310" s="354"/>
      <c r="Q1310" s="354"/>
      <c r="R1310" s="354"/>
      <c r="S1310" s="354"/>
      <c r="T1310" s="354"/>
      <c r="U1310" s="354"/>
      <c r="V1310" s="354"/>
      <c r="W1310" s="354"/>
      <c r="X1310" s="354"/>
      <c r="Y1310" s="354"/>
      <c r="Z1310" s="354"/>
    </row>
    <row r="1311" spans="1:26" ht="16">
      <c r="A1311" s="5"/>
      <c r="B1311" s="5"/>
      <c r="C1311" s="263"/>
      <c r="D1311" s="5"/>
      <c r="E1311" s="5"/>
      <c r="F1311" s="264"/>
      <c r="G1311" s="5"/>
      <c r="H1311" s="5"/>
      <c r="I1311" s="354"/>
      <c r="J1311" s="354"/>
      <c r="K1311" s="354"/>
      <c r="L1311" s="354"/>
      <c r="M1311" s="354"/>
      <c r="N1311" s="354"/>
      <c r="O1311" s="354"/>
      <c r="P1311" s="354"/>
      <c r="Q1311" s="354"/>
      <c r="R1311" s="354"/>
      <c r="S1311" s="354"/>
      <c r="T1311" s="354"/>
      <c r="U1311" s="354"/>
      <c r="V1311" s="354"/>
      <c r="W1311" s="354"/>
      <c r="X1311" s="354"/>
      <c r="Y1311" s="354"/>
      <c r="Z1311" s="354"/>
    </row>
    <row r="1312" spans="1:26" ht="16">
      <c r="A1312" s="5"/>
      <c r="B1312" s="5"/>
      <c r="C1312" s="263"/>
      <c r="D1312" s="5"/>
      <c r="E1312" s="5"/>
      <c r="F1312" s="264"/>
      <c r="G1312" s="5"/>
      <c r="H1312" s="5"/>
      <c r="I1312" s="354"/>
      <c r="J1312" s="354"/>
      <c r="K1312" s="354"/>
      <c r="L1312" s="354"/>
      <c r="M1312" s="354"/>
      <c r="N1312" s="354"/>
      <c r="O1312" s="354"/>
      <c r="P1312" s="354"/>
      <c r="Q1312" s="354"/>
      <c r="R1312" s="354"/>
      <c r="S1312" s="354"/>
      <c r="T1312" s="354"/>
      <c r="U1312" s="354"/>
      <c r="V1312" s="354"/>
      <c r="W1312" s="354"/>
      <c r="X1312" s="354"/>
      <c r="Y1312" s="354"/>
      <c r="Z1312" s="354"/>
    </row>
    <row r="1313" spans="1:26" ht="16">
      <c r="A1313" s="5"/>
      <c r="B1313" s="5"/>
      <c r="C1313" s="263"/>
      <c r="D1313" s="5"/>
      <c r="E1313" s="5"/>
      <c r="F1313" s="264"/>
      <c r="G1313" s="5"/>
      <c r="H1313" s="5"/>
      <c r="I1313" s="354"/>
      <c r="J1313" s="354"/>
      <c r="K1313" s="354"/>
      <c r="L1313" s="354"/>
      <c r="M1313" s="354"/>
      <c r="N1313" s="354"/>
      <c r="O1313" s="354"/>
      <c r="P1313" s="354"/>
      <c r="Q1313" s="354"/>
      <c r="R1313" s="354"/>
      <c r="S1313" s="354"/>
      <c r="T1313" s="354"/>
      <c r="U1313" s="354"/>
      <c r="V1313" s="354"/>
      <c r="W1313" s="354"/>
      <c r="X1313" s="354"/>
      <c r="Y1313" s="354"/>
      <c r="Z1313" s="354"/>
    </row>
    <row r="1314" spans="1:26" ht="16">
      <c r="A1314" s="5"/>
      <c r="B1314" s="5"/>
      <c r="C1314" s="263"/>
      <c r="D1314" s="5"/>
      <c r="E1314" s="5"/>
      <c r="F1314" s="264"/>
      <c r="G1314" s="5"/>
      <c r="H1314" s="5"/>
      <c r="I1314" s="354"/>
      <c r="J1314" s="354"/>
      <c r="K1314" s="354"/>
      <c r="L1314" s="354"/>
      <c r="M1314" s="354"/>
      <c r="N1314" s="354"/>
      <c r="O1314" s="354"/>
      <c r="P1314" s="354"/>
      <c r="Q1314" s="354"/>
      <c r="R1314" s="354"/>
      <c r="S1314" s="354"/>
      <c r="T1314" s="354"/>
      <c r="U1314" s="354"/>
      <c r="V1314" s="354"/>
      <c r="W1314" s="354"/>
      <c r="X1314" s="354"/>
      <c r="Y1314" s="354"/>
      <c r="Z1314" s="354"/>
    </row>
    <row r="1315" spans="1:26" ht="16">
      <c r="A1315" s="5"/>
      <c r="B1315" s="5"/>
      <c r="C1315" s="263"/>
      <c r="D1315" s="5"/>
      <c r="E1315" s="5"/>
      <c r="F1315" s="264"/>
      <c r="G1315" s="5"/>
      <c r="H1315" s="5"/>
      <c r="I1315" s="354"/>
      <c r="J1315" s="354"/>
      <c r="K1315" s="354"/>
      <c r="L1315" s="354"/>
      <c r="M1315" s="354"/>
      <c r="N1315" s="354"/>
      <c r="O1315" s="354"/>
      <c r="P1315" s="354"/>
      <c r="Q1315" s="354"/>
      <c r="R1315" s="354"/>
      <c r="S1315" s="354"/>
      <c r="T1315" s="354"/>
      <c r="U1315" s="354"/>
      <c r="V1315" s="354"/>
      <c r="W1315" s="354"/>
      <c r="X1315" s="354"/>
      <c r="Y1315" s="354"/>
      <c r="Z1315" s="354"/>
    </row>
    <row r="1316" spans="1:26" ht="16">
      <c r="A1316" s="5"/>
      <c r="B1316" s="5"/>
      <c r="C1316" s="263"/>
      <c r="D1316" s="5"/>
      <c r="E1316" s="5"/>
      <c r="F1316" s="264"/>
      <c r="G1316" s="5"/>
      <c r="H1316" s="5"/>
      <c r="I1316" s="354"/>
      <c r="J1316" s="354"/>
      <c r="K1316" s="354"/>
      <c r="L1316" s="354"/>
      <c r="M1316" s="354"/>
      <c r="N1316" s="354"/>
      <c r="O1316" s="354"/>
      <c r="P1316" s="354"/>
      <c r="Q1316" s="354"/>
      <c r="R1316" s="354"/>
      <c r="S1316" s="354"/>
      <c r="T1316" s="354"/>
      <c r="U1316" s="354"/>
      <c r="V1316" s="354"/>
      <c r="W1316" s="354"/>
      <c r="X1316" s="354"/>
      <c r="Y1316" s="354"/>
      <c r="Z1316" s="354"/>
    </row>
    <row r="1317" spans="1:26" ht="16">
      <c r="A1317" s="5"/>
      <c r="B1317" s="5"/>
      <c r="C1317" s="263"/>
      <c r="D1317" s="5"/>
      <c r="E1317" s="5"/>
      <c r="F1317" s="264"/>
      <c r="G1317" s="5"/>
      <c r="H1317" s="5"/>
      <c r="I1317" s="354"/>
      <c r="J1317" s="354"/>
      <c r="K1317" s="354"/>
      <c r="L1317" s="354"/>
      <c r="M1317" s="354"/>
      <c r="N1317" s="354"/>
      <c r="O1317" s="354"/>
      <c r="P1317" s="354"/>
      <c r="Q1317" s="354"/>
      <c r="R1317" s="354"/>
      <c r="S1317" s="354"/>
      <c r="T1317" s="354"/>
      <c r="U1317" s="354"/>
      <c r="V1317" s="354"/>
      <c r="W1317" s="354"/>
      <c r="X1317" s="354"/>
      <c r="Y1317" s="354"/>
      <c r="Z1317" s="354"/>
    </row>
    <row r="1318" spans="1:26" ht="16">
      <c r="A1318" s="5"/>
      <c r="B1318" s="5"/>
      <c r="C1318" s="263"/>
      <c r="D1318" s="5"/>
      <c r="E1318" s="5"/>
      <c r="F1318" s="264"/>
      <c r="G1318" s="5"/>
      <c r="H1318" s="5"/>
      <c r="I1318" s="354"/>
      <c r="J1318" s="354"/>
      <c r="K1318" s="354"/>
      <c r="L1318" s="354"/>
      <c r="M1318" s="354"/>
      <c r="N1318" s="354"/>
      <c r="O1318" s="354"/>
      <c r="P1318" s="354"/>
      <c r="Q1318" s="354"/>
      <c r="R1318" s="354"/>
      <c r="S1318" s="354"/>
      <c r="T1318" s="354"/>
      <c r="U1318" s="354"/>
      <c r="V1318" s="354"/>
      <c r="W1318" s="354"/>
      <c r="X1318" s="354"/>
      <c r="Y1318" s="354"/>
      <c r="Z1318" s="354"/>
    </row>
    <row r="1319" spans="1:26" ht="16">
      <c r="A1319" s="5"/>
      <c r="B1319" s="5"/>
      <c r="C1319" s="263"/>
      <c r="D1319" s="5"/>
      <c r="E1319" s="5"/>
      <c r="F1319" s="264"/>
      <c r="G1319" s="5"/>
      <c r="H1319" s="5"/>
      <c r="I1319" s="354"/>
      <c r="J1319" s="354"/>
      <c r="K1319" s="354"/>
      <c r="L1319" s="354"/>
      <c r="M1319" s="354"/>
      <c r="N1319" s="354"/>
      <c r="O1319" s="354"/>
      <c r="P1319" s="354"/>
      <c r="Q1319" s="354"/>
      <c r="R1319" s="354"/>
      <c r="S1319" s="354"/>
      <c r="T1319" s="354"/>
      <c r="U1319" s="354"/>
      <c r="V1319" s="354"/>
      <c r="W1319" s="354"/>
      <c r="X1319" s="354"/>
      <c r="Y1319" s="354"/>
      <c r="Z1319" s="354"/>
    </row>
    <row r="1320" spans="1:26" ht="16">
      <c r="A1320" s="5"/>
      <c r="B1320" s="5"/>
      <c r="C1320" s="263"/>
      <c r="D1320" s="5"/>
      <c r="E1320" s="5"/>
      <c r="F1320" s="264"/>
      <c r="G1320" s="5"/>
      <c r="H1320" s="5"/>
      <c r="I1320" s="354"/>
      <c r="J1320" s="354"/>
      <c r="K1320" s="354"/>
      <c r="L1320" s="354"/>
      <c r="M1320" s="354"/>
      <c r="N1320" s="354"/>
      <c r="O1320" s="354"/>
      <c r="P1320" s="354"/>
      <c r="Q1320" s="354"/>
      <c r="R1320" s="354"/>
      <c r="S1320" s="354"/>
      <c r="T1320" s="354"/>
      <c r="U1320" s="354"/>
      <c r="V1320" s="354"/>
      <c r="W1320" s="354"/>
      <c r="X1320" s="354"/>
      <c r="Y1320" s="354"/>
      <c r="Z1320" s="354"/>
    </row>
    <row r="1321" spans="1:26" ht="16">
      <c r="A1321" s="5"/>
      <c r="B1321" s="5"/>
      <c r="C1321" s="263"/>
      <c r="D1321" s="5"/>
      <c r="E1321" s="5"/>
      <c r="F1321" s="264"/>
      <c r="G1321" s="5"/>
      <c r="H1321" s="5"/>
      <c r="I1321" s="354"/>
      <c r="J1321" s="354"/>
      <c r="K1321" s="354"/>
      <c r="L1321" s="354"/>
      <c r="M1321" s="354"/>
      <c r="N1321" s="354"/>
      <c r="O1321" s="354"/>
      <c r="P1321" s="354"/>
      <c r="Q1321" s="354"/>
      <c r="R1321" s="354"/>
      <c r="S1321" s="354"/>
      <c r="T1321" s="354"/>
      <c r="U1321" s="354"/>
      <c r="V1321" s="354"/>
      <c r="W1321" s="354"/>
      <c r="X1321" s="354"/>
      <c r="Y1321" s="354"/>
      <c r="Z1321" s="354"/>
    </row>
    <row r="1322" spans="1:26" ht="16">
      <c r="A1322" s="5"/>
      <c r="B1322" s="5"/>
      <c r="C1322" s="263"/>
      <c r="D1322" s="5"/>
      <c r="E1322" s="5"/>
      <c r="F1322" s="264"/>
      <c r="G1322" s="5"/>
      <c r="H1322" s="5"/>
      <c r="I1322" s="354"/>
      <c r="J1322" s="354"/>
      <c r="K1322" s="354"/>
      <c r="L1322" s="354"/>
      <c r="M1322" s="354"/>
      <c r="N1322" s="354"/>
      <c r="O1322" s="354"/>
      <c r="P1322" s="354"/>
      <c r="Q1322" s="354"/>
      <c r="R1322" s="354"/>
      <c r="S1322" s="354"/>
      <c r="T1322" s="354"/>
      <c r="U1322" s="354"/>
      <c r="V1322" s="354"/>
      <c r="W1322" s="354"/>
      <c r="X1322" s="354"/>
      <c r="Y1322" s="354"/>
      <c r="Z1322" s="354"/>
    </row>
    <row r="1323" spans="1:26" ht="16">
      <c r="A1323" s="5"/>
      <c r="B1323" s="5"/>
      <c r="C1323" s="263"/>
      <c r="D1323" s="5"/>
      <c r="E1323" s="5"/>
      <c r="F1323" s="264"/>
      <c r="G1323" s="5"/>
      <c r="H1323" s="5"/>
      <c r="I1323" s="354"/>
      <c r="J1323" s="354"/>
      <c r="K1323" s="354"/>
      <c r="L1323" s="354"/>
      <c r="M1323" s="354"/>
      <c r="N1323" s="354"/>
      <c r="O1323" s="354"/>
      <c r="P1323" s="354"/>
      <c r="Q1323" s="354"/>
      <c r="R1323" s="354"/>
      <c r="S1323" s="354"/>
      <c r="T1323" s="354"/>
      <c r="U1323" s="354"/>
      <c r="V1323" s="354"/>
      <c r="W1323" s="354"/>
      <c r="X1323" s="354"/>
      <c r="Y1323" s="354"/>
      <c r="Z1323" s="354"/>
    </row>
    <row r="1324" spans="1:26" ht="16">
      <c r="A1324" s="5"/>
      <c r="B1324" s="5"/>
      <c r="C1324" s="263"/>
      <c r="D1324" s="5"/>
      <c r="E1324" s="5"/>
      <c r="F1324" s="264"/>
      <c r="G1324" s="5"/>
      <c r="H1324" s="5"/>
      <c r="I1324" s="354"/>
      <c r="J1324" s="354"/>
      <c r="K1324" s="354"/>
      <c r="L1324" s="354"/>
      <c r="M1324" s="354"/>
      <c r="N1324" s="354"/>
      <c r="O1324" s="354"/>
      <c r="P1324" s="354"/>
      <c r="Q1324" s="354"/>
      <c r="R1324" s="354"/>
      <c r="S1324" s="354"/>
      <c r="T1324" s="354"/>
      <c r="U1324" s="354"/>
      <c r="V1324" s="354"/>
      <c r="W1324" s="354"/>
      <c r="X1324" s="354"/>
      <c r="Y1324" s="354"/>
      <c r="Z1324" s="354"/>
    </row>
    <row r="1325" spans="1:26" ht="16">
      <c r="A1325" s="5"/>
      <c r="B1325" s="5"/>
      <c r="C1325" s="263"/>
      <c r="D1325" s="5"/>
      <c r="E1325" s="5"/>
      <c r="F1325" s="264"/>
      <c r="G1325" s="5"/>
      <c r="H1325" s="5"/>
      <c r="I1325" s="354"/>
      <c r="J1325" s="354"/>
      <c r="K1325" s="354"/>
      <c r="L1325" s="354"/>
      <c r="M1325" s="354"/>
      <c r="N1325" s="354"/>
      <c r="O1325" s="354"/>
      <c r="P1325" s="354"/>
      <c r="Q1325" s="354"/>
      <c r="R1325" s="354"/>
      <c r="S1325" s="354"/>
      <c r="T1325" s="354"/>
      <c r="U1325" s="354"/>
      <c r="V1325" s="354"/>
      <c r="W1325" s="354"/>
      <c r="X1325" s="354"/>
      <c r="Y1325" s="354"/>
      <c r="Z1325" s="354"/>
    </row>
    <row r="1326" spans="1:26" ht="16">
      <c r="A1326" s="5"/>
      <c r="B1326" s="5"/>
      <c r="C1326" s="263"/>
      <c r="D1326" s="5"/>
      <c r="E1326" s="5"/>
      <c r="F1326" s="264"/>
      <c r="G1326" s="5"/>
      <c r="H1326" s="5"/>
      <c r="I1326" s="354"/>
      <c r="J1326" s="354"/>
      <c r="K1326" s="354"/>
      <c r="L1326" s="354"/>
      <c r="M1326" s="354"/>
      <c r="N1326" s="354"/>
      <c r="O1326" s="354"/>
      <c r="P1326" s="354"/>
      <c r="Q1326" s="354"/>
      <c r="R1326" s="354"/>
      <c r="S1326" s="354"/>
      <c r="T1326" s="354"/>
      <c r="U1326" s="354"/>
      <c r="V1326" s="354"/>
      <c r="W1326" s="354"/>
      <c r="X1326" s="354"/>
      <c r="Y1326" s="354"/>
      <c r="Z1326" s="354"/>
    </row>
    <row r="1327" spans="1:26" ht="16">
      <c r="A1327" s="5"/>
      <c r="B1327" s="5"/>
      <c r="C1327" s="263"/>
      <c r="D1327" s="5"/>
      <c r="E1327" s="5"/>
      <c r="F1327" s="264"/>
      <c r="G1327" s="5"/>
      <c r="H1327" s="5"/>
      <c r="I1327" s="354"/>
      <c r="J1327" s="354"/>
      <c r="K1327" s="354"/>
      <c r="L1327" s="354"/>
      <c r="M1327" s="354"/>
      <c r="N1327" s="354"/>
      <c r="O1327" s="354"/>
      <c r="P1327" s="354"/>
      <c r="Q1327" s="354"/>
      <c r="R1327" s="354"/>
      <c r="S1327" s="354"/>
      <c r="T1327" s="354"/>
      <c r="U1327" s="354"/>
      <c r="V1327" s="354"/>
      <c r="W1327" s="354"/>
      <c r="X1327" s="354"/>
      <c r="Y1327" s="354"/>
      <c r="Z1327" s="354"/>
    </row>
    <row r="1328" spans="1:26" ht="16">
      <c r="A1328" s="5"/>
      <c r="B1328" s="5"/>
      <c r="C1328" s="263"/>
      <c r="D1328" s="5"/>
      <c r="E1328" s="5"/>
      <c r="F1328" s="264"/>
      <c r="G1328" s="5"/>
      <c r="H1328" s="5"/>
      <c r="I1328" s="354"/>
      <c r="J1328" s="354"/>
      <c r="K1328" s="354"/>
      <c r="L1328" s="354"/>
      <c r="M1328" s="354"/>
      <c r="N1328" s="354"/>
      <c r="O1328" s="354"/>
      <c r="P1328" s="354"/>
      <c r="Q1328" s="354"/>
      <c r="R1328" s="354"/>
      <c r="S1328" s="354"/>
      <c r="T1328" s="354"/>
      <c r="U1328" s="354"/>
      <c r="V1328" s="354"/>
      <c r="W1328" s="354"/>
      <c r="X1328" s="354"/>
      <c r="Y1328" s="354"/>
      <c r="Z1328" s="354"/>
    </row>
    <row r="1329" spans="1:26" ht="16">
      <c r="A1329" s="5"/>
      <c r="B1329" s="5"/>
      <c r="C1329" s="263"/>
      <c r="D1329" s="5"/>
      <c r="E1329" s="5"/>
      <c r="F1329" s="264"/>
      <c r="G1329" s="5"/>
      <c r="H1329" s="5"/>
      <c r="I1329" s="354"/>
      <c r="J1329" s="354"/>
      <c r="K1329" s="354"/>
      <c r="L1329" s="354"/>
      <c r="M1329" s="354"/>
      <c r="N1329" s="354"/>
      <c r="O1329" s="354"/>
      <c r="P1329" s="354"/>
      <c r="Q1329" s="354"/>
      <c r="R1329" s="354"/>
      <c r="S1329" s="354"/>
      <c r="T1329" s="354"/>
      <c r="U1329" s="354"/>
      <c r="V1329" s="354"/>
      <c r="W1329" s="354"/>
      <c r="X1329" s="354"/>
      <c r="Y1329" s="354"/>
      <c r="Z1329" s="354"/>
    </row>
    <row r="1330" spans="1:26" ht="16">
      <c r="A1330" s="5"/>
      <c r="B1330" s="5"/>
      <c r="C1330" s="263"/>
      <c r="D1330" s="5"/>
      <c r="E1330" s="5"/>
      <c r="F1330" s="264"/>
      <c r="G1330" s="5"/>
      <c r="H1330" s="5"/>
      <c r="I1330" s="354"/>
      <c r="J1330" s="354"/>
      <c r="K1330" s="354"/>
      <c r="L1330" s="354"/>
      <c r="M1330" s="354"/>
      <c r="N1330" s="354"/>
      <c r="O1330" s="354"/>
      <c r="P1330" s="354"/>
      <c r="Q1330" s="354"/>
      <c r="R1330" s="354"/>
      <c r="S1330" s="354"/>
      <c r="T1330" s="354"/>
      <c r="U1330" s="354"/>
      <c r="V1330" s="354"/>
      <c r="W1330" s="354"/>
      <c r="X1330" s="354"/>
      <c r="Y1330" s="354"/>
      <c r="Z1330" s="354"/>
    </row>
    <row r="1331" spans="1:26" ht="16">
      <c r="A1331" s="5"/>
      <c r="B1331" s="5"/>
      <c r="C1331" s="263"/>
      <c r="D1331" s="5"/>
      <c r="E1331" s="5"/>
      <c r="F1331" s="264"/>
      <c r="G1331" s="5"/>
      <c r="H1331" s="5"/>
      <c r="I1331" s="354"/>
      <c r="J1331" s="354"/>
      <c r="K1331" s="354"/>
      <c r="L1331" s="354"/>
      <c r="M1331" s="354"/>
      <c r="N1331" s="354"/>
      <c r="O1331" s="354"/>
      <c r="P1331" s="354"/>
      <c r="Q1331" s="354"/>
      <c r="R1331" s="354"/>
      <c r="S1331" s="354"/>
      <c r="T1331" s="354"/>
      <c r="U1331" s="354"/>
      <c r="V1331" s="354"/>
      <c r="W1331" s="354"/>
      <c r="X1331" s="354"/>
      <c r="Y1331" s="354"/>
      <c r="Z1331" s="354"/>
    </row>
    <row r="1332" spans="1:26" ht="16">
      <c r="A1332" s="5"/>
      <c r="B1332" s="5"/>
      <c r="C1332" s="263"/>
      <c r="D1332" s="5"/>
      <c r="E1332" s="5"/>
      <c r="F1332" s="264"/>
      <c r="G1332" s="5"/>
      <c r="H1332" s="5"/>
      <c r="I1332" s="354"/>
      <c r="J1332" s="354"/>
      <c r="K1332" s="354"/>
      <c r="L1332" s="354"/>
      <c r="M1332" s="354"/>
      <c r="N1332" s="354"/>
      <c r="O1332" s="354"/>
      <c r="P1332" s="354"/>
      <c r="Q1332" s="354"/>
      <c r="R1332" s="354"/>
      <c r="S1332" s="354"/>
      <c r="T1332" s="354"/>
      <c r="U1332" s="354"/>
      <c r="V1332" s="354"/>
      <c r="W1332" s="354"/>
      <c r="X1332" s="354"/>
      <c r="Y1332" s="354"/>
      <c r="Z1332" s="354"/>
    </row>
    <row r="1333" spans="1:26" ht="16">
      <c r="A1333" s="5"/>
      <c r="B1333" s="5"/>
      <c r="C1333" s="263"/>
      <c r="D1333" s="5"/>
      <c r="E1333" s="5"/>
      <c r="F1333" s="264"/>
      <c r="G1333" s="5"/>
      <c r="H1333" s="5"/>
      <c r="I1333" s="354"/>
      <c r="J1333" s="354"/>
      <c r="K1333" s="354"/>
      <c r="L1333" s="354"/>
      <c r="M1333" s="354"/>
      <c r="N1333" s="354"/>
      <c r="O1333" s="354"/>
      <c r="P1333" s="354"/>
      <c r="Q1333" s="354"/>
      <c r="R1333" s="354"/>
      <c r="S1333" s="354"/>
      <c r="T1333" s="354"/>
      <c r="U1333" s="354"/>
      <c r="V1333" s="354"/>
      <c r="W1333" s="354"/>
      <c r="X1333" s="354"/>
      <c r="Y1333" s="354"/>
      <c r="Z1333" s="354"/>
    </row>
    <row r="1334" spans="1:26" ht="16">
      <c r="A1334" s="5"/>
      <c r="B1334" s="5"/>
      <c r="C1334" s="263"/>
      <c r="D1334" s="5"/>
      <c r="E1334" s="5"/>
      <c r="F1334" s="264"/>
      <c r="G1334" s="5"/>
      <c r="H1334" s="5"/>
      <c r="I1334" s="354"/>
      <c r="J1334" s="354"/>
      <c r="K1334" s="354"/>
      <c r="L1334" s="354"/>
      <c r="M1334" s="354"/>
      <c r="N1334" s="354"/>
      <c r="O1334" s="354"/>
      <c r="P1334" s="354"/>
      <c r="Q1334" s="354"/>
      <c r="R1334" s="354"/>
      <c r="S1334" s="354"/>
      <c r="T1334" s="354"/>
      <c r="U1334" s="354"/>
      <c r="V1334" s="354"/>
      <c r="W1334" s="354"/>
      <c r="X1334" s="354"/>
      <c r="Y1334" s="354"/>
      <c r="Z1334" s="354"/>
    </row>
    <row r="1335" spans="1:26" ht="16">
      <c r="A1335" s="5"/>
      <c r="B1335" s="5"/>
      <c r="C1335" s="263"/>
      <c r="D1335" s="5"/>
      <c r="E1335" s="5"/>
      <c r="F1335" s="264"/>
      <c r="G1335" s="5"/>
      <c r="H1335" s="5"/>
      <c r="I1335" s="354"/>
      <c r="J1335" s="354"/>
      <c r="K1335" s="354"/>
      <c r="L1335" s="354"/>
      <c r="M1335" s="354"/>
      <c r="N1335" s="354"/>
      <c r="O1335" s="354"/>
      <c r="P1335" s="354"/>
      <c r="Q1335" s="354"/>
      <c r="R1335" s="354"/>
      <c r="S1335" s="354"/>
      <c r="T1335" s="354"/>
      <c r="U1335" s="354"/>
      <c r="V1335" s="354"/>
      <c r="W1335" s="354"/>
      <c r="X1335" s="354"/>
      <c r="Y1335" s="354"/>
      <c r="Z1335" s="354"/>
    </row>
    <row r="1336" spans="1:26" ht="16">
      <c r="A1336" s="5"/>
      <c r="B1336" s="5"/>
      <c r="C1336" s="263"/>
      <c r="D1336" s="5"/>
      <c r="E1336" s="5"/>
      <c r="F1336" s="264"/>
      <c r="G1336" s="5"/>
      <c r="H1336" s="5"/>
      <c r="I1336" s="354"/>
      <c r="J1336" s="354"/>
      <c r="K1336" s="354"/>
      <c r="L1336" s="354"/>
      <c r="M1336" s="354"/>
      <c r="N1336" s="354"/>
      <c r="O1336" s="354"/>
      <c r="P1336" s="354"/>
      <c r="Q1336" s="354"/>
      <c r="R1336" s="354"/>
      <c r="S1336" s="354"/>
      <c r="T1336" s="354"/>
      <c r="U1336" s="354"/>
      <c r="V1336" s="354"/>
      <c r="W1336" s="354"/>
      <c r="X1336" s="354"/>
      <c r="Y1336" s="354"/>
      <c r="Z1336" s="354"/>
    </row>
    <row r="1337" spans="1:26" ht="16">
      <c r="A1337" s="5"/>
      <c r="B1337" s="5"/>
      <c r="C1337" s="263"/>
      <c r="D1337" s="5"/>
      <c r="E1337" s="5"/>
      <c r="F1337" s="264"/>
      <c r="G1337" s="5"/>
      <c r="H1337" s="5"/>
      <c r="I1337" s="354"/>
      <c r="J1337" s="354"/>
      <c r="K1337" s="354"/>
      <c r="L1337" s="354"/>
      <c r="M1337" s="354"/>
      <c r="N1337" s="354"/>
      <c r="O1337" s="354"/>
      <c r="P1337" s="354"/>
      <c r="Q1337" s="354"/>
      <c r="R1337" s="354"/>
      <c r="S1337" s="354"/>
      <c r="T1337" s="354"/>
      <c r="U1337" s="354"/>
      <c r="V1337" s="354"/>
      <c r="W1337" s="354"/>
      <c r="X1337" s="354"/>
      <c r="Y1337" s="354"/>
      <c r="Z1337" s="354"/>
    </row>
    <row r="1338" spans="1:26" ht="16">
      <c r="A1338" s="5"/>
      <c r="B1338" s="5"/>
      <c r="C1338" s="263"/>
      <c r="D1338" s="5"/>
      <c r="E1338" s="5"/>
      <c r="F1338" s="264"/>
      <c r="G1338" s="5"/>
      <c r="H1338" s="5"/>
      <c r="I1338" s="354"/>
      <c r="J1338" s="354"/>
      <c r="K1338" s="354"/>
      <c r="L1338" s="354"/>
      <c r="M1338" s="354"/>
      <c r="N1338" s="354"/>
      <c r="O1338" s="354"/>
      <c r="P1338" s="354"/>
      <c r="Q1338" s="354"/>
      <c r="R1338" s="354"/>
      <c r="S1338" s="354"/>
      <c r="T1338" s="354"/>
      <c r="U1338" s="354"/>
      <c r="V1338" s="354"/>
      <c r="W1338" s="354"/>
      <c r="X1338" s="354"/>
      <c r="Y1338" s="354"/>
      <c r="Z1338" s="354"/>
    </row>
    <row r="1339" spans="1:26" ht="16">
      <c r="A1339" s="5"/>
      <c r="B1339" s="5"/>
      <c r="C1339" s="263"/>
      <c r="D1339" s="5"/>
      <c r="E1339" s="5"/>
      <c r="F1339" s="264"/>
      <c r="G1339" s="5"/>
      <c r="H1339" s="5"/>
      <c r="I1339" s="354"/>
      <c r="J1339" s="354"/>
      <c r="K1339" s="354"/>
      <c r="L1339" s="354"/>
      <c r="M1339" s="354"/>
      <c r="N1339" s="354"/>
      <c r="O1339" s="354"/>
      <c r="P1339" s="354"/>
      <c r="Q1339" s="354"/>
      <c r="R1339" s="354"/>
      <c r="S1339" s="354"/>
      <c r="T1339" s="354"/>
      <c r="U1339" s="354"/>
      <c r="V1339" s="354"/>
      <c r="W1339" s="354"/>
      <c r="X1339" s="354"/>
      <c r="Y1339" s="354"/>
      <c r="Z1339" s="354"/>
    </row>
    <row r="1340" spans="1:26" ht="16">
      <c r="A1340" s="5"/>
      <c r="B1340" s="5"/>
      <c r="C1340" s="263"/>
      <c r="D1340" s="5"/>
      <c r="E1340" s="5"/>
      <c r="F1340" s="264"/>
      <c r="G1340" s="5"/>
      <c r="H1340" s="5"/>
      <c r="I1340" s="354"/>
      <c r="J1340" s="354"/>
      <c r="K1340" s="354"/>
      <c r="L1340" s="354"/>
      <c r="M1340" s="354"/>
      <c r="N1340" s="354"/>
      <c r="O1340" s="354"/>
      <c r="P1340" s="354"/>
      <c r="Q1340" s="354"/>
      <c r="R1340" s="354"/>
      <c r="S1340" s="354"/>
      <c r="T1340" s="354"/>
      <c r="U1340" s="354"/>
      <c r="V1340" s="354"/>
      <c r="W1340" s="354"/>
      <c r="X1340" s="354"/>
      <c r="Y1340" s="354"/>
      <c r="Z1340" s="354"/>
    </row>
    <row r="1341" spans="1:26" ht="16">
      <c r="A1341" s="5"/>
      <c r="B1341" s="5"/>
      <c r="C1341" s="263"/>
      <c r="D1341" s="5"/>
      <c r="E1341" s="5"/>
      <c r="F1341" s="264"/>
      <c r="G1341" s="5"/>
      <c r="H1341" s="5"/>
      <c r="I1341" s="354"/>
      <c r="J1341" s="354"/>
      <c r="K1341" s="354"/>
      <c r="L1341" s="354"/>
      <c r="M1341" s="354"/>
      <c r="N1341" s="354"/>
      <c r="O1341" s="354"/>
      <c r="P1341" s="354"/>
      <c r="Q1341" s="354"/>
      <c r="R1341" s="354"/>
      <c r="S1341" s="354"/>
      <c r="T1341" s="354"/>
      <c r="U1341" s="354"/>
      <c r="V1341" s="354"/>
      <c r="W1341" s="354"/>
      <c r="X1341" s="354"/>
      <c r="Y1341" s="354"/>
      <c r="Z1341" s="354"/>
    </row>
    <row r="1342" spans="1:26" ht="16">
      <c r="A1342" s="5"/>
      <c r="B1342" s="5"/>
      <c r="C1342" s="263"/>
      <c r="D1342" s="5"/>
      <c r="E1342" s="5"/>
      <c r="F1342" s="264"/>
      <c r="G1342" s="5"/>
      <c r="H1342" s="5"/>
      <c r="I1342" s="354"/>
      <c r="J1342" s="354"/>
      <c r="K1342" s="354"/>
      <c r="L1342" s="354"/>
      <c r="M1342" s="354"/>
      <c r="N1342" s="354"/>
      <c r="O1342" s="354"/>
      <c r="P1342" s="354"/>
      <c r="Q1342" s="354"/>
      <c r="R1342" s="354"/>
      <c r="S1342" s="354"/>
      <c r="T1342" s="354"/>
      <c r="U1342" s="354"/>
      <c r="V1342" s="354"/>
      <c r="W1342" s="354"/>
      <c r="X1342" s="354"/>
      <c r="Y1342" s="354"/>
      <c r="Z1342" s="354"/>
    </row>
    <row r="1343" spans="1:26" ht="16">
      <c r="A1343" s="5"/>
      <c r="B1343" s="5"/>
      <c r="C1343" s="263"/>
      <c r="D1343" s="5"/>
      <c r="E1343" s="5"/>
      <c r="F1343" s="264"/>
      <c r="G1343" s="5"/>
      <c r="H1343" s="5"/>
      <c r="I1343" s="354"/>
      <c r="J1343" s="354"/>
      <c r="K1343" s="354"/>
      <c r="L1343" s="354"/>
      <c r="M1343" s="354"/>
      <c r="N1343" s="354"/>
      <c r="O1343" s="354"/>
      <c r="P1343" s="354"/>
      <c r="Q1343" s="354"/>
      <c r="R1343" s="354"/>
      <c r="S1343" s="354"/>
      <c r="T1343" s="354"/>
      <c r="U1343" s="354"/>
      <c r="V1343" s="354"/>
      <c r="W1343" s="354"/>
      <c r="X1343" s="354"/>
      <c r="Y1343" s="354"/>
      <c r="Z1343" s="354"/>
    </row>
    <row r="1344" spans="1:26" ht="16">
      <c r="A1344" s="5"/>
      <c r="B1344" s="5"/>
      <c r="C1344" s="263"/>
      <c r="D1344" s="5"/>
      <c r="E1344" s="5"/>
      <c r="F1344" s="264"/>
      <c r="G1344" s="5"/>
      <c r="H1344" s="5"/>
      <c r="I1344" s="354"/>
      <c r="J1344" s="354"/>
      <c r="K1344" s="354"/>
      <c r="L1344" s="354"/>
      <c r="M1344" s="354"/>
      <c r="N1344" s="354"/>
      <c r="O1344" s="354"/>
      <c r="P1344" s="354"/>
      <c r="Q1344" s="354"/>
      <c r="R1344" s="354"/>
      <c r="S1344" s="354"/>
      <c r="T1344" s="354"/>
      <c r="U1344" s="354"/>
      <c r="V1344" s="354"/>
      <c r="W1344" s="354"/>
      <c r="X1344" s="354"/>
      <c r="Y1344" s="354"/>
      <c r="Z1344" s="354"/>
    </row>
    <row r="1345" spans="1:26" ht="16">
      <c r="A1345" s="5"/>
      <c r="B1345" s="5"/>
      <c r="C1345" s="263"/>
      <c r="D1345" s="5"/>
      <c r="E1345" s="5"/>
      <c r="F1345" s="264"/>
      <c r="G1345" s="5"/>
      <c r="H1345" s="5"/>
      <c r="I1345" s="354"/>
      <c r="J1345" s="354"/>
      <c r="K1345" s="354"/>
      <c r="L1345" s="354"/>
      <c r="M1345" s="354"/>
      <c r="N1345" s="354"/>
      <c r="O1345" s="354"/>
      <c r="P1345" s="354"/>
      <c r="Q1345" s="354"/>
      <c r="R1345" s="354"/>
      <c r="S1345" s="354"/>
      <c r="T1345" s="354"/>
      <c r="U1345" s="354"/>
      <c r="V1345" s="354"/>
      <c r="W1345" s="354"/>
      <c r="X1345" s="354"/>
      <c r="Y1345" s="354"/>
      <c r="Z1345" s="354"/>
    </row>
    <row r="1346" spans="1:26" ht="16">
      <c r="A1346" s="5"/>
      <c r="B1346" s="5"/>
      <c r="C1346" s="263"/>
      <c r="D1346" s="5"/>
      <c r="E1346" s="5"/>
      <c r="F1346" s="264"/>
      <c r="G1346" s="5"/>
      <c r="H1346" s="5"/>
      <c r="I1346" s="354"/>
      <c r="J1346" s="354"/>
      <c r="K1346" s="354"/>
      <c r="L1346" s="354"/>
      <c r="M1346" s="354"/>
      <c r="N1346" s="354"/>
      <c r="O1346" s="354"/>
      <c r="P1346" s="354"/>
      <c r="Q1346" s="354"/>
      <c r="R1346" s="354"/>
      <c r="S1346" s="354"/>
      <c r="T1346" s="354"/>
      <c r="U1346" s="354"/>
      <c r="V1346" s="354"/>
      <c r="W1346" s="354"/>
      <c r="X1346" s="354"/>
      <c r="Y1346" s="354"/>
      <c r="Z1346" s="354"/>
    </row>
    <row r="1347" spans="1:26" ht="16">
      <c r="A1347" s="5"/>
      <c r="B1347" s="5"/>
      <c r="C1347" s="263"/>
      <c r="D1347" s="5"/>
      <c r="E1347" s="5"/>
      <c r="F1347" s="264"/>
      <c r="G1347" s="5"/>
      <c r="H1347" s="5"/>
      <c r="I1347" s="354"/>
      <c r="J1347" s="354"/>
      <c r="K1347" s="354"/>
      <c r="L1347" s="354"/>
      <c r="M1347" s="354"/>
      <c r="N1347" s="354"/>
      <c r="O1347" s="354"/>
      <c r="P1347" s="354"/>
      <c r="Q1347" s="354"/>
      <c r="R1347" s="354"/>
      <c r="S1347" s="354"/>
      <c r="T1347" s="354"/>
      <c r="U1347" s="354"/>
      <c r="V1347" s="354"/>
      <c r="W1347" s="354"/>
      <c r="X1347" s="354"/>
      <c r="Y1347" s="354"/>
      <c r="Z1347" s="354"/>
    </row>
    <row r="1348" spans="1:26" ht="16">
      <c r="A1348" s="5"/>
      <c r="B1348" s="5"/>
      <c r="C1348" s="263"/>
      <c r="D1348" s="5"/>
      <c r="E1348" s="5"/>
      <c r="F1348" s="264"/>
      <c r="G1348" s="5"/>
      <c r="H1348" s="5"/>
      <c r="I1348" s="354"/>
      <c r="J1348" s="354"/>
      <c r="K1348" s="354"/>
      <c r="L1348" s="354"/>
      <c r="M1348" s="354"/>
      <c r="N1348" s="354"/>
      <c r="O1348" s="354"/>
      <c r="P1348" s="354"/>
      <c r="Q1348" s="354"/>
      <c r="R1348" s="354"/>
      <c r="S1348" s="354"/>
      <c r="T1348" s="354"/>
      <c r="U1348" s="354"/>
      <c r="V1348" s="354"/>
      <c r="W1348" s="354"/>
      <c r="X1348" s="354"/>
      <c r="Y1348" s="354"/>
      <c r="Z1348" s="354"/>
    </row>
    <row r="1349" spans="1:26" ht="16">
      <c r="A1349" s="5"/>
      <c r="B1349" s="5"/>
      <c r="C1349" s="263"/>
      <c r="D1349" s="5"/>
      <c r="E1349" s="5"/>
      <c r="F1349" s="264"/>
      <c r="G1349" s="5"/>
      <c r="H1349" s="5"/>
      <c r="I1349" s="354"/>
      <c r="J1349" s="354"/>
      <c r="K1349" s="354"/>
      <c r="L1349" s="354"/>
      <c r="M1349" s="354"/>
      <c r="N1349" s="354"/>
      <c r="O1349" s="354"/>
      <c r="P1349" s="354"/>
      <c r="Q1349" s="354"/>
      <c r="R1349" s="354"/>
      <c r="S1349" s="354"/>
      <c r="T1349" s="354"/>
      <c r="U1349" s="354"/>
      <c r="V1349" s="354"/>
      <c r="W1349" s="354"/>
      <c r="X1349" s="354"/>
      <c r="Y1349" s="354"/>
      <c r="Z1349" s="354"/>
    </row>
    <row r="1350" spans="1:26" ht="16">
      <c r="A1350" s="5"/>
      <c r="B1350" s="5"/>
      <c r="C1350" s="263"/>
      <c r="D1350" s="5"/>
      <c r="E1350" s="5"/>
      <c r="F1350" s="264"/>
      <c r="G1350" s="5"/>
      <c r="H1350" s="5"/>
      <c r="I1350" s="354"/>
      <c r="J1350" s="354"/>
      <c r="K1350" s="354"/>
      <c r="L1350" s="354"/>
      <c r="M1350" s="354"/>
      <c r="N1350" s="354"/>
      <c r="O1350" s="354"/>
      <c r="P1350" s="354"/>
      <c r="Q1350" s="354"/>
      <c r="R1350" s="354"/>
      <c r="S1350" s="354"/>
      <c r="T1350" s="354"/>
      <c r="U1350" s="354"/>
      <c r="V1350" s="354"/>
      <c r="W1350" s="354"/>
      <c r="X1350" s="354"/>
      <c r="Y1350" s="354"/>
      <c r="Z1350" s="354"/>
    </row>
    <row r="1351" spans="1:26" ht="16">
      <c r="A1351" s="5"/>
      <c r="B1351" s="5"/>
      <c r="C1351" s="263"/>
      <c r="D1351" s="5"/>
      <c r="E1351" s="5"/>
      <c r="F1351" s="264"/>
      <c r="G1351" s="5"/>
      <c r="H1351" s="5"/>
      <c r="I1351" s="354"/>
      <c r="J1351" s="354"/>
      <c r="K1351" s="354"/>
      <c r="L1351" s="354"/>
      <c r="M1351" s="354"/>
      <c r="N1351" s="354"/>
      <c r="O1351" s="354"/>
      <c r="P1351" s="354"/>
      <c r="Q1351" s="354"/>
      <c r="R1351" s="354"/>
      <c r="S1351" s="354"/>
      <c r="T1351" s="354"/>
      <c r="U1351" s="354"/>
      <c r="V1351" s="354"/>
      <c r="W1351" s="354"/>
      <c r="X1351" s="354"/>
      <c r="Y1351" s="354"/>
      <c r="Z1351" s="354"/>
    </row>
    <row r="1352" spans="1:26" ht="16">
      <c r="A1352" s="5"/>
      <c r="B1352" s="5"/>
      <c r="C1352" s="263"/>
      <c r="D1352" s="5"/>
      <c r="E1352" s="5"/>
      <c r="F1352" s="264"/>
      <c r="G1352" s="5"/>
      <c r="H1352" s="5"/>
      <c r="I1352" s="354"/>
      <c r="J1352" s="354"/>
      <c r="K1352" s="354"/>
      <c r="L1352" s="354"/>
      <c r="M1352" s="354"/>
      <c r="N1352" s="354"/>
      <c r="O1352" s="354"/>
      <c r="P1352" s="354"/>
      <c r="Q1352" s="354"/>
      <c r="R1352" s="354"/>
      <c r="S1352" s="354"/>
      <c r="T1352" s="354"/>
      <c r="U1352" s="354"/>
      <c r="V1352" s="354"/>
      <c r="W1352" s="354"/>
      <c r="X1352" s="354"/>
      <c r="Y1352" s="354"/>
      <c r="Z1352" s="354"/>
    </row>
    <row r="1353" spans="1:26" ht="16">
      <c r="A1353" s="5"/>
      <c r="B1353" s="5"/>
      <c r="C1353" s="263"/>
      <c r="D1353" s="5"/>
      <c r="E1353" s="5"/>
      <c r="F1353" s="264"/>
      <c r="G1353" s="5"/>
      <c r="H1353" s="5"/>
      <c r="I1353" s="354"/>
      <c r="J1353" s="354"/>
      <c r="K1353" s="354"/>
      <c r="L1353" s="354"/>
      <c r="M1353" s="354"/>
      <c r="N1353" s="354"/>
      <c r="O1353" s="354"/>
      <c r="P1353" s="354"/>
      <c r="Q1353" s="354"/>
      <c r="R1353" s="354"/>
      <c r="S1353" s="354"/>
      <c r="T1353" s="354"/>
      <c r="U1353" s="354"/>
      <c r="V1353" s="354"/>
      <c r="W1353" s="354"/>
      <c r="X1353" s="354"/>
      <c r="Y1353" s="354"/>
      <c r="Z1353" s="354"/>
    </row>
    <row r="1354" spans="1:26" ht="16">
      <c r="A1354" s="5"/>
      <c r="B1354" s="5"/>
      <c r="C1354" s="263"/>
      <c r="D1354" s="5"/>
      <c r="E1354" s="5"/>
      <c r="F1354" s="264"/>
      <c r="G1354" s="5"/>
      <c r="H1354" s="5"/>
      <c r="I1354" s="354"/>
      <c r="J1354" s="354"/>
      <c r="K1354" s="354"/>
      <c r="L1354" s="354"/>
      <c r="M1354" s="354"/>
      <c r="N1354" s="354"/>
      <c r="O1354" s="354"/>
      <c r="P1354" s="354"/>
      <c r="Q1354" s="354"/>
      <c r="R1354" s="354"/>
      <c r="S1354" s="354"/>
      <c r="T1354" s="354"/>
      <c r="U1354" s="354"/>
      <c r="V1354" s="354"/>
      <c r="W1354" s="354"/>
      <c r="X1354" s="354"/>
      <c r="Y1354" s="354"/>
      <c r="Z1354" s="354"/>
    </row>
    <row r="1355" spans="1:26" ht="16">
      <c r="A1355" s="5"/>
      <c r="B1355" s="5"/>
      <c r="C1355" s="263"/>
      <c r="D1355" s="5"/>
      <c r="E1355" s="5"/>
      <c r="F1355" s="264"/>
      <c r="G1355" s="5"/>
      <c r="H1355" s="5"/>
      <c r="I1355" s="354"/>
      <c r="J1355" s="354"/>
      <c r="K1355" s="354"/>
      <c r="L1355" s="354"/>
      <c r="M1355" s="354"/>
      <c r="N1355" s="354"/>
      <c r="O1355" s="354"/>
      <c r="P1355" s="354"/>
      <c r="Q1355" s="354"/>
      <c r="R1355" s="354"/>
      <c r="S1355" s="354"/>
      <c r="T1355" s="354"/>
      <c r="U1355" s="354"/>
      <c r="V1355" s="354"/>
      <c r="W1355" s="354"/>
      <c r="X1355" s="354"/>
      <c r="Y1355" s="354"/>
      <c r="Z1355" s="354"/>
    </row>
    <row r="1356" spans="1:26" ht="16">
      <c r="A1356" s="5"/>
      <c r="B1356" s="5"/>
      <c r="C1356" s="263"/>
      <c r="D1356" s="5"/>
      <c r="E1356" s="5"/>
      <c r="F1356" s="264"/>
      <c r="G1356" s="5"/>
      <c r="H1356" s="5"/>
      <c r="I1356" s="354"/>
      <c r="J1356" s="354"/>
      <c r="K1356" s="354"/>
      <c r="L1356" s="354"/>
      <c r="M1356" s="354"/>
      <c r="N1356" s="354"/>
      <c r="O1356" s="354"/>
      <c r="P1356" s="354"/>
      <c r="Q1356" s="354"/>
      <c r="R1356" s="354"/>
      <c r="S1356" s="354"/>
      <c r="T1356" s="354"/>
      <c r="U1356" s="354"/>
      <c r="V1356" s="354"/>
      <c r="W1356" s="354"/>
      <c r="X1356" s="354"/>
      <c r="Y1356" s="354"/>
      <c r="Z1356" s="354"/>
    </row>
    <row r="1357" spans="1:26" ht="16">
      <c r="A1357" s="5"/>
      <c r="B1357" s="5"/>
      <c r="C1357" s="263"/>
      <c r="D1357" s="5"/>
      <c r="E1357" s="5"/>
      <c r="F1357" s="264"/>
      <c r="G1357" s="5"/>
      <c r="H1357" s="5"/>
      <c r="I1357" s="354"/>
      <c r="J1357" s="354"/>
      <c r="K1357" s="354"/>
      <c r="L1357" s="354"/>
      <c r="M1357" s="354"/>
      <c r="N1357" s="354"/>
      <c r="O1357" s="354"/>
      <c r="P1357" s="354"/>
      <c r="Q1357" s="354"/>
      <c r="R1357" s="354"/>
      <c r="S1357" s="354"/>
      <c r="T1357" s="354"/>
      <c r="U1357" s="354"/>
      <c r="V1357" s="354"/>
      <c r="W1357" s="354"/>
      <c r="X1357" s="354"/>
      <c r="Y1357" s="354"/>
      <c r="Z1357" s="354"/>
    </row>
    <row r="1358" spans="1:26" ht="16">
      <c r="A1358" s="5"/>
      <c r="B1358" s="5"/>
      <c r="C1358" s="263"/>
      <c r="D1358" s="5"/>
      <c r="E1358" s="5"/>
      <c r="F1358" s="264"/>
      <c r="G1358" s="5"/>
      <c r="H1358" s="5"/>
      <c r="I1358" s="354"/>
      <c r="J1358" s="354"/>
      <c r="K1358" s="354"/>
      <c r="L1358" s="354"/>
      <c r="M1358" s="354"/>
      <c r="N1358" s="354"/>
      <c r="O1358" s="354"/>
      <c r="P1358" s="354"/>
      <c r="Q1358" s="354"/>
      <c r="R1358" s="354"/>
      <c r="S1358" s="354"/>
      <c r="T1358" s="354"/>
      <c r="U1358" s="354"/>
      <c r="V1358" s="354"/>
      <c r="W1358" s="354"/>
      <c r="X1358" s="354"/>
      <c r="Y1358" s="354"/>
      <c r="Z1358" s="354"/>
    </row>
    <row r="1359" spans="1:26" ht="16">
      <c r="A1359" s="5"/>
      <c r="B1359" s="5"/>
      <c r="C1359" s="263"/>
      <c r="D1359" s="5"/>
      <c r="E1359" s="5"/>
      <c r="F1359" s="264"/>
      <c r="G1359" s="5"/>
      <c r="H1359" s="5"/>
      <c r="I1359" s="354"/>
      <c r="J1359" s="354"/>
      <c r="K1359" s="354"/>
      <c r="L1359" s="354"/>
      <c r="M1359" s="354"/>
      <c r="N1359" s="354"/>
      <c r="O1359" s="354"/>
      <c r="P1359" s="354"/>
      <c r="Q1359" s="354"/>
      <c r="R1359" s="354"/>
      <c r="S1359" s="354"/>
      <c r="T1359" s="354"/>
      <c r="U1359" s="354"/>
      <c r="V1359" s="354"/>
      <c r="W1359" s="354"/>
      <c r="X1359" s="354"/>
      <c r="Y1359" s="354"/>
      <c r="Z1359" s="354"/>
    </row>
    <row r="1360" spans="1:26" ht="16">
      <c r="A1360" s="5"/>
      <c r="B1360" s="5"/>
      <c r="C1360" s="263"/>
      <c r="D1360" s="5"/>
      <c r="E1360" s="5"/>
      <c r="F1360" s="264"/>
      <c r="G1360" s="5"/>
      <c r="H1360" s="5"/>
      <c r="I1360" s="354"/>
      <c r="J1360" s="354"/>
      <c r="K1360" s="354"/>
      <c r="L1360" s="354"/>
      <c r="M1360" s="354"/>
      <c r="N1360" s="354"/>
      <c r="O1360" s="354"/>
      <c r="P1360" s="354"/>
      <c r="Q1360" s="354"/>
      <c r="R1360" s="354"/>
      <c r="S1360" s="354"/>
      <c r="T1360" s="354"/>
      <c r="U1360" s="354"/>
      <c r="V1360" s="354"/>
      <c r="W1360" s="354"/>
      <c r="X1360" s="354"/>
      <c r="Y1360" s="354"/>
      <c r="Z1360" s="354"/>
    </row>
    <row r="1361" spans="1:26" ht="16">
      <c r="A1361" s="5"/>
      <c r="B1361" s="5"/>
      <c r="C1361" s="263"/>
      <c r="D1361" s="5"/>
      <c r="E1361" s="5"/>
      <c r="F1361" s="264"/>
      <c r="G1361" s="5"/>
      <c r="H1361" s="5"/>
      <c r="I1361" s="354"/>
      <c r="J1361" s="354"/>
      <c r="K1361" s="354"/>
      <c r="L1361" s="354"/>
      <c r="M1361" s="354"/>
      <c r="N1361" s="354"/>
      <c r="O1361" s="354"/>
      <c r="P1361" s="354"/>
      <c r="Q1361" s="354"/>
      <c r="R1361" s="354"/>
      <c r="S1361" s="354"/>
      <c r="T1361" s="354"/>
      <c r="U1361" s="354"/>
      <c r="V1361" s="354"/>
      <c r="W1361" s="354"/>
      <c r="X1361" s="354"/>
      <c r="Y1361" s="354"/>
      <c r="Z1361" s="354"/>
    </row>
    <row r="1362" spans="1:26" ht="16">
      <c r="A1362" s="5"/>
      <c r="B1362" s="5"/>
      <c r="C1362" s="263"/>
      <c r="D1362" s="5"/>
      <c r="E1362" s="5"/>
      <c r="F1362" s="264"/>
      <c r="G1362" s="5"/>
      <c r="H1362" s="5"/>
      <c r="I1362" s="354"/>
      <c r="J1362" s="354"/>
      <c r="K1362" s="354"/>
      <c r="L1362" s="354"/>
      <c r="M1362" s="354"/>
      <c r="N1362" s="354"/>
      <c r="O1362" s="354"/>
      <c r="P1362" s="354"/>
      <c r="Q1362" s="354"/>
      <c r="R1362" s="354"/>
      <c r="S1362" s="354"/>
      <c r="T1362" s="354"/>
      <c r="U1362" s="354"/>
      <c r="V1362" s="354"/>
      <c r="W1362" s="354"/>
      <c r="X1362" s="354"/>
      <c r="Y1362" s="354"/>
      <c r="Z1362" s="354"/>
    </row>
    <row r="1363" spans="1:26" ht="16">
      <c r="A1363" s="5"/>
      <c r="B1363" s="5"/>
      <c r="C1363" s="263"/>
      <c r="D1363" s="5"/>
      <c r="E1363" s="5"/>
      <c r="F1363" s="264"/>
      <c r="G1363" s="5"/>
      <c r="H1363" s="5"/>
      <c r="I1363" s="354"/>
      <c r="J1363" s="354"/>
      <c r="K1363" s="354"/>
      <c r="L1363" s="354"/>
      <c r="M1363" s="354"/>
      <c r="N1363" s="354"/>
      <c r="O1363" s="354"/>
      <c r="P1363" s="354"/>
      <c r="Q1363" s="354"/>
      <c r="R1363" s="354"/>
      <c r="S1363" s="354"/>
      <c r="T1363" s="354"/>
      <c r="U1363" s="354"/>
      <c r="V1363" s="354"/>
      <c r="W1363" s="354"/>
      <c r="X1363" s="354"/>
      <c r="Y1363" s="354"/>
      <c r="Z1363" s="354"/>
    </row>
    <row r="1364" spans="1:26" ht="16">
      <c r="A1364" s="5"/>
      <c r="B1364" s="5"/>
      <c r="C1364" s="263"/>
      <c r="D1364" s="5"/>
      <c r="E1364" s="5"/>
      <c r="F1364" s="264"/>
      <c r="G1364" s="5"/>
      <c r="H1364" s="5"/>
      <c r="I1364" s="354"/>
      <c r="J1364" s="354"/>
      <c r="K1364" s="354"/>
      <c r="L1364" s="354"/>
      <c r="M1364" s="354"/>
      <c r="N1364" s="354"/>
      <c r="O1364" s="354"/>
      <c r="P1364" s="354"/>
      <c r="Q1364" s="354"/>
      <c r="R1364" s="354"/>
      <c r="S1364" s="354"/>
      <c r="T1364" s="354"/>
      <c r="U1364" s="354"/>
      <c r="V1364" s="354"/>
      <c r="W1364" s="354"/>
      <c r="X1364" s="354"/>
      <c r="Y1364" s="354"/>
      <c r="Z1364" s="354"/>
    </row>
    <row r="1365" spans="1:26" ht="16">
      <c r="A1365" s="5"/>
      <c r="B1365" s="5"/>
      <c r="C1365" s="263"/>
      <c r="D1365" s="5"/>
      <c r="E1365" s="5"/>
      <c r="F1365" s="264"/>
      <c r="G1365" s="5"/>
      <c r="H1365" s="5"/>
      <c r="I1365" s="354"/>
      <c r="J1365" s="354"/>
      <c r="K1365" s="354"/>
      <c r="L1365" s="354"/>
      <c r="M1365" s="354"/>
      <c r="N1365" s="354"/>
      <c r="O1365" s="354"/>
      <c r="P1365" s="354"/>
      <c r="Q1365" s="354"/>
      <c r="R1365" s="354"/>
      <c r="S1365" s="354"/>
      <c r="T1365" s="354"/>
      <c r="U1365" s="354"/>
      <c r="V1365" s="354"/>
      <c r="W1365" s="354"/>
      <c r="X1365" s="354"/>
      <c r="Y1365" s="354"/>
      <c r="Z1365" s="354"/>
    </row>
    <row r="1366" spans="1:26" ht="16">
      <c r="A1366" s="5"/>
      <c r="B1366" s="5"/>
      <c r="C1366" s="263"/>
      <c r="D1366" s="5"/>
      <c r="E1366" s="5"/>
      <c r="F1366" s="264"/>
      <c r="G1366" s="5"/>
      <c r="H1366" s="5"/>
      <c r="I1366" s="354"/>
      <c r="J1366" s="354"/>
      <c r="K1366" s="354"/>
      <c r="L1366" s="354"/>
      <c r="M1366" s="354"/>
      <c r="N1366" s="354"/>
      <c r="O1366" s="354"/>
      <c r="P1366" s="354"/>
      <c r="Q1366" s="354"/>
      <c r="R1366" s="354"/>
      <c r="S1366" s="354"/>
      <c r="T1366" s="354"/>
      <c r="U1366" s="354"/>
      <c r="V1366" s="354"/>
      <c r="W1366" s="354"/>
      <c r="X1366" s="354"/>
      <c r="Y1366" s="354"/>
      <c r="Z1366" s="354"/>
    </row>
    <row r="1367" spans="1:26" ht="16">
      <c r="A1367" s="5"/>
      <c r="B1367" s="5"/>
      <c r="C1367" s="263"/>
      <c r="D1367" s="5"/>
      <c r="E1367" s="5"/>
      <c r="F1367" s="264"/>
      <c r="G1367" s="5"/>
      <c r="H1367" s="5"/>
      <c r="I1367" s="354"/>
      <c r="J1367" s="354"/>
      <c r="K1367" s="354"/>
      <c r="L1367" s="354"/>
      <c r="M1367" s="354"/>
      <c r="N1367" s="354"/>
      <c r="O1367" s="354"/>
      <c r="P1367" s="354"/>
      <c r="Q1367" s="354"/>
      <c r="R1367" s="354"/>
      <c r="S1367" s="354"/>
      <c r="T1367" s="354"/>
      <c r="U1367" s="354"/>
      <c r="V1367" s="354"/>
      <c r="W1367" s="354"/>
      <c r="X1367" s="354"/>
      <c r="Y1367" s="354"/>
      <c r="Z1367" s="354"/>
    </row>
    <row r="1368" spans="1:26" ht="16">
      <c r="A1368" s="5"/>
      <c r="B1368" s="5"/>
      <c r="C1368" s="263"/>
      <c r="D1368" s="5"/>
      <c r="E1368" s="5"/>
      <c r="F1368" s="264"/>
      <c r="G1368" s="5"/>
      <c r="H1368" s="5"/>
      <c r="I1368" s="354"/>
      <c r="J1368" s="354"/>
      <c r="K1368" s="354"/>
      <c r="L1368" s="354"/>
      <c r="M1368" s="354"/>
      <c r="N1368" s="354"/>
      <c r="O1368" s="354"/>
      <c r="P1368" s="354"/>
      <c r="Q1368" s="354"/>
      <c r="R1368" s="354"/>
      <c r="S1368" s="354"/>
      <c r="T1368" s="354"/>
      <c r="U1368" s="354"/>
      <c r="V1368" s="354"/>
      <c r="W1368" s="354"/>
      <c r="X1368" s="354"/>
      <c r="Y1368" s="354"/>
      <c r="Z1368" s="354"/>
    </row>
    <row r="1369" spans="1:26" ht="16">
      <c r="A1369" s="5"/>
      <c r="B1369" s="5"/>
      <c r="C1369" s="263"/>
      <c r="D1369" s="5"/>
      <c r="E1369" s="5"/>
      <c r="F1369" s="264"/>
      <c r="G1369" s="5"/>
      <c r="H1369" s="5"/>
      <c r="I1369" s="354"/>
      <c r="J1369" s="354"/>
      <c r="K1369" s="354"/>
      <c r="L1369" s="354"/>
      <c r="M1369" s="354"/>
      <c r="N1369" s="354"/>
      <c r="O1369" s="354"/>
      <c r="P1369" s="354"/>
      <c r="Q1369" s="354"/>
      <c r="R1369" s="354"/>
      <c r="S1369" s="354"/>
      <c r="T1369" s="354"/>
      <c r="U1369" s="354"/>
      <c r="V1369" s="354"/>
      <c r="W1369" s="354"/>
      <c r="X1369" s="354"/>
      <c r="Y1369" s="354"/>
      <c r="Z1369" s="354"/>
    </row>
    <row r="1370" spans="1:26" ht="16">
      <c r="A1370" s="5"/>
      <c r="B1370" s="5"/>
      <c r="C1370" s="263"/>
      <c r="D1370" s="5"/>
      <c r="E1370" s="5"/>
      <c r="F1370" s="264"/>
      <c r="G1370" s="5"/>
      <c r="H1370" s="5"/>
      <c r="I1370" s="354"/>
      <c r="J1370" s="354"/>
      <c r="K1370" s="354"/>
      <c r="L1370" s="354"/>
      <c r="M1370" s="354"/>
      <c r="N1370" s="354"/>
      <c r="O1370" s="354"/>
      <c r="P1370" s="354"/>
      <c r="Q1370" s="354"/>
      <c r="R1370" s="354"/>
      <c r="S1370" s="354"/>
      <c r="T1370" s="354"/>
      <c r="U1370" s="354"/>
      <c r="V1370" s="354"/>
      <c r="W1370" s="354"/>
      <c r="X1370" s="354"/>
      <c r="Y1370" s="354"/>
      <c r="Z1370" s="354"/>
    </row>
    <row r="1371" spans="1:26" ht="16">
      <c r="A1371" s="5"/>
      <c r="B1371" s="5"/>
      <c r="C1371" s="263"/>
      <c r="D1371" s="5"/>
      <c r="E1371" s="5"/>
      <c r="F1371" s="264"/>
      <c r="G1371" s="5"/>
      <c r="H1371" s="5"/>
      <c r="I1371" s="354"/>
      <c r="J1371" s="354"/>
      <c r="K1371" s="354"/>
      <c r="L1371" s="354"/>
      <c r="M1371" s="354"/>
      <c r="N1371" s="354"/>
      <c r="O1371" s="354"/>
      <c r="P1371" s="354"/>
      <c r="Q1371" s="354"/>
      <c r="R1371" s="354"/>
      <c r="S1371" s="354"/>
      <c r="T1371" s="354"/>
      <c r="U1371" s="354"/>
      <c r="V1371" s="354"/>
      <c r="W1371" s="354"/>
      <c r="X1371" s="354"/>
      <c r="Y1371" s="354"/>
      <c r="Z1371" s="354"/>
    </row>
    <row r="1372" spans="1:26" ht="16">
      <c r="A1372" s="5"/>
      <c r="B1372" s="5"/>
      <c r="C1372" s="263"/>
      <c r="D1372" s="5"/>
      <c r="E1372" s="5"/>
      <c r="F1372" s="264"/>
      <c r="G1372" s="5"/>
      <c r="H1372" s="5"/>
      <c r="I1372" s="354"/>
      <c r="J1372" s="354"/>
      <c r="K1372" s="354"/>
      <c r="L1372" s="354"/>
      <c r="M1372" s="354"/>
      <c r="N1372" s="354"/>
      <c r="O1372" s="354"/>
      <c r="P1372" s="354"/>
      <c r="Q1372" s="354"/>
      <c r="R1372" s="354"/>
      <c r="S1372" s="354"/>
      <c r="T1372" s="354"/>
      <c r="U1372" s="354"/>
      <c r="V1372" s="354"/>
      <c r="W1372" s="354"/>
      <c r="X1372" s="354"/>
      <c r="Y1372" s="354"/>
      <c r="Z1372" s="354"/>
    </row>
    <row r="1373" spans="1:26" ht="16">
      <c r="A1373" s="5"/>
      <c r="B1373" s="5"/>
      <c r="C1373" s="263"/>
      <c r="D1373" s="5"/>
      <c r="E1373" s="5"/>
      <c r="F1373" s="264"/>
      <c r="G1373" s="5"/>
      <c r="H1373" s="5"/>
      <c r="I1373" s="354"/>
      <c r="J1373" s="354"/>
      <c r="K1373" s="354"/>
      <c r="L1373" s="354"/>
      <c r="M1373" s="354"/>
      <c r="N1373" s="354"/>
      <c r="O1373" s="354"/>
      <c r="P1373" s="354"/>
      <c r="Q1373" s="354"/>
      <c r="R1373" s="354"/>
      <c r="S1373" s="354"/>
      <c r="T1373" s="354"/>
      <c r="U1373" s="354"/>
      <c r="V1373" s="354"/>
      <c r="W1373" s="354"/>
      <c r="X1373" s="354"/>
      <c r="Y1373" s="354"/>
      <c r="Z1373" s="354"/>
    </row>
    <row r="1374" spans="1:26" ht="16">
      <c r="A1374" s="5"/>
      <c r="B1374" s="5"/>
      <c r="C1374" s="263"/>
      <c r="D1374" s="5"/>
      <c r="E1374" s="5"/>
      <c r="F1374" s="264"/>
      <c r="G1374" s="5"/>
      <c r="H1374" s="5"/>
      <c r="I1374" s="354"/>
      <c r="J1374" s="354"/>
      <c r="K1374" s="354"/>
      <c r="L1374" s="354"/>
      <c r="M1374" s="354"/>
      <c r="N1374" s="354"/>
      <c r="O1374" s="354"/>
      <c r="P1374" s="354"/>
      <c r="Q1374" s="354"/>
      <c r="R1374" s="354"/>
      <c r="S1374" s="354"/>
      <c r="T1374" s="354"/>
      <c r="U1374" s="354"/>
      <c r="V1374" s="354"/>
      <c r="W1374" s="354"/>
      <c r="X1374" s="354"/>
      <c r="Y1374" s="354"/>
      <c r="Z1374" s="354"/>
    </row>
    <row r="1375" spans="1:26" ht="13"/>
    <row r="1376" spans="1:26" ht="13"/>
    <row r="1377" ht="13"/>
    <row r="1378" ht="13"/>
    <row r="1379" ht="13"/>
    <row r="1380" ht="13"/>
    <row r="1381" ht="13"/>
    <row r="1382" ht="13"/>
    <row r="1383" ht="13"/>
    <row r="1384" ht="13"/>
    <row r="1385" ht="13"/>
    <row r="1386" ht="13"/>
    <row r="1387" ht="13"/>
    <row r="1388" ht="13"/>
    <row r="1389" ht="13"/>
    <row r="1390" ht="13"/>
    <row r="1391" ht="13"/>
    <row r="1392" ht="13"/>
    <row r="1393" ht="13"/>
    <row r="1394" ht="13"/>
    <row r="1395" ht="13"/>
    <row r="1396" ht="13"/>
    <row r="1397" ht="13"/>
    <row r="1398" ht="13"/>
    <row r="1399" ht="13"/>
    <row r="1400" ht="13"/>
    <row r="1401" ht="13"/>
    <row r="1402" ht="13"/>
    <row r="1403" ht="13"/>
    <row r="1404" ht="13"/>
    <row r="1405" ht="13"/>
    <row r="1406" ht="13"/>
    <row r="1407" ht="13"/>
    <row r="1408" ht="13"/>
    <row r="1409" ht="13"/>
    <row r="1410" ht="13"/>
    <row r="1411" ht="13"/>
    <row r="1412" ht="13"/>
    <row r="1413" ht="13"/>
    <row r="1414" ht="13"/>
    <row r="1415" ht="13"/>
    <row r="1416" ht="13"/>
    <row r="1417" ht="13"/>
    <row r="1418" ht="13"/>
    <row r="1419" ht="13"/>
    <row r="1420" ht="13"/>
    <row r="1421" ht="13"/>
    <row r="1422" ht="13"/>
    <row r="1423" ht="13"/>
    <row r="1424" ht="13"/>
    <row r="1425" ht="13"/>
    <row r="1426" ht="13"/>
    <row r="1427" ht="13"/>
    <row r="1428" ht="13"/>
    <row r="1429" ht="13"/>
    <row r="1430" ht="13"/>
    <row r="1431" ht="13"/>
    <row r="1432" ht="13"/>
    <row r="1433" ht="13"/>
    <row r="1434" ht="13"/>
    <row r="1435" ht="13"/>
    <row r="1436" ht="13"/>
    <row r="1437" ht="13"/>
    <row r="1438" ht="13"/>
    <row r="1439" ht="13"/>
    <row r="1440" ht="13"/>
    <row r="1441" ht="13"/>
    <row r="1442" ht="13"/>
    <row r="1443" ht="13"/>
    <row r="1444" ht="13"/>
    <row r="1445" ht="13"/>
    <row r="1446" ht="13"/>
    <row r="1447" ht="13"/>
    <row r="1448" ht="13"/>
    <row r="1449" ht="13"/>
    <row r="1450" ht="13"/>
    <row r="1451" ht="13"/>
    <row r="1452" ht="13"/>
    <row r="1453" ht="13"/>
    <row r="1454" ht="13"/>
    <row r="1455" ht="13"/>
    <row r="1456" ht="18.75" customHeight="1"/>
    <row r="1457" ht="13"/>
    <row r="1458" ht="13"/>
    <row r="1459" ht="13"/>
    <row r="1460" ht="13"/>
    <row r="1461" ht="13"/>
    <row r="1462" ht="13"/>
    <row r="1463" ht="13"/>
    <row r="1464" ht="13"/>
    <row r="1465" ht="13"/>
    <row r="1466" ht="13"/>
    <row r="1467" ht="13"/>
    <row r="1468" ht="13"/>
    <row r="1469" ht="13"/>
    <row r="1470" ht="13"/>
    <row r="1471" ht="13"/>
    <row r="1472" ht="13"/>
    <row r="1473" ht="13"/>
    <row r="1474" ht="13"/>
    <row r="1475" ht="13"/>
    <row r="1476" ht="13"/>
    <row r="1477" ht="13"/>
    <row r="1478" ht="13"/>
    <row r="1479" ht="13"/>
    <row r="1480" ht="13"/>
    <row r="1481" ht="13"/>
    <row r="1482" ht="13"/>
    <row r="1483" ht="13"/>
    <row r="1484" ht="13"/>
    <row r="1485" ht="13"/>
    <row r="1486" ht="13"/>
    <row r="1487" ht="13"/>
    <row r="1488" ht="13"/>
    <row r="1489" ht="13"/>
    <row r="1490" ht="13"/>
    <row r="1491" ht="13"/>
    <row r="1492" ht="13"/>
    <row r="1493" ht="13"/>
    <row r="1494" ht="20.25" customHeight="1"/>
    <row r="1495" ht="13"/>
    <row r="1496" ht="13"/>
    <row r="1497" ht="13"/>
    <row r="1498" ht="13"/>
    <row r="1499" ht="13"/>
    <row r="1500" ht="13"/>
    <row r="1501" ht="13"/>
    <row r="1502" ht="13"/>
    <row r="1503" ht="13"/>
    <row r="1504" ht="13"/>
    <row r="1505" ht="13"/>
    <row r="1506" ht="13"/>
    <row r="1507" ht="13"/>
    <row r="1508" ht="13"/>
    <row r="1509" ht="13"/>
    <row r="1510" ht="13"/>
    <row r="1511" ht="13"/>
    <row r="1512" ht="13"/>
    <row r="1513" ht="13"/>
    <row r="1514" ht="13"/>
    <row r="1515" ht="13"/>
    <row r="1516" ht="13"/>
    <row r="1517" ht="13"/>
    <row r="1518" ht="13"/>
    <row r="1519" ht="13"/>
    <row r="1520" ht="13"/>
    <row r="1521" ht="13"/>
    <row r="1522" ht="13"/>
    <row r="1523" ht="13"/>
    <row r="1524" ht="13"/>
    <row r="1525" ht="13"/>
    <row r="1526" ht="13"/>
    <row r="1527" ht="13"/>
    <row r="1528" ht="13"/>
    <row r="1529" ht="13"/>
    <row r="1530" ht="13"/>
    <row r="1531" ht="13"/>
    <row r="1532" ht="13"/>
    <row r="1533" ht="13"/>
    <row r="1534" ht="13"/>
    <row r="1535" ht="13"/>
    <row r="1536" ht="13"/>
    <row r="1537" ht="13"/>
    <row r="1538" ht="13"/>
    <row r="1539" ht="13"/>
    <row r="1540" ht="13"/>
    <row r="1541" ht="13"/>
    <row r="1542" ht="13"/>
    <row r="1543" ht="13"/>
    <row r="1544" ht="13"/>
    <row r="1545" ht="13"/>
    <row r="1546" ht="13"/>
    <row r="1547" ht="13"/>
    <row r="1548" ht="13"/>
    <row r="1549" ht="13"/>
    <row r="1550" ht="13"/>
    <row r="1551" ht="13"/>
    <row r="1552" ht="13"/>
    <row r="1553" ht="13"/>
    <row r="1554" ht="13"/>
    <row r="1555" ht="13"/>
    <row r="1556" ht="13"/>
    <row r="1557" ht="13"/>
    <row r="1558" ht="13"/>
    <row r="1559" ht="13"/>
    <row r="1560" ht="13"/>
    <row r="1561" ht="13"/>
    <row r="1562" ht="13"/>
    <row r="1563" ht="13"/>
    <row r="1564" ht="13"/>
    <row r="1565" ht="13"/>
    <row r="1566" ht="13"/>
    <row r="1567" ht="13"/>
    <row r="1568" ht="13"/>
    <row r="1569" ht="13"/>
    <row r="1570" ht="13"/>
    <row r="1571" ht="13"/>
    <row r="1572" ht="13"/>
    <row r="1573" ht="13"/>
    <row r="1574" ht="13"/>
    <row r="1575" ht="13"/>
    <row r="1576" ht="13"/>
    <row r="1577" ht="13"/>
    <row r="1578" ht="13"/>
    <row r="1579" ht="13"/>
    <row r="1580" ht="13"/>
    <row r="1581" ht="13"/>
    <row r="1582" ht="13"/>
    <row r="1583" ht="13"/>
    <row r="1584" ht="13"/>
    <row r="1585" ht="13"/>
    <row r="1586" ht="13"/>
    <row r="1587" ht="13"/>
    <row r="1588" ht="13"/>
    <row r="1589" ht="13"/>
    <row r="1590" ht="13"/>
    <row r="1591" ht="13"/>
    <row r="1592" ht="13"/>
    <row r="1593" ht="13"/>
    <row r="1594" ht="13"/>
    <row r="1595" ht="13"/>
    <row r="1596" ht="13"/>
    <row r="1597" ht="13"/>
    <row r="1598" ht="13"/>
    <row r="1599" ht="13"/>
    <row r="1600" ht="13"/>
    <row r="1601" ht="13"/>
    <row r="1602" ht="13"/>
    <row r="1603" ht="13"/>
    <row r="1604" ht="13"/>
    <row r="1605" ht="13"/>
    <row r="1606" ht="13"/>
    <row r="1607" ht="13"/>
    <row r="1608" ht="13"/>
    <row r="1609" ht="13"/>
    <row r="1610" ht="13"/>
    <row r="1611" ht="13"/>
    <row r="1612" ht="13"/>
    <row r="1613" ht="13"/>
    <row r="1614" ht="13"/>
    <row r="1615" ht="13"/>
    <row r="1616" ht="13"/>
    <row r="1617" ht="13"/>
    <row r="1618" ht="13"/>
    <row r="1619" ht="13"/>
    <row r="1620" ht="13"/>
    <row r="1621" ht="13"/>
    <row r="1622" ht="13"/>
    <row r="1623" ht="13"/>
    <row r="1624" ht="13"/>
    <row r="1625" ht="13"/>
    <row r="1626" ht="13"/>
    <row r="1627" ht="13"/>
    <row r="1628" ht="13"/>
    <row r="1629" ht="13"/>
    <row r="1630" ht="13"/>
    <row r="1631" ht="13"/>
    <row r="1632" ht="13"/>
    <row r="1633" ht="13"/>
    <row r="1634" ht="13"/>
    <row r="1635" ht="13"/>
    <row r="1636" ht="13"/>
    <row r="1637" ht="13"/>
    <row r="1638" ht="13"/>
    <row r="1639" ht="13"/>
    <row r="1640" ht="13"/>
    <row r="1641" ht="13"/>
    <row r="1642" ht="13"/>
    <row r="1643" ht="13"/>
    <row r="1644" ht="13"/>
    <row r="1645" ht="13"/>
    <row r="1646" ht="13"/>
    <row r="1647" ht="13"/>
    <row r="1648" ht="13"/>
    <row r="1649" ht="13"/>
    <row r="1650" ht="13"/>
    <row r="1651" ht="13"/>
    <row r="1652" ht="13"/>
    <row r="1653" ht="13"/>
    <row r="1654" ht="13"/>
    <row r="1655" ht="13"/>
    <row r="1656" ht="13"/>
    <row r="1657" ht="13"/>
    <row r="1658" ht="13"/>
    <row r="1659" ht="13"/>
    <row r="1660" ht="13"/>
    <row r="1661" ht="13"/>
    <row r="1662" ht="13"/>
    <row r="1663" ht="13"/>
    <row r="1664" ht="13"/>
    <row r="1665" ht="13"/>
    <row r="1666" ht="13"/>
    <row r="1667" ht="13"/>
    <row r="1668" ht="13"/>
    <row r="1669" ht="13"/>
    <row r="1670" ht="13"/>
    <row r="1671" ht="13"/>
    <row r="1672" ht="13"/>
    <row r="1673" ht="13"/>
    <row r="1674" ht="13"/>
    <row r="1675" ht="13"/>
    <row r="1676" ht="13"/>
    <row r="1677" ht="13"/>
    <row r="1678" ht="13"/>
    <row r="1679" ht="13"/>
    <row r="1680" ht="13"/>
    <row r="1681" ht="13"/>
    <row r="1682" ht="13"/>
    <row r="1683" ht="13"/>
    <row r="1684" ht="13"/>
    <row r="1685" ht="13"/>
    <row r="1686" ht="13"/>
    <row r="1687" ht="13"/>
    <row r="1688" ht="13"/>
    <row r="1689" ht="13"/>
    <row r="1690" ht="13"/>
    <row r="1691" ht="13"/>
    <row r="1692" ht="13"/>
    <row r="1693" ht="13"/>
    <row r="1694" ht="13"/>
    <row r="1695" ht="13"/>
    <row r="1696" ht="13"/>
    <row r="1697" ht="13"/>
    <row r="1698" ht="13"/>
    <row r="1699" ht="13"/>
    <row r="1700" ht="13"/>
    <row r="1701" ht="13"/>
    <row r="1702" ht="13"/>
    <row r="1703" ht="13"/>
    <row r="1704" ht="13"/>
    <row r="1705" ht="13"/>
    <row r="1706" ht="13"/>
    <row r="1707" ht="13"/>
    <row r="1708" ht="13"/>
    <row r="1709" ht="13"/>
    <row r="1710" ht="13"/>
    <row r="1711" ht="13"/>
    <row r="1712" ht="13"/>
    <row r="1713" ht="13"/>
    <row r="1714" ht="13"/>
    <row r="1715" ht="13"/>
    <row r="1716" ht="13"/>
    <row r="1717" ht="13"/>
    <row r="1718" ht="13"/>
    <row r="1719" ht="13"/>
    <row r="1720" ht="13"/>
    <row r="1721" ht="13"/>
    <row r="1722" ht="13"/>
    <row r="1723" ht="13"/>
    <row r="1724" ht="13"/>
    <row r="1725" ht="13"/>
    <row r="1726" ht="13"/>
    <row r="1727" ht="13"/>
    <row r="1728" ht="13"/>
    <row r="1729" ht="13"/>
    <row r="1730" ht="13"/>
    <row r="1731" ht="13"/>
    <row r="1732" ht="13"/>
    <row r="1733" ht="13"/>
    <row r="1734" ht="13"/>
    <row r="1735" ht="13"/>
    <row r="1736" ht="13"/>
    <row r="1737" ht="13"/>
    <row r="1738" ht="13"/>
    <row r="1739" ht="13"/>
    <row r="1740" ht="13"/>
    <row r="1741" ht="13"/>
    <row r="1742" ht="20.25" customHeight="1"/>
    <row r="1743" ht="18" customHeight="1"/>
    <row r="1744" ht="13"/>
    <row r="1745" ht="13"/>
    <row r="1746" ht="13"/>
    <row r="1747" ht="20.25" customHeight="1"/>
    <row r="1748" ht="13"/>
    <row r="1749" ht="18.75" customHeight="1"/>
    <row r="1750" ht="13"/>
    <row r="1751" ht="13"/>
    <row r="1752" ht="13"/>
    <row r="1753" ht="13"/>
    <row r="1754" ht="18.75" customHeight="1"/>
    <row r="1755" ht="13"/>
    <row r="1756" ht="13"/>
    <row r="1757" ht="13"/>
    <row r="1758" ht="13"/>
    <row r="1759" ht="13"/>
    <row r="1760" ht="17.25" customHeight="1"/>
    <row r="1761" ht="13"/>
    <row r="1762" ht="13"/>
    <row r="1764" ht="21.75" customHeight="1"/>
    <row r="1765" ht="13"/>
    <row r="1766" ht="13"/>
    <row r="1767" ht="13"/>
    <row r="1768" ht="13"/>
    <row r="1769" ht="21.75" customHeight="1"/>
    <row r="1770" ht="13"/>
    <row r="1771" ht="13"/>
    <row r="1772" ht="13"/>
    <row r="1773" ht="13"/>
    <row r="1774" ht="13"/>
    <row r="1775" ht="13"/>
    <row r="1776" ht="13"/>
    <row r="1777" ht="17.25" customHeight="1"/>
    <row r="1778" ht="13"/>
    <row r="1779" ht="13"/>
    <row r="1780" ht="13"/>
    <row r="1781" ht="18.75" customHeight="1"/>
    <row r="1782" ht="13"/>
    <row r="1783" ht="13"/>
    <row r="1784" ht="13"/>
    <row r="1785" ht="13"/>
    <row r="1786" ht="13"/>
    <row r="1787" ht="13"/>
    <row r="1788" ht="13"/>
    <row r="1789" ht="13"/>
    <row r="1790" ht="18" customHeight="1"/>
    <row r="1791" ht="13"/>
    <row r="1792" ht="13"/>
    <row r="1793" ht="13"/>
    <row r="1794" ht="13"/>
    <row r="1795" ht="13"/>
    <row r="1796" ht="13"/>
    <row r="1797" ht="13"/>
    <row r="1798" ht="13"/>
    <row r="1799" ht="13"/>
    <row r="1800" ht="13"/>
    <row r="1801" ht="13"/>
    <row r="1802" ht="13"/>
    <row r="1803" ht="13"/>
    <row r="1804" ht="13"/>
    <row r="1805" ht="20.25" customHeight="1"/>
    <row r="1806" ht="13"/>
    <row r="1807" ht="13"/>
    <row r="1808" ht="20.25" customHeight="1"/>
    <row r="1809" ht="13"/>
    <row r="1810" ht="13"/>
    <row r="1811" ht="13"/>
    <row r="1812" ht="13"/>
    <row r="1813" ht="13"/>
    <row r="1814" ht="21" customHeight="1"/>
    <row r="1816" ht="21" customHeight="1"/>
    <row r="1817" ht="21" customHeight="1"/>
    <row r="1818" ht="13"/>
    <row r="1819" ht="13"/>
    <row r="1820" ht="20.25" customHeight="1"/>
    <row r="1821" ht="18.75" customHeight="1"/>
    <row r="1822" ht="13"/>
    <row r="1823" ht="13"/>
    <row r="1824" ht="13"/>
    <row r="1825" ht="13"/>
    <row r="1826" ht="21" customHeight="1"/>
    <row r="1827" ht="13"/>
    <row r="1828" ht="21" customHeight="1"/>
    <row r="1829" ht="18" customHeight="1"/>
    <row r="1830" ht="13"/>
    <row r="1831" ht="13"/>
    <row r="1832" ht="13"/>
    <row r="1833" ht="18.75" customHeight="1"/>
    <row r="1834" ht="23.25" customHeight="1"/>
    <row r="1835" ht="13"/>
    <row r="1836" ht="19.5" customHeight="1"/>
    <row r="1837" ht="20.25" customHeight="1"/>
    <row r="1838" ht="20.25" customHeight="1"/>
    <row r="1839" ht="19.5" customHeight="1"/>
    <row r="1840" ht="18" customHeight="1"/>
    <row r="1841" ht="13"/>
    <row r="1842" ht="20.25" customHeight="1"/>
    <row r="1843" ht="13"/>
    <row r="1844" ht="22.5" customHeight="1"/>
    <row r="1845" ht="21.75" customHeight="1"/>
    <row r="1846" ht="18.75" customHeight="1"/>
    <row r="1847" ht="13"/>
    <row r="1848" ht="17.25" customHeight="1"/>
    <row r="1849" ht="13"/>
    <row r="1850" ht="13"/>
    <row r="1851" ht="18" customHeight="1"/>
    <row r="1852" ht="19.5" customHeight="1"/>
    <row r="1853" ht="21" customHeight="1"/>
    <row r="1854" ht="13"/>
    <row r="1855" ht="13"/>
    <row r="1856" ht="13"/>
    <row r="1857" ht="17.25" customHeight="1"/>
    <row r="1858" ht="13"/>
    <row r="1859" ht="17.25" customHeight="1"/>
    <row r="1860" ht="13"/>
    <row r="1861" ht="17.25" customHeight="1"/>
    <row r="1862" ht="19.5" customHeight="1"/>
    <row r="1863" ht="13"/>
    <row r="1864" ht="13"/>
    <row r="1865" ht="13"/>
    <row r="1866" ht="13"/>
    <row r="1867" ht="13"/>
    <row r="1868" ht="21" customHeight="1"/>
    <row r="1869" ht="13"/>
    <row r="1870" ht="13"/>
    <row r="1871" ht="13"/>
    <row r="1872" ht="13"/>
    <row r="1873" ht="13"/>
    <row r="1874" ht="13"/>
    <row r="1875" ht="13"/>
    <row r="1877" ht="13"/>
    <row r="1878" ht="13"/>
    <row r="1879" ht="13"/>
    <row r="1880" ht="13"/>
    <row r="1881" ht="13"/>
    <row r="1882" ht="13"/>
    <row r="1883" ht="13"/>
    <row r="1884" ht="13"/>
    <row r="1885" ht="13"/>
    <row r="1886" ht="13"/>
    <row r="1887" ht="13"/>
    <row r="1888" ht="13"/>
    <row r="1889" ht="13"/>
    <row r="1890" ht="13"/>
    <row r="1891" ht="13"/>
    <row r="1892" ht="13"/>
    <row r="1893" ht="13"/>
    <row r="1894" ht="13"/>
    <row r="1895" ht="13"/>
    <row r="1896" ht="17.25" customHeight="1"/>
    <row r="1897" ht="13"/>
    <row r="1898" ht="13"/>
    <row r="1899" ht="13"/>
    <row r="1900" ht="13"/>
    <row r="1901" ht="13"/>
    <row r="1902" ht="13"/>
    <row r="1903" ht="19.5" customHeight="1"/>
    <row r="1904" ht="20.25" customHeight="1"/>
    <row r="1905" ht="13"/>
    <row r="1906" ht="13"/>
    <row r="1907" ht="13"/>
    <row r="1908" ht="13"/>
    <row r="1909" ht="13"/>
    <row r="1910" ht="13"/>
    <row r="1911" ht="13"/>
    <row r="1912" ht="13"/>
    <row r="1913" ht="15" customHeight="1"/>
    <row r="1914" ht="13"/>
    <row r="1915" ht="13"/>
    <row r="1916" ht="13"/>
    <row r="1917" ht="13"/>
    <row r="1918" ht="13"/>
    <row r="1919" ht="13"/>
    <row r="1920" ht="13"/>
    <row r="1921" ht="13"/>
    <row r="1922" ht="13"/>
    <row r="1923" ht="13"/>
    <row r="1924" ht="13"/>
    <row r="1925" ht="13"/>
    <row r="1926" ht="13"/>
    <row r="1927" ht="13"/>
    <row r="1928" ht="13"/>
    <row r="1929" ht="13"/>
    <row r="1930" ht="13"/>
    <row r="1931" ht="13"/>
    <row r="1932" ht="13"/>
    <row r="1933" ht="19.5" customHeight="1"/>
    <row r="1934" ht="13"/>
    <row r="1935" ht="13"/>
    <row r="1936" ht="13"/>
    <row r="1937" ht="13"/>
    <row r="1938" ht="13"/>
    <row r="1939" ht="13"/>
    <row r="1940" ht="13"/>
    <row r="1941" ht="13"/>
    <row r="1942" ht="13"/>
    <row r="1943" ht="13"/>
    <row r="1944" ht="13"/>
    <row r="1945" ht="13"/>
    <row r="1946" ht="13"/>
    <row r="1948" ht="13"/>
    <row r="1949" ht="13"/>
    <row r="1950" ht="13"/>
    <row r="1951" ht="18.75" customHeight="1"/>
    <row r="1952" ht="13"/>
    <row r="1953" ht="13"/>
    <row r="1954" ht="13"/>
    <row r="1955" ht="13"/>
    <row r="1956" ht="13"/>
    <row r="1957" ht="13"/>
    <row r="1958" ht="13"/>
    <row r="1959" ht="13"/>
    <row r="1960" ht="13"/>
    <row r="1961" ht="13"/>
    <row r="1962" ht="13"/>
    <row r="1963" ht="13"/>
    <row r="1964" ht="13"/>
    <row r="1965" ht="16.5" customHeight="1"/>
    <row r="1966" ht="13"/>
    <row r="1967" ht="13"/>
    <row r="1968" ht="13"/>
    <row r="1969" ht="13"/>
    <row r="1970" ht="13"/>
    <row r="1971" ht="13"/>
    <row r="1972" ht="13"/>
    <row r="1973" ht="18" customHeight="1"/>
    <row r="1974" ht="13"/>
    <row r="1975" ht="22.5" customHeight="1"/>
    <row r="1976" ht="13"/>
    <row r="1977" ht="13"/>
    <row r="1978" ht="13"/>
    <row r="1979" ht="13"/>
    <row r="1980" ht="13"/>
    <row r="1981" ht="13"/>
    <row r="1982" ht="13"/>
    <row r="1983" ht="13"/>
    <row r="1984" ht="13"/>
    <row r="1985" ht="13"/>
    <row r="1986" ht="13"/>
    <row r="1987" ht="13"/>
    <row r="1988" ht="13"/>
    <row r="1989" ht="13"/>
    <row r="1990" ht="13"/>
    <row r="1991" ht="13"/>
    <row r="1992" ht="13"/>
    <row r="1993" ht="13"/>
    <row r="1995" ht="13"/>
    <row r="1996" ht="13"/>
    <row r="1997" ht="13"/>
    <row r="1998" ht="13"/>
    <row r="1999" ht="13"/>
    <row r="2000" ht="13"/>
    <row r="2001" ht="13"/>
    <row r="2002" ht="13"/>
    <row r="2003" ht="13"/>
    <row r="2004" ht="13"/>
    <row r="2005" ht="13"/>
    <row r="2006" ht="13"/>
    <row r="2007" ht="13"/>
    <row r="2008" ht="13"/>
    <row r="2009" ht="13"/>
    <row r="2010" ht="13"/>
    <row r="2011" ht="13"/>
    <row r="2012" ht="13"/>
    <row r="2013" ht="13"/>
    <row r="2014" ht="13"/>
    <row r="2015" ht="13"/>
    <row r="2016" ht="13"/>
    <row r="2017" ht="13"/>
    <row r="2018" ht="13"/>
    <row r="2019" ht="13"/>
    <row r="2020" ht="13"/>
    <row r="2021" ht="13"/>
    <row r="2022" ht="21.75" customHeight="1"/>
    <row r="2023" ht="13"/>
    <row r="2024" ht="13"/>
    <row r="2025" ht="13"/>
    <row r="2026" ht="13"/>
    <row r="2027" ht="13"/>
    <row r="2028" ht="13"/>
    <row r="2029" ht="18.75" customHeight="1"/>
    <row r="2030" ht="16.5" customHeight="1"/>
    <row r="2031" ht="13"/>
    <row r="2032" ht="13"/>
    <row r="2033" ht="13"/>
    <row r="2034" ht="13"/>
    <row r="2035" ht="21.75" customHeight="1"/>
    <row r="2036" ht="13"/>
    <row r="2037" ht="13"/>
    <row r="2038" ht="13"/>
    <row r="2039" ht="13"/>
    <row r="2040" ht="13"/>
    <row r="2041" ht="13"/>
    <row r="2042" ht="13"/>
    <row r="2043" ht="13"/>
    <row r="2044" ht="13"/>
    <row r="2045" ht="13"/>
    <row r="2046" ht="18" customHeight="1"/>
    <row r="2047" ht="13"/>
    <row r="2049" ht="13"/>
    <row r="2050" ht="13"/>
    <row r="2051" ht="13"/>
    <row r="2052" ht="13"/>
    <row r="2053" ht="13"/>
    <row r="2054" ht="13"/>
    <row r="2056" ht="13"/>
    <row r="2057" ht="13"/>
    <row r="2058" ht="13"/>
    <row r="2059" ht="13"/>
    <row r="2060" ht="13"/>
    <row r="2061" ht="13"/>
    <row r="2062" ht="13"/>
    <row r="2063" ht="13"/>
    <row r="2064" ht="13"/>
    <row r="2065" ht="13"/>
    <row r="2066" ht="13"/>
    <row r="2067" ht="13"/>
    <row r="2068" ht="18" customHeight="1"/>
    <row r="2069" ht="13"/>
    <row r="2071" ht="13"/>
    <row r="2072" ht="13"/>
    <row r="2073" ht="13"/>
    <row r="2074" ht="13"/>
    <row r="2075" ht="13"/>
    <row r="2076" ht="13"/>
    <row r="2077" ht="13"/>
    <row r="2078" ht="16.5" customHeight="1"/>
    <row r="2079" ht="13"/>
    <row r="2080" ht="13"/>
    <row r="2081" ht="13"/>
    <row r="2082" ht="13"/>
    <row r="2083" ht="13"/>
    <row r="2084" ht="13"/>
    <row r="2085" ht="13"/>
    <row r="2086" ht="13"/>
    <row r="2088" ht="13"/>
    <row r="2089" ht="13"/>
    <row r="2090" ht="13"/>
    <row r="2091" ht="13"/>
    <row r="2092" ht="13"/>
    <row r="2093" ht="13"/>
    <row r="2094" ht="13"/>
    <row r="2095" ht="13"/>
    <row r="2096" ht="13"/>
    <row r="2097" ht="13"/>
    <row r="2098" ht="13"/>
    <row r="2099" ht="13"/>
    <row r="2100" ht="13"/>
    <row r="2102" ht="13"/>
    <row r="2103" ht="13"/>
    <row r="2104" ht="18.75" customHeight="1"/>
    <row r="2105" ht="13"/>
    <row r="2106" ht="13"/>
    <row r="2107" ht="13"/>
    <row r="2108" ht="13"/>
    <row r="2109" ht="13"/>
    <row r="2110" ht="13"/>
    <row r="2111" ht="16.5" customHeight="1"/>
    <row r="2112" ht="13"/>
    <row r="2113" ht="18" customHeight="1"/>
    <row r="2114" ht="13"/>
    <row r="2115" ht="13"/>
    <row r="2116" ht="13"/>
    <row r="2117" ht="13"/>
    <row r="2118" ht="13"/>
    <row r="2119" ht="13"/>
    <row r="2120" ht="13"/>
    <row r="2121" ht="13"/>
    <row r="2122" ht="13"/>
    <row r="2123" ht="13"/>
    <row r="2124" ht="16.5" customHeight="1"/>
    <row r="2125" ht="13"/>
    <row r="2126" ht="13"/>
    <row r="2127" ht="18.75" customHeight="1"/>
    <row r="2128" ht="13"/>
    <row r="2129" ht="13"/>
    <row r="2130" ht="13"/>
    <row r="2131" ht="13"/>
    <row r="2132" ht="13"/>
    <row r="2133" ht="18" customHeight="1"/>
    <row r="2134" ht="15" customHeight="1"/>
    <row r="2135" ht="13"/>
    <row r="2136" ht="13"/>
    <row r="2137" ht="13"/>
    <row r="2138" ht="13"/>
    <row r="2139" ht="13"/>
    <row r="2140" ht="13"/>
    <row r="2141" ht="13"/>
    <row r="2142" ht="13"/>
    <row r="2143" ht="13"/>
    <row r="2144" ht="13"/>
    <row r="2145" ht="13"/>
    <row r="2146" ht="13"/>
    <row r="2147" ht="19.5" customHeight="1"/>
    <row r="2148" ht="13"/>
    <row r="2149" ht="13"/>
    <row r="2150" ht="16.5" customHeight="1"/>
    <row r="2151" ht="13"/>
    <row r="2152" ht="13"/>
    <row r="2153" ht="13"/>
    <row r="2154" ht="13"/>
    <row r="2155" ht="13"/>
    <row r="2156" ht="13"/>
    <row r="2157" ht="13"/>
    <row r="2158" ht="13"/>
    <row r="2160" ht="13"/>
    <row r="2161" ht="13"/>
    <row r="2162" ht="13"/>
    <row r="2163" ht="13"/>
    <row r="2164" ht="13"/>
    <row r="2165" ht="13"/>
    <row r="2166" ht="13"/>
    <row r="2167" ht="13"/>
    <row r="2168" ht="17.25" customHeight="1"/>
    <row r="2169" ht="13"/>
    <row r="2171" ht="16.5" customHeight="1"/>
    <row r="2172" ht="13"/>
    <row r="2173" ht="13"/>
    <row r="2174" ht="13"/>
    <row r="2175" ht="16.5" customHeight="1"/>
    <row r="2176" ht="13"/>
    <row r="2177" ht="13"/>
    <row r="2178" ht="13"/>
    <row r="2179" ht="13"/>
    <row r="2180" ht="13"/>
    <row r="2181" ht="13"/>
    <row r="2182" ht="13"/>
    <row r="2183" ht="15" customHeight="1"/>
    <row r="2184" ht="13"/>
    <row r="2185" ht="13"/>
    <row r="2186" ht="13"/>
    <row r="2187" ht="13"/>
    <row r="2188" ht="13"/>
    <row r="2189" ht="13"/>
    <row r="2190" ht="13"/>
    <row r="2191" ht="13"/>
    <row r="2192" ht="13"/>
    <row r="2193" ht="13"/>
    <row r="2194" ht="13"/>
    <row r="2195" ht="13"/>
    <row r="2196" ht="13"/>
    <row r="2197" ht="13"/>
    <row r="2198" ht="13"/>
    <row r="2199" ht="13"/>
    <row r="2200" ht="13"/>
    <row r="2201" ht="13"/>
    <row r="2202" ht="13"/>
    <row r="2203" ht="13"/>
    <row r="2204" ht="13"/>
    <row r="2205" ht="13"/>
    <row r="2207" ht="13"/>
    <row r="2208" ht="13"/>
    <row r="2209" ht="13"/>
    <row r="2210" ht="13"/>
    <row r="2211" ht="13"/>
    <row r="2212" ht="13"/>
    <row r="2213" ht="13"/>
    <row r="2214" ht="13"/>
    <row r="2215" ht="13"/>
    <row r="2216" ht="13"/>
    <row r="2217" ht="13"/>
    <row r="2218" ht="17.25" customHeight="1"/>
    <row r="2219" ht="13"/>
    <row r="2220" ht="13"/>
    <row r="2221" ht="13"/>
    <row r="2223" ht="13"/>
    <row r="2224" ht="13"/>
    <row r="2225" ht="13"/>
    <row r="2226" ht="13"/>
    <row r="2227" ht="13"/>
    <row r="2228" ht="16.5" customHeight="1"/>
    <row r="2229" ht="13"/>
    <row r="2230" ht="13"/>
    <row r="2231" ht="13"/>
    <row r="2232" ht="13"/>
    <row r="2233" ht="13"/>
    <row r="2234" ht="13"/>
    <row r="2235" ht="13"/>
    <row r="2236" ht="13"/>
    <row r="2237" ht="13"/>
    <row r="2238" ht="13"/>
    <row r="2239" ht="13"/>
    <row r="2240" ht="13"/>
    <row r="2241" ht="13"/>
    <row r="2242" ht="13"/>
    <row r="2243" ht="16.5" customHeight="1"/>
    <row r="2244" ht="13"/>
    <row r="2245" ht="13"/>
    <row r="2246" ht="13"/>
    <row r="2247" ht="13"/>
    <row r="2248" ht="13"/>
    <row r="2249" ht="13"/>
    <row r="2250" ht="13"/>
    <row r="2251" ht="13"/>
    <row r="2252" ht="13"/>
    <row r="2253" ht="13"/>
    <row r="2254" ht="13"/>
    <row r="2255" ht="13"/>
    <row r="2256" ht="13"/>
    <row r="2257" ht="13"/>
    <row r="2258" ht="13"/>
    <row r="2259" ht="13"/>
    <row r="2260" ht="13"/>
    <row r="2261" ht="13"/>
    <row r="2262" ht="13"/>
    <row r="2263" ht="13"/>
    <row r="2264" ht="13"/>
    <row r="2265" ht="20.25" customHeight="1"/>
    <row r="2266" ht="13"/>
    <row r="2267" ht="13"/>
    <row r="2268" ht="13"/>
    <row r="2269" ht="13"/>
    <row r="2270" ht="13"/>
    <row r="2271" ht="13"/>
    <row r="2272" ht="13"/>
    <row r="2273" ht="13"/>
    <row r="2274" ht="13"/>
    <row r="2275" ht="13"/>
    <row r="2276" ht="13"/>
    <row r="2277" ht="13"/>
    <row r="2278" ht="13"/>
    <row r="2279" ht="13"/>
    <row r="2280" ht="13"/>
    <row r="2281" ht="13"/>
    <row r="2282" ht="13"/>
    <row r="2283" ht="13"/>
    <row r="2284" ht="13"/>
    <row r="2285" ht="13"/>
    <row r="2286" ht="13"/>
    <row r="2287" ht="13"/>
    <row r="2288" ht="13"/>
    <row r="2289" ht="13"/>
    <row r="2290" ht="13"/>
    <row r="2291" ht="13"/>
    <row r="2292" ht="13"/>
    <row r="2293" ht="13"/>
    <row r="2294" ht="13"/>
    <row r="2295" ht="13"/>
    <row r="2296" ht="13"/>
    <row r="2297" ht="13"/>
    <row r="2298" ht="13"/>
    <row r="2299" ht="13"/>
    <row r="2300" ht="13"/>
    <row r="2301" ht="13"/>
    <row r="2302" ht="13"/>
    <row r="2303" ht="13"/>
    <row r="2304" ht="13"/>
    <row r="2305" ht="13"/>
    <row r="2306" ht="13"/>
    <row r="2307" ht="13"/>
    <row r="2308" ht="13"/>
    <row r="2309" ht="13"/>
    <row r="2310" ht="13"/>
    <row r="2311" ht="13"/>
    <row r="2312" ht="13"/>
    <row r="2313" ht="13"/>
    <row r="2314" ht="13"/>
    <row r="2315" ht="13"/>
    <row r="2316" ht="13"/>
    <row r="2317" ht="13"/>
    <row r="2318" ht="13"/>
    <row r="2319" ht="13"/>
    <row r="2320" ht="13"/>
    <row r="2321" ht="13"/>
    <row r="2322" ht="13"/>
    <row r="2323" ht="13"/>
    <row r="2324" ht="13"/>
    <row r="2325" ht="13"/>
    <row r="2326" ht="13"/>
    <row r="2327" ht="13"/>
    <row r="2328" ht="13"/>
    <row r="2329" ht="13"/>
    <row r="2330" ht="13"/>
    <row r="2331" ht="13"/>
    <row r="2332" ht="13"/>
    <row r="2333" ht="13"/>
    <row r="2334" ht="13"/>
    <row r="2335" ht="13"/>
    <row r="2336" ht="13"/>
    <row r="2337" ht="13"/>
    <row r="2338" ht="13"/>
    <row r="2339" ht="13"/>
    <row r="2340" ht="13"/>
    <row r="2341" ht="13"/>
    <row r="2342" ht="13"/>
    <row r="2343" ht="13"/>
    <row r="2344" ht="13"/>
    <row r="2345" ht="13"/>
    <row r="2346" ht="13"/>
    <row r="2347" ht="13"/>
    <row r="2348" ht="13"/>
    <row r="2349" ht="13"/>
    <row r="2350" ht="13"/>
    <row r="2351" ht="13"/>
    <row r="2352" ht="13"/>
    <row r="2353" ht="13"/>
    <row r="2354" ht="13"/>
    <row r="2355" ht="13"/>
    <row r="2356" ht="13"/>
    <row r="2357" ht="13"/>
    <row r="2358" ht="13"/>
    <row r="2359" ht="13"/>
    <row r="2360" ht="13"/>
    <row r="2361" ht="13"/>
    <row r="2362" ht="13"/>
    <row r="2363" ht="13"/>
    <row r="2364" ht="13"/>
    <row r="2365" ht="13"/>
    <row r="2366" ht="13"/>
    <row r="2367" ht="13"/>
    <row r="2368" ht="13"/>
    <row r="2369" ht="13"/>
    <row r="2370" ht="13"/>
    <row r="2371" ht="13"/>
    <row r="2372" ht="13"/>
    <row r="2373" ht="13"/>
    <row r="2374" ht="13"/>
    <row r="2375" ht="13"/>
    <row r="2376" ht="13"/>
    <row r="2377" ht="13"/>
    <row r="2378" ht="13"/>
    <row r="2379" ht="13"/>
    <row r="2380" ht="13"/>
    <row r="2381" ht="17.25" customHeight="1"/>
    <row r="2382" ht="13"/>
    <row r="2383" ht="13"/>
    <row r="2384" ht="13"/>
    <row r="2385" ht="13"/>
    <row r="2386" ht="13"/>
    <row r="2387" ht="13"/>
    <row r="2388" ht="13"/>
    <row r="2389" ht="13"/>
    <row r="2390" ht="13"/>
    <row r="2391" ht="17.25" customHeight="1"/>
    <row r="2392" ht="13"/>
    <row r="2393" ht="13"/>
    <row r="2394" ht="13"/>
    <row r="2395" ht="13"/>
    <row r="2396" ht="13"/>
    <row r="2397" ht="13"/>
    <row r="2398" ht="13"/>
    <row r="2399" ht="13"/>
    <row r="2400" ht="13"/>
    <row r="2401" ht="13"/>
    <row r="2402" ht="13"/>
    <row r="2403" ht="15" customHeight="1"/>
    <row r="2404" ht="13"/>
    <row r="2405" ht="13"/>
    <row r="2406" ht="13"/>
    <row r="2407" ht="18" customHeight="1"/>
    <row r="2408" ht="13"/>
    <row r="2410" ht="17.25" customHeight="1"/>
    <row r="2411" ht="13"/>
    <row r="2412" ht="13"/>
    <row r="2413" ht="18.75" customHeight="1"/>
    <row r="2414" ht="13"/>
    <row r="2415" ht="13"/>
    <row r="2416" ht="17.25" customHeight="1"/>
    <row r="2417" ht="18.75" customHeight="1"/>
    <row r="2418" ht="13"/>
    <row r="2419" ht="13"/>
    <row r="2420" ht="18.75" customHeight="1"/>
    <row r="2421" ht="18" customHeight="1"/>
    <row r="2422" ht="13"/>
    <row r="2423" ht="13"/>
    <row r="2424" ht="13"/>
    <row r="2425" ht="13"/>
    <row r="2426" ht="13"/>
    <row r="2427" ht="13"/>
    <row r="2428" ht="13"/>
    <row r="2429" ht="13"/>
    <row r="2430" ht="13"/>
    <row r="2431" ht="13"/>
    <row r="2432" ht="13"/>
    <row r="2433" ht="17.25" customHeight="1"/>
    <row r="2434" ht="13"/>
    <row r="2435" ht="13"/>
    <row r="2436" ht="13"/>
    <row r="2437" ht="17.25" customHeight="1"/>
    <row r="2438" ht="15" customHeight="1"/>
    <row r="2439" ht="18.75" customHeight="1"/>
    <row r="2440" ht="13"/>
    <row r="2441" ht="17.25" customHeight="1"/>
    <row r="2443" ht="13"/>
    <row r="2444" ht="16.5" customHeight="1"/>
    <row r="2445" ht="16.5" customHeight="1"/>
    <row r="2446" ht="20.25" customHeight="1"/>
    <row r="2447" ht="13"/>
    <row r="2448" ht="18" customHeight="1"/>
    <row r="2449" ht="16.5" customHeight="1"/>
    <row r="2450" ht="16.5" customHeight="1"/>
    <row r="2451" ht="15" customHeight="1"/>
    <row r="2452" ht="16.5" customHeight="1"/>
    <row r="2453" ht="16.5" customHeight="1"/>
    <row r="2454" ht="15" customHeight="1"/>
    <row r="2455" ht="15" customHeight="1"/>
    <row r="2456" ht="18" customHeight="1"/>
    <row r="2457" ht="17.25" customHeight="1"/>
    <row r="2458" ht="16.5" customHeight="1"/>
    <row r="2459" ht="16.5" customHeight="1"/>
    <row r="2460" ht="15" customHeight="1"/>
    <row r="2461" ht="15" customHeight="1"/>
    <row r="2462" ht="17.25" customHeight="1"/>
    <row r="2463" ht="18.75" customHeight="1"/>
    <row r="2464" ht="18" customHeight="1"/>
    <row r="2465" ht="15" customHeight="1"/>
    <row r="2466" ht="16.5" customHeight="1"/>
    <row r="2467" ht="14.25" customHeight="1"/>
    <row r="2468" ht="13"/>
    <row r="2469" ht="13"/>
    <row r="2470" ht="13"/>
    <row r="2471" ht="13"/>
    <row r="2472" ht="18" customHeight="1"/>
    <row r="2473" ht="20.25" customHeight="1"/>
    <row r="2474" ht="23.25" customHeight="1"/>
    <row r="2475" ht="18.75" customHeight="1"/>
    <row r="2476" ht="21" customHeight="1"/>
    <row r="2477" ht="18.75" customHeight="1"/>
    <row r="2478" ht="22.5" customHeight="1"/>
    <row r="2479" ht="17.25" customHeight="1"/>
    <row r="2480" ht="18.75" customHeight="1"/>
    <row r="2481" ht="18" customHeight="1"/>
    <row r="2482" ht="15" customHeight="1"/>
    <row r="2483" ht="17.25" customHeight="1"/>
    <row r="2484" ht="16.5" customHeight="1"/>
    <row r="2485" ht="16.5" customHeight="1"/>
    <row r="2486" ht="13"/>
    <row r="2487" ht="17.25" customHeight="1"/>
    <row r="2488" ht="16.5" customHeight="1"/>
    <row r="2489" ht="16.5" customHeight="1"/>
    <row r="2491" ht="16.5" customHeight="1"/>
    <row r="2492" ht="16.5" customHeight="1"/>
    <row r="2493" ht="17.25" customHeight="1"/>
    <row r="2494" ht="17.25" customHeight="1"/>
    <row r="2495" ht="18.75" customHeight="1"/>
    <row r="2496" ht="18.75" customHeight="1"/>
    <row r="2497" ht="25.5" customHeight="1"/>
    <row r="2499" ht="18" customHeight="1"/>
    <row r="2500" ht="17.25" customHeight="1"/>
    <row r="2501" ht="16.5" customHeight="1"/>
    <row r="2502" ht="16.5" customHeight="1"/>
    <row r="2503" ht="18" customHeight="1"/>
    <row r="2506" ht="13"/>
    <row r="2507" ht="16.5" customHeight="1"/>
    <row r="2508" ht="13"/>
    <row r="2509" ht="13"/>
    <row r="2511" ht="13"/>
    <row r="2512" ht="18" customHeight="1"/>
    <row r="2513" ht="17.25" customHeight="1"/>
    <row r="2514" ht="18" customHeight="1"/>
    <row r="2516" ht="13"/>
    <row r="2517" ht="16.5" customHeight="1"/>
    <row r="2518" ht="16.5" customHeight="1"/>
    <row r="2519" ht="16.5" customHeight="1"/>
    <row r="2520" ht="17.25" customHeight="1"/>
    <row r="2522" ht="16.5" customHeight="1"/>
    <row r="2523" ht="17.25" customHeight="1"/>
    <row r="2524" ht="15" customHeight="1"/>
    <row r="2526" ht="16.5" customHeight="1"/>
    <row r="2527" ht="13"/>
    <row r="2528" ht="13"/>
    <row r="2529" ht="18.75" customHeight="1"/>
    <row r="2530" ht="13"/>
    <row r="2531" ht="18" customHeight="1"/>
    <row r="2532" ht="17.25" customHeight="1"/>
    <row r="2533" ht="18" customHeight="1"/>
    <row r="2534" ht="13"/>
    <row r="2535" ht="13"/>
    <row r="2536" ht="16.5" customHeight="1"/>
    <row r="2537" ht="18" customHeight="1"/>
    <row r="2538" ht="13"/>
    <row r="2539" ht="18" customHeight="1"/>
    <row r="2540" ht="13"/>
    <row r="2541" ht="17.25" customHeight="1"/>
    <row r="2542" ht="19.5" customHeight="1"/>
    <row r="2543" ht="21" customHeight="1"/>
    <row r="2544" ht="18.75" customHeight="1"/>
    <row r="2545" ht="16.5" customHeight="1"/>
    <row r="2546" ht="17.25" customHeight="1"/>
    <row r="2547" ht="16.5" customHeight="1"/>
    <row r="2548" ht="17.25" customHeight="1"/>
    <row r="2549" ht="18" customHeight="1"/>
    <row r="2550" ht="18.75" customHeight="1"/>
    <row r="2551" ht="16.5" customHeight="1"/>
    <row r="2552" ht="17.25" customHeight="1"/>
    <row r="2553" ht="19.5" customHeight="1"/>
    <row r="2554" ht="16.5" customHeight="1"/>
    <row r="2555" ht="18" customHeight="1"/>
    <row r="2556" ht="17.25" customHeight="1"/>
    <row r="2557" ht="21.75" customHeight="1"/>
    <row r="2558" ht="13"/>
    <row r="2559" ht="16.5" customHeight="1"/>
    <row r="2560" ht="18.75" customHeight="1"/>
    <row r="2561" ht="13"/>
    <row r="2562" ht="18.75" customHeight="1"/>
    <row r="2563" ht="18" customHeight="1"/>
    <row r="2564" ht="13"/>
    <row r="2565" ht="19.5" customHeight="1"/>
    <row r="2566" ht="20.25" customHeight="1"/>
    <row r="2567" ht="22.5" customHeight="1"/>
    <row r="2568" ht="18.75" customHeight="1"/>
    <row r="2569" ht="19.5" customHeight="1"/>
    <row r="2570" ht="13"/>
    <row r="2571" ht="13"/>
    <row r="2572" ht="16.5" customHeight="1"/>
    <row r="2573" ht="21" customHeight="1"/>
    <row r="2574" ht="13"/>
    <row r="2575" ht="21.75" customHeight="1"/>
    <row r="2576" ht="25.5" customHeight="1"/>
    <row r="2577" ht="22.5" customHeight="1"/>
    <row r="2578" ht="21.75" customHeight="1"/>
    <row r="2579" ht="23.25" customHeight="1"/>
    <row r="2580" ht="20.25" customHeight="1"/>
    <row r="2581" ht="13"/>
    <row r="2582" ht="21.75" customHeight="1"/>
    <row r="2583" ht="19.5" customHeight="1"/>
    <row r="2584" ht="22.5" customHeight="1"/>
    <row r="2585" ht="18.75" customHeight="1"/>
    <row r="2586" ht="19.5" customHeight="1"/>
    <row r="2587" ht="22.5" customHeight="1"/>
    <row r="2588" ht="21" customHeight="1"/>
    <row r="2589" ht="20.25" customHeight="1"/>
    <row r="2590" ht="21" customHeight="1"/>
    <row r="2591" ht="21.75" customHeight="1"/>
    <row r="2592" ht="21.75" customHeight="1"/>
    <row r="2593" ht="18.75" customHeight="1"/>
    <row r="2594" ht="18" customHeight="1"/>
    <row r="2595" ht="19.5" customHeight="1"/>
    <row r="2596" ht="17.25" customHeight="1"/>
    <row r="2597" ht="20.25" customHeight="1"/>
    <row r="2598" ht="18.75" customHeight="1"/>
    <row r="2599" ht="20.25" customHeight="1"/>
    <row r="2600" ht="19.5" customHeight="1"/>
    <row r="2601" ht="18.75" customHeight="1"/>
    <row r="2602" ht="19.5" customHeight="1"/>
    <row r="2603" ht="13"/>
    <row r="2604" ht="19.5" customHeight="1"/>
    <row r="2605" ht="18" customHeight="1"/>
    <row r="2606" ht="21" customHeight="1"/>
    <row r="2607" ht="17.25" customHeight="1"/>
    <row r="2608" ht="20.25" customHeight="1"/>
    <row r="2609" ht="24" customHeight="1"/>
    <row r="2610" ht="13"/>
    <row r="2611" ht="21" customHeight="1"/>
    <row r="2612" ht="13"/>
    <row r="2613" ht="18.75" customHeight="1"/>
    <row r="2614" ht="19.5" customHeight="1"/>
    <row r="2615" ht="18.75" customHeight="1"/>
    <row r="2616" ht="22.5" customHeight="1"/>
    <row r="2617" ht="20.25" customHeight="1"/>
    <row r="2618" ht="19.5" customHeight="1"/>
    <row r="2619" ht="21" customHeight="1"/>
    <row r="2620" ht="19.5" customHeight="1"/>
    <row r="2621" ht="20.25" customHeight="1"/>
    <row r="2622" ht="18.75" customHeight="1"/>
    <row r="2623" ht="20.25" customHeight="1"/>
    <row r="2624" ht="21.75" customHeight="1"/>
    <row r="2625" ht="21.75" customHeight="1"/>
    <row r="2626" ht="18" customHeight="1"/>
    <row r="2627" ht="20.25" customHeight="1"/>
    <row r="2628" ht="13"/>
    <row r="2629" ht="20.25" customHeight="1"/>
    <row r="2630" ht="16.5" customHeight="1"/>
    <row r="2631" ht="19.5" customHeight="1"/>
    <row r="2632" ht="21" customHeight="1"/>
    <row r="2633" ht="13"/>
    <row r="2634" ht="13"/>
    <row r="2635" ht="19.5" customHeight="1"/>
    <row r="2636" ht="21" customHeight="1"/>
    <row r="2637" ht="13"/>
    <row r="2638" ht="19.5" customHeight="1"/>
    <row r="2639" ht="18" customHeight="1"/>
    <row r="2640" ht="20.25" customHeight="1"/>
    <row r="2641" ht="20.25" customHeight="1"/>
    <row r="2642" ht="21" customHeight="1"/>
    <row r="2643" ht="22.5" customHeight="1"/>
    <row r="2644" ht="20.25" customHeight="1"/>
    <row r="2645" ht="18" customHeight="1"/>
    <row r="2646" ht="17.25" customHeight="1"/>
    <row r="2647" ht="19.5" customHeight="1"/>
    <row r="2648" ht="20.25" customHeight="1"/>
    <row r="2649" ht="18.75" customHeight="1"/>
    <row r="2650" ht="19.5" customHeight="1"/>
    <row r="2651" ht="18" customHeight="1"/>
    <row r="2652" ht="18.75" customHeight="1"/>
    <row r="2653" ht="18.75" customHeight="1"/>
    <row r="2654" ht="19.5" customHeight="1"/>
    <row r="2655" ht="21" customHeight="1"/>
    <row r="2656" ht="20.25" customHeight="1"/>
    <row r="2657" ht="20.25" customHeight="1"/>
    <row r="2658" ht="20.25" customHeight="1"/>
    <row r="2659" ht="21" customHeight="1"/>
    <row r="2660" ht="18" customHeight="1"/>
    <row r="2661" ht="22.5" customHeight="1"/>
    <row r="2662" ht="22.5" customHeight="1"/>
    <row r="2663" ht="22.5" customHeight="1"/>
    <row r="2664" ht="24" customHeight="1"/>
    <row r="2665" ht="20.25" customHeight="1"/>
    <row r="2666" ht="21" customHeight="1"/>
    <row r="2667" ht="20.25" customHeight="1"/>
    <row r="2668" ht="23.25" customHeight="1"/>
    <row r="2669" ht="21.75" customHeight="1"/>
    <row r="2670" ht="19.5" customHeight="1"/>
    <row r="2671" ht="18.75" customHeight="1"/>
    <row r="2672" ht="19.5" customHeight="1"/>
    <row r="2673" ht="21.75" customHeight="1"/>
    <row r="2674" ht="20.25" customHeight="1"/>
    <row r="2675" ht="21" customHeight="1"/>
    <row r="2676" ht="20.25" customHeight="1"/>
    <row r="2677" ht="16.5" customHeight="1"/>
    <row r="2678" ht="17.25" customHeight="1"/>
    <row r="2679" ht="18.75" customHeight="1"/>
    <row r="2680" ht="18.75" customHeight="1"/>
    <row r="2681" ht="19.5" customHeight="1"/>
    <row r="2682" ht="13"/>
    <row r="2683" ht="19.5" customHeight="1"/>
    <row r="2684" ht="18.75" customHeight="1"/>
    <row r="2685" ht="20.25" customHeight="1"/>
    <row r="2686" ht="18.75" customHeight="1"/>
    <row r="2687" ht="19.5" customHeight="1"/>
    <row r="2688" ht="17.25" customHeight="1"/>
    <row r="2689" ht="18.75" customHeight="1"/>
    <row r="2690" ht="21" customHeight="1"/>
    <row r="2691" ht="19.5" customHeight="1"/>
    <row r="2692" ht="23.25" customHeight="1"/>
    <row r="2693" ht="16.5" customHeight="1"/>
    <row r="2694" ht="18.75" customHeight="1"/>
    <row r="2695" ht="21.75" customHeight="1"/>
    <row r="2696" ht="21" customHeight="1"/>
    <row r="2697" ht="18.75" customHeight="1"/>
    <row r="2698" ht="21" customHeight="1"/>
    <row r="2699" ht="21" customHeight="1"/>
    <row r="2700" ht="18.75" customHeight="1"/>
    <row r="2701" ht="13"/>
    <row r="2702" ht="22.5" customHeight="1"/>
    <row r="2703" ht="20.25" customHeight="1"/>
    <row r="2704" ht="19.5" customHeight="1"/>
    <row r="2705" ht="21" customHeight="1"/>
    <row r="2706" ht="21.75" customHeight="1"/>
    <row r="2707" ht="18.75" customHeight="1"/>
    <row r="2708" ht="18.75" customHeight="1"/>
    <row r="2709" ht="19.5" customHeight="1"/>
    <row r="2710" ht="19.5" customHeight="1"/>
    <row r="2711" ht="18.75" customHeight="1"/>
    <row r="2712" ht="19.5" customHeight="1"/>
    <row r="2713" ht="18.75" customHeight="1"/>
    <row r="2714" ht="19.5" customHeight="1"/>
    <row r="2715" ht="20.25" customHeight="1"/>
    <row r="2716" ht="18" customHeight="1"/>
    <row r="2717" ht="18" customHeight="1"/>
    <row r="2718" ht="19.5" customHeight="1"/>
    <row r="2719" ht="18" customHeight="1"/>
    <row r="2720" ht="18.75" customHeight="1"/>
    <row r="2721" ht="18.75" customHeight="1"/>
    <row r="2722" ht="18" customHeight="1"/>
    <row r="2723" ht="21" customHeight="1"/>
    <row r="2724" ht="19.5" customHeight="1"/>
    <row r="2725" ht="18" customHeight="1"/>
    <row r="2726" ht="18" customHeight="1"/>
    <row r="2727" ht="21" customHeight="1"/>
    <row r="2728" ht="18.75" customHeight="1"/>
    <row r="2729" ht="16.5" customHeight="1"/>
    <row r="2730" ht="18.75" customHeight="1"/>
    <row r="2731" ht="18.75" customHeight="1"/>
    <row r="2732" ht="20.25" customHeight="1"/>
    <row r="2733" ht="18.75" customHeight="1"/>
    <row r="2734" ht="18.75" customHeight="1"/>
    <row r="2735" ht="19.5" customHeight="1"/>
    <row r="2736" ht="17.25" customHeight="1"/>
    <row r="2737" ht="20.25" customHeight="1"/>
    <row r="2738" ht="18.75" customHeight="1"/>
    <row r="2739" ht="17.25" customHeight="1"/>
    <row r="2740" ht="19.5" customHeight="1"/>
    <row r="2741" ht="18.75" customHeight="1"/>
    <row r="2742" ht="16.5" customHeight="1"/>
    <row r="2743" ht="20.25" customHeight="1"/>
    <row r="2744" ht="13"/>
    <row r="2745" ht="13"/>
    <row r="2746" ht="18" customHeight="1"/>
    <row r="2747" ht="19.5" customHeight="1"/>
    <row r="2748" ht="18" customHeight="1"/>
    <row r="2749" ht="18.75" customHeight="1"/>
    <row r="2750" ht="18.75" customHeight="1"/>
    <row r="2751" ht="18" customHeight="1"/>
    <row r="2752" ht="19.5" customHeight="1"/>
    <row r="2753" ht="18.75" customHeight="1"/>
    <row r="2754" ht="18" customHeight="1"/>
    <row r="2755" ht="18.75" customHeight="1"/>
    <row r="2756" ht="19.5" customHeight="1"/>
    <row r="2757" ht="19.5" customHeight="1"/>
    <row r="2758" ht="20.25" customHeight="1"/>
    <row r="2759" ht="21" customHeight="1"/>
    <row r="2760" ht="18.75" customHeight="1"/>
    <row r="2761" ht="19.5" customHeight="1"/>
    <row r="2762" ht="20.25" customHeight="1"/>
    <row r="2763" ht="19.5" customHeight="1"/>
    <row r="2764" ht="19.5" customHeight="1"/>
    <row r="2765" ht="17.25" customHeight="1"/>
    <row r="2766" ht="17.25" customHeight="1"/>
    <row r="2767" ht="18" customHeight="1"/>
    <row r="2768" ht="18" customHeight="1"/>
    <row r="2769" ht="21.75" customHeight="1"/>
    <row r="2770" ht="18.75" customHeight="1"/>
    <row r="2771" ht="18.75" customHeight="1"/>
    <row r="2772" ht="19.5" customHeight="1"/>
    <row r="2773" ht="19.5" customHeight="1"/>
    <row r="2774" ht="21" customHeight="1"/>
    <row r="2775" ht="18" customHeight="1"/>
    <row r="2776" ht="18" customHeight="1"/>
    <row r="2777" ht="20.25" customHeight="1"/>
    <row r="2778" ht="17.25" customHeight="1"/>
    <row r="2779" ht="21" customHeight="1"/>
    <row r="2780" ht="19.5" customHeight="1"/>
    <row r="2781" ht="19.5" customHeight="1"/>
    <row r="2782" ht="20.25" customHeight="1"/>
    <row r="2783" ht="18.75" customHeight="1"/>
    <row r="2784" ht="18" customHeight="1"/>
    <row r="2785" ht="19.5" customHeight="1"/>
    <row r="2786" ht="18" customHeight="1"/>
    <row r="2787" ht="13"/>
    <row r="2788" ht="18.75" customHeight="1"/>
    <row r="2789" ht="18" customHeight="1"/>
    <row r="2790" ht="20.25" customHeight="1"/>
    <row r="2791" ht="20.25" customHeight="1"/>
    <row r="2792" ht="17.25" customHeight="1"/>
    <row r="2793" ht="18" customHeight="1"/>
    <row r="2794" ht="19.5" customHeight="1"/>
    <row r="2795" ht="18.75" customHeight="1"/>
    <row r="2797" ht="18.75" customHeight="1"/>
    <row r="2798" ht="19.5" customHeight="1"/>
    <row r="2799" ht="18.75" customHeight="1"/>
    <row r="2800" ht="20.25" customHeight="1"/>
    <row r="2801" ht="19.5" customHeight="1"/>
    <row r="2802" ht="18.75" customHeight="1"/>
    <row r="2803" ht="20.25" customHeight="1"/>
    <row r="2804" ht="19.5" customHeight="1"/>
    <row r="2805" ht="21" customHeight="1"/>
    <row r="2806" ht="21.75" customHeight="1"/>
    <row r="2807" ht="21" customHeight="1"/>
    <row r="2808" ht="20.25" customHeight="1"/>
    <row r="2809" ht="19.5" customHeight="1"/>
    <row r="2810" ht="20.25" customHeight="1"/>
    <row r="2811" ht="18" customHeight="1"/>
    <row r="2812" ht="18.75" customHeight="1"/>
    <row r="2813" ht="18.75" customHeight="1"/>
    <row r="2814" ht="13"/>
    <row r="2815" ht="19.5" customHeight="1"/>
    <row r="2816" ht="21" customHeight="1"/>
    <row r="2817" ht="21" customHeight="1"/>
    <row r="2818" ht="19.5" customHeight="1"/>
    <row r="2819" ht="16.5" customHeight="1"/>
    <row r="2820" ht="21" customHeight="1"/>
    <row r="2821" ht="13"/>
    <row r="2822" ht="21" customHeight="1"/>
    <row r="2823" ht="18.75" customHeight="1"/>
    <row r="2824" ht="21" customHeight="1"/>
    <row r="2825" ht="18.75" customHeight="1"/>
    <row r="2826" ht="17.25" customHeight="1"/>
    <row r="2827" ht="19.5" customHeight="1"/>
    <row r="2828" ht="20.25" customHeight="1"/>
    <row r="2829" ht="18.75" customHeight="1"/>
    <row r="2830" ht="19.5" customHeight="1"/>
    <row r="2831" ht="19.5" customHeight="1"/>
    <row r="2832" ht="19.5" customHeight="1"/>
    <row r="2833" ht="16.5" customHeight="1"/>
    <row r="2834" ht="19.5" customHeight="1"/>
    <row r="2835" ht="21" customHeight="1"/>
    <row r="2836" ht="21" customHeight="1"/>
    <row r="2837" ht="19.5" customHeight="1"/>
    <row r="2838" ht="21" customHeight="1"/>
    <row r="2839" ht="18.75" customHeight="1"/>
    <row r="2840" ht="19.5" customHeight="1"/>
    <row r="2841" ht="19.5" customHeight="1"/>
    <row r="2842" ht="20.25" customHeight="1"/>
    <row r="2843" ht="20.25" customHeight="1"/>
    <row r="2844" ht="21.75" customHeight="1"/>
    <row r="2845" ht="21.75" customHeight="1"/>
    <row r="2846" ht="13"/>
    <row r="2847" ht="18.75" customHeight="1"/>
    <row r="2848" ht="21" customHeight="1"/>
    <row r="2849" ht="20.25" customHeight="1"/>
    <row r="2850" ht="18.75" customHeight="1"/>
    <row r="2851" ht="19.5" customHeight="1"/>
    <row r="2852" ht="19.5" customHeight="1"/>
    <row r="2853" ht="18" customHeight="1"/>
    <row r="2854" ht="21" customHeight="1"/>
    <row r="2855" ht="19.5" customHeight="1"/>
    <row r="2856" ht="18.75" customHeight="1"/>
    <row r="2857" ht="18" customHeight="1"/>
    <row r="2858" ht="20.25" customHeight="1"/>
    <row r="2859" ht="18.75" customHeight="1"/>
    <row r="2860" ht="18" customHeight="1"/>
    <row r="2861" ht="18" customHeight="1"/>
    <row r="2862" ht="21" customHeight="1"/>
    <row r="2863" ht="19.5" customHeight="1"/>
    <row r="2864" ht="20.25" customHeight="1"/>
    <row r="2865" ht="19.5" customHeight="1"/>
    <row r="2866" ht="18.75" customHeight="1"/>
    <row r="2867" ht="19.5" customHeight="1"/>
    <row r="2868" ht="20.25" customHeight="1"/>
    <row r="2869" ht="21.75" customHeight="1"/>
    <row r="2870" ht="19.5" customHeight="1"/>
    <row r="2871" ht="20.25" customHeight="1"/>
    <row r="2872" ht="19.5" customHeight="1"/>
    <row r="2873" ht="18" customHeight="1"/>
    <row r="2874" ht="19.5" customHeight="1"/>
    <row r="2875" ht="20.25" customHeight="1"/>
    <row r="2876" ht="22.5" customHeight="1"/>
    <row r="2877" ht="21" customHeight="1"/>
    <row r="2878" ht="19.5" customHeight="1"/>
    <row r="2879" ht="18" customHeight="1"/>
    <row r="2880" ht="22.5" customHeight="1"/>
    <row r="2881" ht="19.5" customHeight="1"/>
    <row r="2882" ht="18.75" customHeight="1"/>
    <row r="2883" ht="18.75" customHeight="1"/>
    <row r="2884" ht="17.25" customHeight="1"/>
    <row r="2885" ht="18.75" customHeight="1"/>
    <row r="2886" ht="18" customHeight="1"/>
    <row r="2887" ht="18" customHeight="1"/>
    <row r="2888" ht="18.75" customHeight="1"/>
    <row r="2889" ht="19.5" customHeight="1"/>
    <row r="2890" ht="18" customHeight="1"/>
    <row r="2891" ht="19.5" customHeight="1"/>
    <row r="2892" ht="18" customHeight="1"/>
    <row r="2893" ht="18" customHeight="1"/>
    <row r="2894" ht="18.75" customHeight="1"/>
    <row r="2895" ht="21" customHeight="1"/>
    <row r="2896" ht="20.25" customHeight="1"/>
    <row r="2897" ht="22.5" customHeight="1"/>
    <row r="2898" ht="21.75" customHeight="1"/>
    <row r="2899" ht="18.75" customHeight="1"/>
    <row r="2900" ht="17.25" customHeight="1"/>
    <row r="2901" ht="18.75" customHeight="1"/>
    <row r="2902" ht="18.75" customHeight="1"/>
    <row r="2903" ht="18.75" customHeight="1"/>
    <row r="2904" ht="21.75" customHeight="1"/>
    <row r="2905" ht="23.25" customHeight="1"/>
    <row r="2906" ht="13"/>
    <row r="2907" ht="13"/>
    <row r="2908" ht="20.25" customHeight="1"/>
    <row r="2909" ht="18.75" customHeight="1"/>
    <row r="2910" ht="22.5" customHeight="1"/>
    <row r="2911" ht="20.25" customHeight="1"/>
    <row r="2912" ht="20.25" customHeight="1"/>
    <row r="2913" ht="20.25" customHeight="1"/>
    <row r="2914" ht="19.5" customHeight="1"/>
    <row r="2915" ht="20.25" customHeight="1"/>
    <row r="2916" ht="18" customHeight="1"/>
    <row r="2917" ht="18" customHeight="1"/>
    <row r="2918" ht="21" customHeight="1"/>
    <row r="2919" ht="18.75" customHeight="1"/>
    <row r="2920" ht="21.75" customHeight="1"/>
    <row r="2921" ht="21" customHeight="1"/>
    <row r="2922" ht="17.25" customHeight="1"/>
    <row r="2923" ht="20.25" customHeight="1"/>
    <row r="2924" ht="19.5" customHeight="1"/>
    <row r="2925" ht="20.25" customHeight="1"/>
    <row r="2926" ht="21" customHeight="1"/>
    <row r="2927" ht="18.75" customHeight="1"/>
    <row r="2928" ht="20.25" customHeight="1"/>
    <row r="2929" ht="19.5" customHeight="1"/>
    <row r="2930" ht="18" customHeight="1"/>
    <row r="2931" ht="21" customHeight="1"/>
    <row r="2932" ht="17.25" customHeight="1"/>
    <row r="2933" ht="18.75" customHeight="1"/>
    <row r="2934" ht="18.75" customHeight="1"/>
    <row r="2935" ht="19.5" customHeight="1"/>
    <row r="2936" ht="21" customHeight="1"/>
    <row r="2937" ht="18.75" customHeight="1"/>
    <row r="2938" ht="19.5" customHeight="1"/>
    <row r="2939" ht="21" customHeight="1"/>
    <row r="2940" ht="20.25" customHeight="1"/>
    <row r="2941" ht="21" customHeight="1"/>
    <row r="2942" ht="20.25" customHeight="1"/>
    <row r="2943" ht="21" customHeight="1"/>
    <row r="2944" ht="20.25" customHeight="1"/>
    <row r="2945" ht="18.75" customHeight="1"/>
    <row r="2946" ht="19.5" customHeight="1"/>
    <row r="2947" ht="18" customHeight="1"/>
    <row r="2948" ht="21.75" customHeight="1"/>
    <row r="2949" ht="21" customHeight="1"/>
    <row r="2950" ht="19.5" customHeight="1"/>
    <row r="2951" ht="22.5" customHeight="1"/>
    <row r="2952" ht="19.5" customHeight="1"/>
    <row r="2953" ht="13"/>
    <row r="2954" ht="13"/>
    <row r="2955" ht="19.5" customHeight="1"/>
    <row r="2956" ht="21" customHeight="1"/>
    <row r="2957" ht="20.25" customHeight="1"/>
    <row r="2958" ht="21" customHeight="1"/>
    <row r="2959" ht="21" customHeight="1"/>
    <row r="2960" ht="22.5" customHeight="1"/>
    <row r="2961" ht="25.5" customHeight="1"/>
    <row r="2962" ht="20.25" customHeight="1"/>
    <row r="2963" ht="18.75" customHeight="1"/>
    <row r="2964" ht="20.25" customHeight="1"/>
    <row r="2965" ht="20.25" customHeight="1"/>
    <row r="2966" ht="21.75" customHeight="1"/>
    <row r="2967" ht="18.75" customHeight="1"/>
    <row r="2968" ht="13"/>
    <row r="2969" ht="20.25" customHeight="1"/>
    <row r="2970" ht="21" customHeight="1"/>
    <row r="2971" ht="20.25" customHeight="1"/>
    <row r="2972" ht="18.75" customHeight="1"/>
    <row r="2973" ht="20.25" customHeight="1"/>
    <row r="2974" ht="18.75" customHeight="1"/>
    <row r="2975" ht="16.5" customHeight="1"/>
    <row r="2976" ht="21" customHeight="1"/>
    <row r="2977" ht="19.5" customHeight="1"/>
    <row r="2978" ht="18" customHeight="1"/>
    <row r="2979" ht="19.5" customHeight="1"/>
    <row r="2980" ht="21" customHeight="1"/>
    <row r="2981" ht="20.25" customHeight="1"/>
    <row r="2982" ht="19.5" customHeight="1"/>
    <row r="2983" ht="18" customHeight="1"/>
    <row r="2984" ht="18.75" customHeight="1"/>
    <row r="2985" ht="20.25" customHeight="1"/>
    <row r="2986" ht="21.75" customHeight="1"/>
    <row r="2987" ht="20.25" customHeight="1"/>
    <row r="2988" ht="20.25" customHeight="1"/>
    <row r="2989" ht="18.75" customHeight="1"/>
    <row r="2990" ht="20.25" customHeight="1"/>
    <row r="2991" ht="13"/>
    <row r="2992" ht="18.75" customHeight="1"/>
    <row r="2993" ht="16.5" customHeight="1"/>
    <row r="2994" ht="13"/>
    <row r="2995" ht="21.75" customHeight="1"/>
    <row r="2996" ht="13"/>
    <row r="2997" ht="20.25" customHeight="1"/>
    <row r="2998" ht="26.25" customHeight="1"/>
    <row r="2999" ht="13"/>
    <row r="3000" ht="19.5" customHeight="1"/>
    <row r="3001" ht="18.75" customHeight="1"/>
    <row r="3002" ht="21" customHeight="1"/>
    <row r="3003" ht="13"/>
    <row r="3004" ht="23.25" customHeight="1"/>
    <row r="3005" ht="23.25" customHeight="1"/>
    <row r="3006" ht="18.75" customHeight="1"/>
    <row r="3007" ht="24" customHeight="1"/>
    <row r="3008" ht="22.5" customHeight="1"/>
    <row r="3009" ht="13"/>
    <row r="3010" ht="13"/>
    <row r="3011" ht="13"/>
    <row r="3012" ht="13"/>
    <row r="3013" ht="13"/>
    <row r="3014" ht="13"/>
    <row r="3015" ht="13"/>
    <row r="3016" ht="13"/>
    <row r="3017" ht="13"/>
    <row r="3018" ht="13"/>
    <row r="3019" ht="13"/>
    <row r="3020" ht="13"/>
    <row r="3021" ht="13"/>
    <row r="3022" ht="13"/>
    <row r="3023" ht="13"/>
    <row r="3024" ht="13"/>
    <row r="3025" ht="13"/>
    <row r="3026" ht="13"/>
    <row r="3027" ht="13"/>
    <row r="3028" ht="13"/>
    <row r="3029" ht="13"/>
    <row r="3030" ht="13"/>
    <row r="3031" ht="13"/>
    <row r="3032" ht="13"/>
    <row r="3033" ht="13"/>
    <row r="3034" ht="13"/>
    <row r="3035" ht="13"/>
    <row r="3036" ht="13"/>
    <row r="3037" ht="13"/>
    <row r="3038" ht="13"/>
    <row r="3039" ht="13"/>
    <row r="3040" ht="13"/>
    <row r="3041" ht="13"/>
    <row r="3042" ht="13"/>
    <row r="3043" ht="13"/>
    <row r="3044" ht="13"/>
    <row r="3045" ht="13"/>
    <row r="3046" ht="13"/>
    <row r="3047" ht="13"/>
    <row r="3048" ht="13"/>
    <row r="3049" ht="13"/>
    <row r="3050" ht="13"/>
    <row r="3051" ht="13"/>
    <row r="3052" ht="13"/>
    <row r="3053" ht="13"/>
    <row r="3054" ht="13"/>
    <row r="3055" ht="13"/>
    <row r="3056" ht="13"/>
    <row r="3057" ht="13"/>
    <row r="3058" ht="13"/>
    <row r="3059" ht="13"/>
    <row r="3060" ht="13"/>
    <row r="3061" ht="13"/>
    <row r="3062" ht="13"/>
    <row r="3063" ht="13"/>
    <row r="3064" ht="13"/>
    <row r="3065" ht="13"/>
    <row r="3066" ht="13"/>
    <row r="3067" ht="13"/>
    <row r="3068" ht="13"/>
    <row r="3069" ht="13"/>
    <row r="3070" ht="13"/>
    <row r="3071" ht="13"/>
    <row r="3072" ht="13"/>
    <row r="3073" ht="13"/>
    <row r="3074" ht="13"/>
    <row r="3075" ht="13"/>
    <row r="3076" ht="13"/>
    <row r="3077" ht="13"/>
    <row r="3078" ht="13"/>
    <row r="3079" ht="13"/>
    <row r="3080" ht="13"/>
    <row r="3081" ht="13"/>
    <row r="3082" ht="13"/>
    <row r="3083" ht="13"/>
    <row r="3084" ht="13"/>
    <row r="3085" ht="13"/>
    <row r="3086" ht="13"/>
    <row r="3087" ht="13"/>
    <row r="3088" ht="13"/>
    <row r="3089" ht="13"/>
    <row r="3090" ht="13"/>
    <row r="3091" ht="13"/>
    <row r="3092" ht="13"/>
    <row r="3093" ht="13"/>
    <row r="3094" ht="13"/>
    <row r="3095" ht="13"/>
    <row r="3096" ht="13"/>
    <row r="3097" ht="13"/>
    <row r="3098" ht="13"/>
    <row r="3099" ht="13"/>
    <row r="3100" ht="13"/>
    <row r="3101" ht="13"/>
    <row r="3102" ht="13"/>
    <row r="3103" ht="13"/>
    <row r="3104" ht="13"/>
    <row r="3105" ht="13"/>
    <row r="3106" ht="13"/>
    <row r="3107" ht="13"/>
    <row r="3108" ht="13"/>
    <row r="3109" ht="13"/>
    <row r="3110" ht="13"/>
    <row r="3111" ht="13"/>
    <row r="3112" ht="13"/>
    <row r="3113" ht="13"/>
    <row r="3114" ht="13"/>
    <row r="3115" ht="13"/>
    <row r="3116" ht="13"/>
  </sheetData>
  <hyperlinks>
    <hyperlink ref="H1295" r:id="rId1" xr:uid="{00000000-0004-0000-06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Z1719"/>
  <sheetViews>
    <sheetView topLeftCell="A1375" workbookViewId="0">
      <selection activeCell="A2" sqref="A2:A1719"/>
    </sheetView>
  </sheetViews>
  <sheetFormatPr baseColWidth="10" defaultColWidth="12.6640625" defaultRowHeight="15.75" customHeight="1"/>
  <cols>
    <col min="1" max="1" width="44.6640625" customWidth="1"/>
    <col min="2" max="2" width="34.5" customWidth="1"/>
    <col min="4" max="4" width="38.6640625" customWidth="1"/>
    <col min="5" max="5" width="20.6640625" customWidth="1"/>
    <col min="6" max="6" width="16.5" customWidth="1"/>
    <col min="7" max="7" width="15.1640625" customWidth="1"/>
    <col min="8" max="8" width="24.1640625" customWidth="1"/>
  </cols>
  <sheetData>
    <row r="2" spans="1:26">
      <c r="A2" s="238" t="s">
        <v>2715</v>
      </c>
      <c r="B2" s="238" t="s">
        <v>2716</v>
      </c>
      <c r="C2" s="239">
        <v>401</v>
      </c>
      <c r="D2" s="240"/>
      <c r="E2" s="240"/>
      <c r="F2" s="241">
        <v>3103433973</v>
      </c>
      <c r="G2" s="238"/>
      <c r="H2" s="238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</row>
    <row r="3" spans="1:26">
      <c r="A3" s="238" t="s">
        <v>2717</v>
      </c>
      <c r="B3" s="238" t="s">
        <v>2718</v>
      </c>
      <c r="C3" s="239">
        <v>301</v>
      </c>
      <c r="D3" s="240"/>
      <c r="E3" s="240"/>
      <c r="F3" s="241">
        <v>3228662996</v>
      </c>
      <c r="G3" s="238"/>
      <c r="H3" s="238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</row>
    <row r="4" spans="1:26">
      <c r="A4" s="238" t="s">
        <v>2719</v>
      </c>
      <c r="B4" s="238" t="s">
        <v>2720</v>
      </c>
      <c r="C4" s="239">
        <v>811</v>
      </c>
      <c r="D4" s="240" t="s">
        <v>2721</v>
      </c>
      <c r="E4" s="240"/>
      <c r="F4" s="241">
        <v>3138537895</v>
      </c>
      <c r="G4" s="238"/>
      <c r="H4" s="238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 spans="1:26">
      <c r="A5" s="238" t="s">
        <v>2722</v>
      </c>
      <c r="B5" s="238" t="s">
        <v>2723</v>
      </c>
      <c r="C5" s="239">
        <v>402</v>
      </c>
      <c r="D5" s="240" t="s">
        <v>2724</v>
      </c>
      <c r="E5" s="240"/>
      <c r="F5" s="241">
        <v>3103437968</v>
      </c>
      <c r="G5" s="238"/>
      <c r="H5" s="238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</row>
    <row r="6" spans="1:26">
      <c r="A6" s="238" t="s">
        <v>2725</v>
      </c>
      <c r="B6" s="238" t="s">
        <v>2726</v>
      </c>
      <c r="C6" s="239">
        <v>909</v>
      </c>
      <c r="D6" s="240"/>
      <c r="E6" s="240"/>
      <c r="F6" s="241">
        <v>3125730573</v>
      </c>
      <c r="G6" s="238"/>
      <c r="H6" s="238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</row>
    <row r="7" spans="1:26">
      <c r="A7" s="238" t="s">
        <v>2727</v>
      </c>
      <c r="B7" s="238" t="s">
        <v>2728</v>
      </c>
      <c r="C7" s="239">
        <v>612</v>
      </c>
      <c r="D7" s="240" t="s">
        <v>2721</v>
      </c>
      <c r="E7" s="240"/>
      <c r="F7" s="241">
        <v>3004827857</v>
      </c>
      <c r="G7" s="238"/>
      <c r="H7" s="238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</row>
    <row r="8" spans="1:26">
      <c r="A8" s="238" t="s">
        <v>2729</v>
      </c>
      <c r="B8" s="238" t="s">
        <v>2730</v>
      </c>
      <c r="C8" s="239">
        <v>202</v>
      </c>
      <c r="D8" s="240"/>
      <c r="E8" s="240"/>
      <c r="F8" s="241">
        <v>3102236534</v>
      </c>
      <c r="G8" s="238"/>
      <c r="H8" s="238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</row>
    <row r="9" spans="1:26">
      <c r="A9" s="238" t="s">
        <v>2731</v>
      </c>
      <c r="B9" s="238" t="s">
        <v>2732</v>
      </c>
      <c r="C9" s="239">
        <v>908</v>
      </c>
      <c r="D9" s="240" t="s">
        <v>2733</v>
      </c>
      <c r="E9" s="240"/>
      <c r="F9" s="241">
        <v>3012400317</v>
      </c>
      <c r="G9" s="238"/>
      <c r="H9" s="238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</row>
    <row r="10" spans="1:26">
      <c r="A10" s="238" t="s">
        <v>2734</v>
      </c>
      <c r="B10" s="238" t="s">
        <v>2735</v>
      </c>
      <c r="C10" s="239">
        <v>206</v>
      </c>
      <c r="D10" s="240"/>
      <c r="E10" s="240"/>
      <c r="F10" s="241">
        <v>3108119130</v>
      </c>
      <c r="G10" s="238"/>
      <c r="H10" s="238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</row>
    <row r="11" spans="1:26">
      <c r="A11" s="238" t="s">
        <v>2736</v>
      </c>
      <c r="B11" s="238" t="s">
        <v>2737</v>
      </c>
      <c r="C11" s="239">
        <v>601</v>
      </c>
      <c r="D11" s="240"/>
      <c r="E11" s="240"/>
      <c r="F11" s="241">
        <v>3102514547</v>
      </c>
      <c r="G11" s="238"/>
      <c r="H11" s="238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</row>
    <row r="12" spans="1:26">
      <c r="A12" s="238" t="s">
        <v>2738</v>
      </c>
      <c r="B12" s="238" t="s">
        <v>2739</v>
      </c>
      <c r="C12" s="239">
        <v>405</v>
      </c>
      <c r="D12" s="240"/>
      <c r="E12" s="240"/>
      <c r="F12" s="241">
        <v>3156869755</v>
      </c>
      <c r="G12" s="238"/>
      <c r="H12" s="238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</row>
    <row r="13" spans="1:26">
      <c r="A13" s="238" t="s">
        <v>2740</v>
      </c>
      <c r="B13" s="238" t="s">
        <v>2741</v>
      </c>
      <c r="C13" s="239">
        <v>1402</v>
      </c>
      <c r="D13" s="240" t="s">
        <v>2742</v>
      </c>
      <c r="E13" s="240"/>
      <c r="F13" s="241">
        <v>3115615485</v>
      </c>
      <c r="G13" s="238"/>
      <c r="H13" s="238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</row>
    <row r="14" spans="1:26">
      <c r="A14" s="238" t="s">
        <v>2743</v>
      </c>
      <c r="B14" s="238" t="s">
        <v>2744</v>
      </c>
      <c r="C14" s="239">
        <v>107</v>
      </c>
      <c r="D14" s="240"/>
      <c r="E14" s="240"/>
      <c r="F14" s="241">
        <v>3176750969</v>
      </c>
      <c r="G14" s="238"/>
      <c r="H14" s="238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</row>
    <row r="15" spans="1:26">
      <c r="A15" s="238" t="s">
        <v>2745</v>
      </c>
      <c r="B15" s="238" t="s">
        <v>2746</v>
      </c>
      <c r="C15" s="239">
        <v>306</v>
      </c>
      <c r="D15" s="243" t="s">
        <v>2747</v>
      </c>
      <c r="E15" s="240"/>
      <c r="F15" s="241">
        <v>3043761055</v>
      </c>
      <c r="G15" s="238"/>
      <c r="H15" s="238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</row>
    <row r="16" spans="1:26">
      <c r="A16" s="238" t="s">
        <v>2748</v>
      </c>
      <c r="B16" s="238" t="s">
        <v>2749</v>
      </c>
      <c r="C16" s="239">
        <v>401</v>
      </c>
      <c r="D16" s="240"/>
      <c r="E16" s="240"/>
      <c r="F16" s="241">
        <v>3153360056</v>
      </c>
      <c r="G16" s="238"/>
      <c r="H16" s="238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</row>
    <row r="17" spans="1:26">
      <c r="A17" s="238" t="s">
        <v>2750</v>
      </c>
      <c r="B17" s="238" t="s">
        <v>2751</v>
      </c>
      <c r="C17" s="239">
        <v>201</v>
      </c>
      <c r="D17" s="240"/>
      <c r="E17" s="240"/>
      <c r="F17" s="241">
        <v>3203817531</v>
      </c>
      <c r="G17" s="238"/>
      <c r="H17" s="238"/>
      <c r="I17" s="242"/>
      <c r="J17" s="242"/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</row>
    <row r="18" spans="1:26">
      <c r="A18" s="238" t="s">
        <v>2752</v>
      </c>
      <c r="B18" s="238" t="s">
        <v>2753</v>
      </c>
      <c r="C18" s="239">
        <v>304</v>
      </c>
      <c r="D18" s="240"/>
      <c r="E18" s="240"/>
      <c r="F18" s="241">
        <v>3202014330</v>
      </c>
      <c r="G18" s="238"/>
      <c r="H18" s="238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</row>
    <row r="19" spans="1:26">
      <c r="A19" s="238" t="s">
        <v>2754</v>
      </c>
      <c r="B19" s="238" t="s">
        <v>2755</v>
      </c>
      <c r="C19" s="239">
        <v>302</v>
      </c>
      <c r="D19" s="240"/>
      <c r="E19" s="240"/>
      <c r="F19" s="241">
        <v>3004583748</v>
      </c>
      <c r="G19" s="238"/>
      <c r="H19" s="238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</row>
    <row r="20" spans="1:26">
      <c r="A20" s="238" t="s">
        <v>2756</v>
      </c>
      <c r="B20" s="238" t="s">
        <v>2757</v>
      </c>
      <c r="C20" s="239">
        <v>503</v>
      </c>
      <c r="D20" s="240"/>
      <c r="E20" s="240"/>
      <c r="F20" s="241">
        <v>3153597999</v>
      </c>
      <c r="G20" s="238"/>
      <c r="H20" s="238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</row>
    <row r="21" spans="1:26">
      <c r="A21" s="238" t="s">
        <v>2758</v>
      </c>
      <c r="B21" s="238" t="s">
        <v>2759</v>
      </c>
      <c r="C21" s="239">
        <v>2</v>
      </c>
      <c r="D21" s="240"/>
      <c r="E21" s="240"/>
      <c r="F21" s="241">
        <v>3168285435</v>
      </c>
      <c r="G21" s="238"/>
      <c r="H21" s="238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</row>
    <row r="22" spans="1:26">
      <c r="A22" s="238" t="s">
        <v>2760</v>
      </c>
      <c r="B22" s="238" t="s">
        <v>2761</v>
      </c>
      <c r="C22" s="239">
        <v>301</v>
      </c>
      <c r="D22" s="240" t="s">
        <v>2762</v>
      </c>
      <c r="E22" s="240"/>
      <c r="F22" s="241">
        <v>3102520687</v>
      </c>
      <c r="G22" s="238"/>
      <c r="H22" s="238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</row>
    <row r="23" spans="1:26">
      <c r="A23" s="238" t="s">
        <v>2763</v>
      </c>
      <c r="B23" s="238" t="s">
        <v>2764</v>
      </c>
      <c r="C23" s="239">
        <v>208</v>
      </c>
      <c r="D23" s="240"/>
      <c r="E23" s="240"/>
      <c r="F23" s="241">
        <v>3175786432</v>
      </c>
      <c r="G23" s="238"/>
      <c r="H23" s="238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</row>
    <row r="24" spans="1:26">
      <c r="A24" s="244" t="s">
        <v>2765</v>
      </c>
      <c r="B24" s="244" t="s">
        <v>2766</v>
      </c>
      <c r="C24" s="245">
        <v>201</v>
      </c>
      <c r="D24" s="246" t="s">
        <v>2767</v>
      </c>
      <c r="E24" s="246"/>
      <c r="F24" s="247">
        <v>3142316071</v>
      </c>
      <c r="G24" s="244"/>
      <c r="H24" s="244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</row>
    <row r="25" spans="1:26">
      <c r="A25" s="244" t="s">
        <v>2768</v>
      </c>
      <c r="B25" s="244" t="s">
        <v>2769</v>
      </c>
      <c r="C25" s="245"/>
      <c r="D25" s="246"/>
      <c r="E25" s="246"/>
      <c r="F25" s="247">
        <v>3107848582</v>
      </c>
      <c r="G25" s="244"/>
      <c r="H25" s="244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</row>
    <row r="26" spans="1:26">
      <c r="A26" s="244" t="s">
        <v>2770</v>
      </c>
      <c r="B26" s="244" t="s">
        <v>2771</v>
      </c>
      <c r="C26" s="245">
        <v>201</v>
      </c>
      <c r="D26" s="246" t="s">
        <v>2772</v>
      </c>
      <c r="E26" s="246"/>
      <c r="F26" s="247">
        <v>3006457839</v>
      </c>
      <c r="G26" s="244"/>
      <c r="H26" s="244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</row>
    <row r="27" spans="1:26">
      <c r="A27" s="244" t="s">
        <v>2773</v>
      </c>
      <c r="B27" s="244" t="s">
        <v>2774</v>
      </c>
      <c r="C27" s="245"/>
      <c r="D27" s="246"/>
      <c r="E27" s="246"/>
      <c r="F27" s="247">
        <v>3116730988</v>
      </c>
      <c r="G27" s="244"/>
      <c r="H27" s="244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</row>
    <row r="28" spans="1:26">
      <c r="A28" s="244" t="s">
        <v>2775</v>
      </c>
      <c r="B28" s="244" t="s">
        <v>2776</v>
      </c>
      <c r="C28" s="245">
        <v>401</v>
      </c>
      <c r="D28" s="246"/>
      <c r="E28" s="246"/>
      <c r="F28" s="247">
        <v>3112811938</v>
      </c>
      <c r="G28" s="244"/>
      <c r="H28" s="244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</row>
    <row r="29" spans="1:26">
      <c r="A29" s="244" t="s">
        <v>2777</v>
      </c>
      <c r="B29" s="244" t="s">
        <v>2778</v>
      </c>
      <c r="C29" s="245">
        <v>204</v>
      </c>
      <c r="D29" s="246"/>
      <c r="E29" s="246"/>
      <c r="F29" s="247">
        <v>3223093326</v>
      </c>
      <c r="G29" s="244"/>
      <c r="H29" s="244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</row>
    <row r="30" spans="1:26">
      <c r="A30" s="244" t="s">
        <v>2779</v>
      </c>
      <c r="B30" s="244" t="s">
        <v>2780</v>
      </c>
      <c r="C30" s="245">
        <v>302</v>
      </c>
      <c r="D30" s="246"/>
      <c r="E30" s="246"/>
      <c r="F30" s="247">
        <v>3209622423</v>
      </c>
      <c r="G30" s="244"/>
      <c r="H30" s="244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</row>
    <row r="31" spans="1:26">
      <c r="A31" s="244" t="s">
        <v>2781</v>
      </c>
      <c r="B31" s="244" t="s">
        <v>2782</v>
      </c>
      <c r="C31" s="245">
        <v>401</v>
      </c>
      <c r="D31" s="246"/>
      <c r="E31" s="246"/>
      <c r="F31" s="247">
        <v>3134321652</v>
      </c>
      <c r="G31" s="244"/>
      <c r="H31" s="244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</row>
    <row r="32" spans="1:26">
      <c r="A32" s="244" t="s">
        <v>2783</v>
      </c>
      <c r="B32" s="244" t="s">
        <v>2784</v>
      </c>
      <c r="C32" s="245">
        <v>202</v>
      </c>
      <c r="D32" s="246" t="s">
        <v>2785</v>
      </c>
      <c r="E32" s="246"/>
      <c r="F32" s="247" t="s">
        <v>2786</v>
      </c>
      <c r="G32" s="244"/>
      <c r="H32" s="244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</row>
    <row r="33" spans="1:26">
      <c r="A33" s="244" t="s">
        <v>2787</v>
      </c>
      <c r="B33" s="244" t="s">
        <v>2788</v>
      </c>
      <c r="C33" s="245">
        <v>404</v>
      </c>
      <c r="D33" s="246" t="s">
        <v>2789</v>
      </c>
      <c r="E33" s="246"/>
      <c r="F33" s="247">
        <v>3045718017</v>
      </c>
      <c r="G33" s="244"/>
      <c r="H33" s="244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</row>
    <row r="34" spans="1:26">
      <c r="A34" s="244" t="s">
        <v>2790</v>
      </c>
      <c r="B34" s="244" t="s">
        <v>2791</v>
      </c>
      <c r="C34" s="245">
        <v>101</v>
      </c>
      <c r="D34" s="246"/>
      <c r="E34" s="246"/>
      <c r="F34" s="247">
        <v>3015452754</v>
      </c>
      <c r="G34" s="244"/>
      <c r="H34" s="244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</row>
    <row r="35" spans="1:26">
      <c r="A35" s="249" t="s">
        <v>2792</v>
      </c>
      <c r="B35" s="250" t="s">
        <v>2793</v>
      </c>
      <c r="C35" s="251">
        <v>201</v>
      </c>
      <c r="D35" s="10"/>
      <c r="E35" s="10"/>
      <c r="F35" s="252">
        <v>3105537760</v>
      </c>
      <c r="G35" s="250"/>
      <c r="H35" s="250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>
      <c r="A36" s="249" t="s">
        <v>2794</v>
      </c>
      <c r="B36" s="250" t="s">
        <v>2795</v>
      </c>
      <c r="C36" s="251">
        <v>901</v>
      </c>
      <c r="D36" s="10"/>
      <c r="E36" s="10"/>
      <c r="F36" s="252">
        <v>3203404906</v>
      </c>
      <c r="G36" s="250"/>
      <c r="H36" s="250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>
      <c r="A37" s="250" t="s">
        <v>2796</v>
      </c>
      <c r="B37" s="250" t="s">
        <v>2797</v>
      </c>
      <c r="C37" s="251">
        <v>702</v>
      </c>
      <c r="D37" s="10"/>
      <c r="E37" s="10"/>
      <c r="F37" s="252">
        <v>3107672922</v>
      </c>
      <c r="G37" s="250"/>
      <c r="H37" s="250"/>
    </row>
    <row r="38" spans="1:26">
      <c r="A38" s="250" t="s">
        <v>2798</v>
      </c>
      <c r="B38" s="250" t="s">
        <v>2799</v>
      </c>
      <c r="C38" s="251">
        <v>202</v>
      </c>
      <c r="D38" s="10"/>
      <c r="E38" s="10"/>
      <c r="F38" s="252">
        <v>3014082727</v>
      </c>
      <c r="G38" s="250"/>
      <c r="H38" s="250"/>
    </row>
    <row r="39" spans="1:26">
      <c r="A39" s="250" t="s">
        <v>2800</v>
      </c>
      <c r="B39" s="250" t="s">
        <v>2801</v>
      </c>
      <c r="C39" s="251">
        <v>1705</v>
      </c>
      <c r="D39" s="10" t="s">
        <v>2733</v>
      </c>
      <c r="E39" s="10"/>
      <c r="F39" s="252">
        <v>3112782077</v>
      </c>
      <c r="G39" s="250"/>
      <c r="H39" s="250"/>
    </row>
    <row r="40" spans="1:26">
      <c r="A40" s="250" t="s">
        <v>2802</v>
      </c>
      <c r="B40" s="250" t="s">
        <v>2803</v>
      </c>
      <c r="C40" s="251">
        <v>223</v>
      </c>
      <c r="D40" s="10"/>
      <c r="E40" s="10"/>
      <c r="F40" s="252">
        <v>3115102784</v>
      </c>
      <c r="G40" s="250"/>
      <c r="H40" s="250"/>
    </row>
    <row r="41" spans="1:26">
      <c r="A41" s="250" t="s">
        <v>2804</v>
      </c>
      <c r="B41" s="250" t="s">
        <v>2805</v>
      </c>
      <c r="C41" s="251">
        <v>204</v>
      </c>
      <c r="D41" s="10"/>
      <c r="E41" s="10"/>
      <c r="F41" s="252">
        <v>3112933976</v>
      </c>
      <c r="G41" s="250"/>
      <c r="H41" s="250"/>
    </row>
    <row r="42" spans="1:26">
      <c r="A42" s="250" t="s">
        <v>2806</v>
      </c>
      <c r="B42" s="250" t="s">
        <v>2807</v>
      </c>
      <c r="C42" s="251">
        <v>402</v>
      </c>
      <c r="D42" s="10"/>
      <c r="E42" s="10"/>
      <c r="F42" s="252">
        <v>3102938701</v>
      </c>
      <c r="G42" s="250"/>
      <c r="H42" s="250"/>
    </row>
    <row r="43" spans="1:26">
      <c r="A43" s="250" t="s">
        <v>2808</v>
      </c>
      <c r="B43" s="250" t="s">
        <v>2809</v>
      </c>
      <c r="C43" s="251">
        <v>201</v>
      </c>
      <c r="D43" s="10" t="s">
        <v>2810</v>
      </c>
      <c r="E43" s="10"/>
      <c r="F43" s="252">
        <v>3158750913</v>
      </c>
      <c r="G43" s="250"/>
      <c r="H43" s="250"/>
    </row>
    <row r="44" spans="1:26">
      <c r="A44" s="250" t="s">
        <v>2811</v>
      </c>
      <c r="B44" s="250" t="s">
        <v>2812</v>
      </c>
      <c r="C44" s="251">
        <v>203</v>
      </c>
      <c r="D44" s="10"/>
      <c r="E44" s="10"/>
      <c r="F44" s="252">
        <v>3163890373</v>
      </c>
      <c r="G44" s="250"/>
      <c r="H44" s="250"/>
    </row>
    <row r="45" spans="1:26">
      <c r="A45" s="250" t="s">
        <v>2813</v>
      </c>
      <c r="B45" s="250" t="s">
        <v>2814</v>
      </c>
      <c r="C45" s="251">
        <v>602</v>
      </c>
      <c r="D45" s="10" t="s">
        <v>2815</v>
      </c>
      <c r="E45" s="10"/>
      <c r="F45" s="252">
        <v>3134306959</v>
      </c>
      <c r="G45" s="250"/>
      <c r="H45" s="250"/>
    </row>
    <row r="46" spans="1:26">
      <c r="A46" s="250" t="s">
        <v>2816</v>
      </c>
      <c r="B46" s="250" t="s">
        <v>2817</v>
      </c>
      <c r="C46" s="251">
        <v>603</v>
      </c>
      <c r="D46" s="10" t="s">
        <v>2762</v>
      </c>
      <c r="E46" s="10"/>
      <c r="F46" s="252">
        <v>3154341313</v>
      </c>
      <c r="G46" s="250"/>
      <c r="H46" s="250"/>
    </row>
    <row r="47" spans="1:26">
      <c r="A47" s="250" t="s">
        <v>2818</v>
      </c>
      <c r="B47" s="250" t="s">
        <v>2819</v>
      </c>
      <c r="C47" s="251">
        <v>210</v>
      </c>
      <c r="D47" s="10"/>
      <c r="E47" s="10"/>
      <c r="F47" s="252">
        <v>3102652196</v>
      </c>
      <c r="G47" s="250"/>
      <c r="H47" s="250"/>
    </row>
    <row r="48" spans="1:26">
      <c r="A48" s="250" t="s">
        <v>2820</v>
      </c>
      <c r="B48" s="250" t="s">
        <v>2821</v>
      </c>
      <c r="C48" s="251">
        <v>401</v>
      </c>
      <c r="D48" s="10"/>
      <c r="E48" s="10"/>
      <c r="F48" s="252">
        <v>3214532878</v>
      </c>
      <c r="G48" s="250"/>
      <c r="H48" s="250"/>
    </row>
    <row r="49" spans="1:8">
      <c r="A49" s="250" t="s">
        <v>2822</v>
      </c>
      <c r="B49" s="250" t="s">
        <v>2823</v>
      </c>
      <c r="C49" s="251">
        <v>511</v>
      </c>
      <c r="D49" s="10"/>
      <c r="E49" s="10"/>
      <c r="F49" s="252">
        <v>3167486007</v>
      </c>
      <c r="G49" s="250"/>
      <c r="H49" s="250"/>
    </row>
    <row r="50" spans="1:8">
      <c r="A50" s="250" t="s">
        <v>2824</v>
      </c>
      <c r="B50" s="250" t="s">
        <v>2825</v>
      </c>
      <c r="C50" s="251">
        <v>903</v>
      </c>
      <c r="D50" s="10"/>
      <c r="E50" s="10"/>
      <c r="F50" s="252">
        <v>3124963422</v>
      </c>
      <c r="G50" s="250"/>
      <c r="H50" s="250"/>
    </row>
    <row r="51" spans="1:8">
      <c r="A51" s="250" t="s">
        <v>2826</v>
      </c>
      <c r="B51" s="250" t="s">
        <v>2827</v>
      </c>
      <c r="C51" s="251">
        <v>416</v>
      </c>
      <c r="D51" s="10" t="s">
        <v>2828</v>
      </c>
      <c r="E51" s="10"/>
      <c r="F51" s="252">
        <v>3002467476</v>
      </c>
      <c r="G51" s="250"/>
      <c r="H51" s="250"/>
    </row>
    <row r="52" spans="1:8">
      <c r="A52" s="250" t="s">
        <v>2829</v>
      </c>
      <c r="B52" s="250" t="s">
        <v>2830</v>
      </c>
      <c r="C52" s="251">
        <v>403</v>
      </c>
      <c r="D52" s="10"/>
      <c r="E52" s="10"/>
      <c r="F52" s="252">
        <v>3016162165</v>
      </c>
      <c r="G52" s="250"/>
      <c r="H52" s="250"/>
    </row>
    <row r="53" spans="1:8">
      <c r="A53" s="250" t="s">
        <v>2831</v>
      </c>
      <c r="B53" s="250" t="s">
        <v>2832</v>
      </c>
      <c r="C53" s="251"/>
      <c r="D53" s="10"/>
      <c r="E53" s="10"/>
      <c r="F53" s="252">
        <v>3184018812</v>
      </c>
      <c r="G53" s="250"/>
      <c r="H53" s="250"/>
    </row>
    <row r="54" spans="1:8">
      <c r="A54" s="250" t="s">
        <v>2833</v>
      </c>
      <c r="B54" s="250" t="s">
        <v>2834</v>
      </c>
      <c r="C54" s="251">
        <v>506</v>
      </c>
      <c r="D54" s="10"/>
      <c r="E54" s="10"/>
      <c r="F54" s="252">
        <v>3208590298</v>
      </c>
      <c r="G54" s="250"/>
      <c r="H54" s="250"/>
    </row>
    <row r="55" spans="1:8">
      <c r="A55" s="250" t="s">
        <v>2835</v>
      </c>
      <c r="B55" s="250" t="s">
        <v>2836</v>
      </c>
      <c r="C55" s="251">
        <v>204</v>
      </c>
      <c r="D55" s="10"/>
      <c r="E55" s="10"/>
      <c r="F55" s="252">
        <v>3122864815</v>
      </c>
      <c r="G55" s="250"/>
      <c r="H55" s="250"/>
    </row>
    <row r="56" spans="1:8">
      <c r="A56" s="250" t="s">
        <v>2837</v>
      </c>
      <c r="B56" s="250" t="s">
        <v>2838</v>
      </c>
      <c r="C56" s="251">
        <v>415</v>
      </c>
      <c r="D56" s="10"/>
      <c r="E56" s="10"/>
      <c r="F56" s="252">
        <v>3108612197</v>
      </c>
      <c r="G56" s="250"/>
      <c r="H56" s="250"/>
    </row>
    <row r="57" spans="1:8">
      <c r="A57" s="250" t="s">
        <v>2839</v>
      </c>
      <c r="B57" s="250" t="s">
        <v>2840</v>
      </c>
      <c r="C57" s="251">
        <v>201</v>
      </c>
      <c r="D57" s="10"/>
      <c r="E57" s="10"/>
      <c r="F57" s="252">
        <v>3102779152</v>
      </c>
      <c r="G57" s="250"/>
      <c r="H57" s="250"/>
    </row>
    <row r="58" spans="1:8">
      <c r="A58" s="250" t="s">
        <v>2841</v>
      </c>
      <c r="B58" s="250" t="s">
        <v>2842</v>
      </c>
      <c r="C58" s="251">
        <v>202</v>
      </c>
      <c r="D58" s="10"/>
      <c r="E58" s="10"/>
      <c r="F58" s="252">
        <v>3102272586</v>
      </c>
      <c r="G58" s="250"/>
      <c r="H58" s="250"/>
    </row>
    <row r="59" spans="1:8">
      <c r="A59" s="250" t="s">
        <v>2843</v>
      </c>
      <c r="B59" s="250" t="s">
        <v>2844</v>
      </c>
      <c r="C59" s="251">
        <v>505</v>
      </c>
      <c r="D59" s="10"/>
      <c r="E59" s="10"/>
      <c r="F59" s="252">
        <v>3005049968</v>
      </c>
      <c r="G59" s="250"/>
      <c r="H59" s="250"/>
    </row>
    <row r="60" spans="1:8">
      <c r="A60" s="250" t="s">
        <v>2845</v>
      </c>
      <c r="B60" s="250" t="s">
        <v>2846</v>
      </c>
      <c r="C60" s="251">
        <v>211</v>
      </c>
      <c r="D60" s="10"/>
      <c r="E60" s="10"/>
      <c r="F60" s="252">
        <v>3153334665</v>
      </c>
      <c r="G60" s="250"/>
      <c r="H60" s="250"/>
    </row>
    <row r="61" spans="1:8">
      <c r="A61" s="250" t="s">
        <v>2847</v>
      </c>
      <c r="B61" s="250" t="s">
        <v>2848</v>
      </c>
      <c r="C61" s="251">
        <v>603</v>
      </c>
      <c r="D61" s="10"/>
      <c r="E61" s="10"/>
      <c r="F61" s="252">
        <v>3158463893</v>
      </c>
      <c r="G61" s="250"/>
      <c r="H61" s="250"/>
    </row>
    <row r="62" spans="1:8">
      <c r="A62" s="250" t="s">
        <v>2849</v>
      </c>
      <c r="B62" s="250" t="s">
        <v>2823</v>
      </c>
      <c r="C62" s="251">
        <v>210</v>
      </c>
      <c r="D62" s="10"/>
      <c r="E62" s="10"/>
      <c r="F62" s="252">
        <v>3153175282</v>
      </c>
      <c r="G62" s="250"/>
      <c r="H62" s="250"/>
    </row>
    <row r="63" spans="1:8">
      <c r="A63" s="250" t="s">
        <v>2850</v>
      </c>
      <c r="B63" s="250" t="s">
        <v>2851</v>
      </c>
      <c r="C63" s="251">
        <v>318</v>
      </c>
      <c r="D63" s="10"/>
      <c r="E63" s="10"/>
      <c r="F63" s="252">
        <v>3007474746</v>
      </c>
      <c r="G63" s="250"/>
      <c r="H63" s="250"/>
    </row>
    <row r="64" spans="1:8">
      <c r="A64" s="250" t="s">
        <v>2852</v>
      </c>
      <c r="B64" s="250" t="s">
        <v>2853</v>
      </c>
      <c r="C64" s="251">
        <v>205</v>
      </c>
      <c r="D64" s="10"/>
      <c r="E64" s="10"/>
      <c r="F64" s="252">
        <v>3123553499</v>
      </c>
      <c r="G64" s="250"/>
      <c r="H64" s="250"/>
    </row>
    <row r="65" spans="1:8">
      <c r="A65" s="250" t="s">
        <v>2854</v>
      </c>
      <c r="B65" s="250" t="s">
        <v>2855</v>
      </c>
      <c r="C65" s="251">
        <v>203</v>
      </c>
      <c r="D65" s="10"/>
      <c r="E65" s="10"/>
      <c r="F65" s="252">
        <v>3158167997</v>
      </c>
      <c r="G65" s="250"/>
      <c r="H65" s="250"/>
    </row>
    <row r="66" spans="1:8">
      <c r="A66" s="250" t="s">
        <v>512</v>
      </c>
      <c r="B66" s="250" t="s">
        <v>2856</v>
      </c>
      <c r="C66" s="251">
        <v>1502</v>
      </c>
      <c r="D66" s="10" t="s">
        <v>2857</v>
      </c>
      <c r="E66" s="10"/>
      <c r="F66" s="252">
        <v>3108834699</v>
      </c>
      <c r="G66" s="250"/>
      <c r="H66" s="250"/>
    </row>
    <row r="67" spans="1:8">
      <c r="A67" s="250" t="s">
        <v>2858</v>
      </c>
      <c r="B67" s="250" t="s">
        <v>2859</v>
      </c>
      <c r="C67" s="251">
        <v>104</v>
      </c>
      <c r="D67" s="10"/>
      <c r="E67" s="10"/>
      <c r="F67" s="252">
        <v>3155595710</v>
      </c>
      <c r="G67" s="250"/>
      <c r="H67" s="250"/>
    </row>
    <row r="68" spans="1:8">
      <c r="A68" s="250" t="s">
        <v>2860</v>
      </c>
      <c r="B68" s="250" t="s">
        <v>2861</v>
      </c>
      <c r="C68" s="251">
        <v>102</v>
      </c>
      <c r="D68" s="10" t="s">
        <v>2862</v>
      </c>
      <c r="E68" s="10"/>
      <c r="F68" s="252">
        <v>3209229872</v>
      </c>
      <c r="G68" s="250"/>
      <c r="H68" s="250"/>
    </row>
    <row r="69" spans="1:8">
      <c r="A69" s="250" t="s">
        <v>2863</v>
      </c>
      <c r="B69" s="250" t="s">
        <v>2864</v>
      </c>
      <c r="C69" s="251">
        <v>328</v>
      </c>
      <c r="D69" s="10" t="s">
        <v>2865</v>
      </c>
      <c r="E69" s="10"/>
      <c r="F69" s="252">
        <v>3015010168</v>
      </c>
      <c r="G69" s="250"/>
      <c r="H69" s="250"/>
    </row>
    <row r="70" spans="1:8">
      <c r="A70" s="250" t="s">
        <v>2866</v>
      </c>
      <c r="B70" s="250" t="s">
        <v>2867</v>
      </c>
      <c r="C70" s="251">
        <v>105</v>
      </c>
      <c r="D70" s="10" t="s">
        <v>2868</v>
      </c>
      <c r="E70" s="10"/>
      <c r="F70" s="252">
        <v>3102617247</v>
      </c>
      <c r="G70" s="250"/>
      <c r="H70" s="250"/>
    </row>
    <row r="71" spans="1:8">
      <c r="A71" s="250" t="s">
        <v>2869</v>
      </c>
      <c r="B71" s="250" t="s">
        <v>2870</v>
      </c>
      <c r="C71" s="251">
        <v>202</v>
      </c>
      <c r="D71" s="10" t="s">
        <v>2871</v>
      </c>
      <c r="E71" s="10"/>
      <c r="F71" s="252">
        <v>3115166567</v>
      </c>
      <c r="G71" s="250"/>
      <c r="H71" s="250"/>
    </row>
    <row r="72" spans="1:8">
      <c r="A72" s="250" t="s">
        <v>2872</v>
      </c>
      <c r="B72" s="250" t="s">
        <v>2873</v>
      </c>
      <c r="C72" s="251">
        <v>402</v>
      </c>
      <c r="D72" s="10" t="s">
        <v>2874</v>
      </c>
      <c r="E72" s="10"/>
      <c r="F72" s="252">
        <v>3156022828</v>
      </c>
      <c r="G72" s="250"/>
      <c r="H72" s="250"/>
    </row>
    <row r="73" spans="1:8">
      <c r="A73" s="250" t="s">
        <v>2875</v>
      </c>
      <c r="B73" s="250" t="s">
        <v>2876</v>
      </c>
      <c r="C73" s="251">
        <v>201</v>
      </c>
      <c r="D73" s="10" t="s">
        <v>2877</v>
      </c>
      <c r="E73" s="10"/>
      <c r="F73" s="252">
        <v>3103221409</v>
      </c>
      <c r="G73" s="254"/>
      <c r="H73" s="254"/>
    </row>
    <row r="74" spans="1:8">
      <c r="A74" s="250" t="s">
        <v>2878</v>
      </c>
      <c r="B74" s="250" t="s">
        <v>2879</v>
      </c>
      <c r="C74" s="251">
        <v>402</v>
      </c>
      <c r="D74" s="10" t="s">
        <v>2880</v>
      </c>
      <c r="E74" s="10"/>
      <c r="F74" s="252" t="s">
        <v>2881</v>
      </c>
      <c r="G74" s="250"/>
      <c r="H74" s="250"/>
    </row>
    <row r="75" spans="1:8">
      <c r="A75" s="250" t="s">
        <v>2882</v>
      </c>
      <c r="B75" s="250" t="s">
        <v>2883</v>
      </c>
      <c r="C75" s="251">
        <v>201</v>
      </c>
      <c r="D75" s="10"/>
      <c r="E75" s="10"/>
      <c r="F75" s="252">
        <v>3152573991</v>
      </c>
      <c r="G75" s="250"/>
      <c r="H75" s="250"/>
    </row>
    <row r="76" spans="1:8">
      <c r="A76" s="250" t="s">
        <v>2884</v>
      </c>
      <c r="B76" s="250" t="s">
        <v>2885</v>
      </c>
      <c r="C76" s="251">
        <v>503</v>
      </c>
      <c r="D76" s="10"/>
      <c r="E76" s="10"/>
      <c r="F76" s="252">
        <v>3118995844</v>
      </c>
      <c r="G76" s="250"/>
      <c r="H76" s="250"/>
    </row>
    <row r="78" spans="1:8">
      <c r="A78" s="250" t="s">
        <v>2886</v>
      </c>
      <c r="B78" s="250" t="s">
        <v>2887</v>
      </c>
      <c r="C78" s="251">
        <v>202</v>
      </c>
      <c r="D78" s="10"/>
      <c r="E78" s="10"/>
      <c r="F78" s="252">
        <v>3162273855</v>
      </c>
      <c r="G78" s="250"/>
      <c r="H78" s="250"/>
    </row>
    <row r="79" spans="1:8">
      <c r="A79" s="250" t="s">
        <v>2888</v>
      </c>
      <c r="B79" s="250" t="s">
        <v>2889</v>
      </c>
      <c r="C79" s="251">
        <v>401</v>
      </c>
      <c r="D79" s="10"/>
      <c r="E79" s="10"/>
      <c r="F79" s="252">
        <v>3164478843</v>
      </c>
      <c r="G79" s="250"/>
      <c r="H79" s="250"/>
    </row>
    <row r="80" spans="1:8">
      <c r="A80" s="250" t="s">
        <v>2890</v>
      </c>
      <c r="B80" s="250" t="s">
        <v>2891</v>
      </c>
      <c r="C80" s="251">
        <v>701</v>
      </c>
      <c r="D80" s="10"/>
      <c r="E80" s="10"/>
      <c r="F80" s="252">
        <v>3174036719</v>
      </c>
      <c r="G80" s="250"/>
      <c r="H80" s="250"/>
    </row>
    <row r="81" spans="1:8">
      <c r="A81" s="250" t="s">
        <v>2892</v>
      </c>
      <c r="B81" s="250" t="s">
        <v>2893</v>
      </c>
      <c r="C81" s="251">
        <v>506</v>
      </c>
      <c r="D81" s="10" t="s">
        <v>2894</v>
      </c>
      <c r="E81" s="10"/>
      <c r="F81" s="252">
        <v>3114520379</v>
      </c>
      <c r="G81" s="250"/>
      <c r="H81" s="250"/>
    </row>
    <row r="82" spans="1:8">
      <c r="A82" s="250" t="s">
        <v>2895</v>
      </c>
      <c r="B82" s="250" t="s">
        <v>2896</v>
      </c>
      <c r="C82" s="251">
        <v>902</v>
      </c>
      <c r="D82" s="10"/>
      <c r="E82" s="10"/>
      <c r="F82" s="252">
        <v>3157953796</v>
      </c>
      <c r="G82" s="250"/>
      <c r="H82" s="250"/>
    </row>
    <row r="83" spans="1:8">
      <c r="A83" s="250" t="s">
        <v>2897</v>
      </c>
      <c r="B83" s="250" t="s">
        <v>2898</v>
      </c>
      <c r="C83" s="251">
        <v>702</v>
      </c>
      <c r="D83" s="10"/>
      <c r="E83" s="10"/>
      <c r="F83" s="252">
        <v>3102692874</v>
      </c>
      <c r="G83" s="250"/>
      <c r="H83" s="250"/>
    </row>
    <row r="84" spans="1:8">
      <c r="A84" s="250" t="s">
        <v>2899</v>
      </c>
      <c r="B84" s="250" t="s">
        <v>2900</v>
      </c>
      <c r="C84" s="251">
        <v>603</v>
      </c>
      <c r="D84" s="10"/>
      <c r="E84" s="10"/>
      <c r="F84" s="252">
        <v>3118201720</v>
      </c>
      <c r="G84" s="250"/>
      <c r="H84" s="250"/>
    </row>
    <row r="85" spans="1:8">
      <c r="A85" s="250" t="s">
        <v>2901</v>
      </c>
      <c r="B85" s="250" t="s">
        <v>2902</v>
      </c>
      <c r="C85" s="251">
        <v>302</v>
      </c>
      <c r="D85" s="10"/>
      <c r="E85" s="10"/>
      <c r="F85" s="252">
        <v>3153307071</v>
      </c>
      <c r="G85" s="250"/>
      <c r="H85" s="250"/>
    </row>
    <row r="86" spans="1:8">
      <c r="A86" s="250" t="s">
        <v>2903</v>
      </c>
      <c r="B86" s="250" t="s">
        <v>2904</v>
      </c>
      <c r="C86" s="251">
        <v>305</v>
      </c>
      <c r="D86" s="10"/>
      <c r="E86" s="10"/>
      <c r="F86" s="252">
        <v>3103059847</v>
      </c>
      <c r="G86" s="250"/>
      <c r="H86" s="250"/>
    </row>
    <row r="87" spans="1:8">
      <c r="A87" s="250" t="s">
        <v>2905</v>
      </c>
      <c r="B87" s="250" t="s">
        <v>2906</v>
      </c>
      <c r="C87" s="251">
        <v>702</v>
      </c>
      <c r="D87" s="10" t="s">
        <v>2907</v>
      </c>
      <c r="E87" s="10"/>
      <c r="F87" s="252">
        <v>3192568386</v>
      </c>
      <c r="G87" s="250"/>
      <c r="H87" s="250"/>
    </row>
    <row r="88" spans="1:8">
      <c r="A88" s="250" t="s">
        <v>2908</v>
      </c>
      <c r="B88" s="250" t="s">
        <v>2909</v>
      </c>
      <c r="C88" s="251">
        <v>501</v>
      </c>
      <c r="D88" s="10" t="s">
        <v>2910</v>
      </c>
      <c r="E88" s="10"/>
      <c r="F88" s="252">
        <v>3124511914</v>
      </c>
      <c r="G88" s="250"/>
      <c r="H88" s="250"/>
    </row>
    <row r="89" spans="1:8">
      <c r="A89" s="250" t="s">
        <v>2911</v>
      </c>
      <c r="B89" s="250" t="s">
        <v>2912</v>
      </c>
      <c r="C89" s="251">
        <v>702</v>
      </c>
      <c r="D89" s="10" t="s">
        <v>2913</v>
      </c>
      <c r="E89" s="10" t="s">
        <v>2914</v>
      </c>
      <c r="F89" s="252">
        <v>3174275044</v>
      </c>
      <c r="G89" s="250"/>
      <c r="H89" s="250"/>
    </row>
    <row r="90" spans="1:8">
      <c r="A90" s="250" t="s">
        <v>2915</v>
      </c>
      <c r="B90" s="250" t="s">
        <v>2916</v>
      </c>
      <c r="C90" s="251">
        <v>504</v>
      </c>
      <c r="D90" s="10" t="s">
        <v>2917</v>
      </c>
      <c r="E90" s="10"/>
      <c r="F90" s="252">
        <v>3187545756</v>
      </c>
      <c r="G90" s="250"/>
      <c r="H90" s="250"/>
    </row>
    <row r="91" spans="1:8">
      <c r="A91" s="250" t="s">
        <v>2918</v>
      </c>
      <c r="B91" s="250" t="s">
        <v>2919</v>
      </c>
      <c r="C91" s="251">
        <v>201</v>
      </c>
      <c r="D91" s="10" t="s">
        <v>2920</v>
      </c>
      <c r="E91" s="10"/>
      <c r="F91" s="252">
        <v>3117530076</v>
      </c>
      <c r="G91" s="250"/>
      <c r="H91" s="250"/>
    </row>
    <row r="92" spans="1:8">
      <c r="A92" s="250" t="s">
        <v>2921</v>
      </c>
      <c r="B92" s="250" t="s">
        <v>2922</v>
      </c>
      <c r="C92" s="251">
        <v>208</v>
      </c>
      <c r="D92" s="10" t="s">
        <v>2923</v>
      </c>
      <c r="E92" s="10"/>
      <c r="F92" s="252">
        <v>3152986819</v>
      </c>
      <c r="G92" s="250"/>
      <c r="H92" s="250"/>
    </row>
    <row r="93" spans="1:8">
      <c r="A93" s="250" t="s">
        <v>2924</v>
      </c>
      <c r="B93" s="250" t="s">
        <v>2925</v>
      </c>
      <c r="C93" s="251">
        <v>701</v>
      </c>
      <c r="D93" s="10" t="s">
        <v>2926</v>
      </c>
      <c r="E93" s="10"/>
      <c r="F93" s="252">
        <v>3102143111</v>
      </c>
      <c r="G93" s="250"/>
      <c r="H93" s="250"/>
    </row>
    <row r="94" spans="1:8">
      <c r="A94" s="250" t="s">
        <v>2927</v>
      </c>
      <c r="B94" s="250" t="s">
        <v>2928</v>
      </c>
      <c r="C94" s="251">
        <v>401</v>
      </c>
      <c r="D94" s="10"/>
      <c r="E94" s="10"/>
      <c r="F94" s="252">
        <v>3108119613</v>
      </c>
      <c r="G94" s="250"/>
      <c r="H94" s="250"/>
    </row>
    <row r="95" spans="1:8">
      <c r="A95" s="250" t="s">
        <v>2929</v>
      </c>
      <c r="B95" s="250" t="s">
        <v>2930</v>
      </c>
      <c r="C95" s="251">
        <v>408</v>
      </c>
      <c r="D95" s="10"/>
      <c r="E95" s="10"/>
      <c r="F95" s="252">
        <v>3153431124</v>
      </c>
      <c r="G95" s="250"/>
      <c r="H95" s="250"/>
    </row>
    <row r="97" spans="1:8">
      <c r="A97" s="250" t="s">
        <v>2931</v>
      </c>
      <c r="B97" s="250" t="s">
        <v>2932</v>
      </c>
      <c r="C97" s="251">
        <v>612</v>
      </c>
      <c r="D97" s="255" t="s">
        <v>2933</v>
      </c>
      <c r="E97" s="10"/>
      <c r="F97" s="252">
        <v>3102329377</v>
      </c>
      <c r="G97" s="250"/>
      <c r="H97" s="250"/>
    </row>
    <row r="98" spans="1:8">
      <c r="A98" s="250" t="s">
        <v>2934</v>
      </c>
      <c r="B98" s="250" t="s">
        <v>2935</v>
      </c>
      <c r="C98" s="251">
        <v>602</v>
      </c>
      <c r="D98" s="10" t="s">
        <v>2936</v>
      </c>
      <c r="E98" s="10"/>
      <c r="F98" s="252">
        <v>3154242273</v>
      </c>
      <c r="G98" s="250"/>
      <c r="H98" s="250"/>
    </row>
    <row r="99" spans="1:8">
      <c r="A99" s="250" t="s">
        <v>2937</v>
      </c>
      <c r="B99" s="250" t="s">
        <v>2938</v>
      </c>
      <c r="C99" s="251">
        <v>502</v>
      </c>
      <c r="D99" s="10"/>
      <c r="E99" s="10"/>
      <c r="F99" s="252">
        <v>3208653335</v>
      </c>
      <c r="G99" s="250"/>
      <c r="H99" s="250"/>
    </row>
    <row r="100" spans="1:8">
      <c r="A100" s="250" t="s">
        <v>2939</v>
      </c>
      <c r="B100" s="250" t="s">
        <v>2940</v>
      </c>
      <c r="C100" s="251">
        <v>501</v>
      </c>
      <c r="D100" s="10"/>
      <c r="E100" s="10"/>
      <c r="F100" s="252">
        <v>3102300608</v>
      </c>
      <c r="G100" s="250"/>
      <c r="H100" s="250"/>
    </row>
    <row r="102" spans="1:8">
      <c r="A102" s="250" t="s">
        <v>2941</v>
      </c>
      <c r="B102" s="250" t="s">
        <v>2942</v>
      </c>
      <c r="C102" s="251">
        <v>0</v>
      </c>
      <c r="D102" s="10" t="s">
        <v>2943</v>
      </c>
      <c r="E102" s="10"/>
      <c r="F102" s="252">
        <v>3138523231</v>
      </c>
      <c r="G102" s="250"/>
      <c r="H102" s="250"/>
    </row>
    <row r="103" spans="1:8">
      <c r="A103" s="250" t="s">
        <v>2944</v>
      </c>
      <c r="B103" s="250" t="s">
        <v>2945</v>
      </c>
      <c r="C103" s="251">
        <v>104</v>
      </c>
      <c r="D103" s="10" t="s">
        <v>2946</v>
      </c>
      <c r="E103" s="10"/>
      <c r="F103" s="252">
        <v>3138181449</v>
      </c>
      <c r="G103" s="250"/>
      <c r="H103" s="250"/>
    </row>
    <row r="104" spans="1:8">
      <c r="A104" s="250" t="s">
        <v>2947</v>
      </c>
      <c r="B104" s="250" t="s">
        <v>2948</v>
      </c>
      <c r="C104" s="251">
        <v>701</v>
      </c>
      <c r="D104" s="10" t="s">
        <v>2949</v>
      </c>
      <c r="E104" s="10"/>
      <c r="F104" s="252">
        <v>3163087180</v>
      </c>
      <c r="G104" s="250"/>
      <c r="H104" s="250"/>
    </row>
    <row r="105" spans="1:8">
      <c r="A105" s="250" t="s">
        <v>2950</v>
      </c>
      <c r="B105" s="250" t="s">
        <v>2951</v>
      </c>
      <c r="C105" s="251">
        <v>401</v>
      </c>
      <c r="D105" s="10" t="s">
        <v>2949</v>
      </c>
      <c r="E105" s="10"/>
      <c r="F105" s="252">
        <v>3153464197</v>
      </c>
      <c r="G105" s="250"/>
      <c r="H105" s="250"/>
    </row>
    <row r="106" spans="1:8">
      <c r="A106" s="250" t="s">
        <v>2952</v>
      </c>
      <c r="B106" s="250" t="s">
        <v>2953</v>
      </c>
      <c r="C106" s="251">
        <v>202</v>
      </c>
      <c r="D106" s="10"/>
      <c r="E106" s="10"/>
      <c r="F106" s="252">
        <v>3112585474</v>
      </c>
      <c r="G106" s="250"/>
      <c r="H106" s="250"/>
    </row>
    <row r="107" spans="1:8">
      <c r="A107" s="250" t="s">
        <v>2954</v>
      </c>
      <c r="B107" s="250" t="s">
        <v>2955</v>
      </c>
      <c r="C107" s="251">
        <v>204</v>
      </c>
      <c r="D107" s="10"/>
      <c r="E107" s="10"/>
      <c r="F107" s="252">
        <v>3008249379</v>
      </c>
      <c r="G107" s="250"/>
      <c r="H107" s="250"/>
    </row>
    <row r="108" spans="1:8">
      <c r="A108" s="250" t="s">
        <v>2956</v>
      </c>
      <c r="B108" s="250" t="s">
        <v>2957</v>
      </c>
      <c r="C108" s="251" t="s">
        <v>2958</v>
      </c>
      <c r="D108" s="10" t="s">
        <v>2959</v>
      </c>
      <c r="E108" s="10"/>
      <c r="F108" s="252">
        <v>3156491749</v>
      </c>
      <c r="G108" s="250"/>
      <c r="H108" s="250"/>
    </row>
    <row r="109" spans="1:8">
      <c r="A109" s="250" t="s">
        <v>2960</v>
      </c>
      <c r="B109" s="250" t="s">
        <v>2961</v>
      </c>
      <c r="C109" s="251">
        <v>703</v>
      </c>
      <c r="D109" s="10" t="s">
        <v>2962</v>
      </c>
      <c r="E109" s="10"/>
      <c r="F109" s="252">
        <v>3173683139</v>
      </c>
      <c r="G109" s="250"/>
      <c r="H109" s="250"/>
    </row>
    <row r="110" spans="1:8">
      <c r="A110" s="250" t="s">
        <v>2963</v>
      </c>
      <c r="B110" s="250" t="s">
        <v>2964</v>
      </c>
      <c r="C110" s="251">
        <v>601</v>
      </c>
      <c r="D110" s="10"/>
      <c r="E110" s="10"/>
      <c r="F110" s="252">
        <v>3114748993</v>
      </c>
      <c r="G110" s="250"/>
      <c r="H110" s="250"/>
    </row>
    <row r="111" spans="1:8">
      <c r="A111" s="250" t="s">
        <v>2965</v>
      </c>
      <c r="B111" s="250" t="s">
        <v>2966</v>
      </c>
      <c r="C111" s="251">
        <v>514</v>
      </c>
      <c r="D111" s="10" t="s">
        <v>2967</v>
      </c>
      <c r="E111" s="10"/>
      <c r="F111" s="252">
        <v>3003985921</v>
      </c>
      <c r="G111" s="256"/>
      <c r="H111" s="256"/>
    </row>
    <row r="112" spans="1:8">
      <c r="A112" s="250" t="s">
        <v>2968</v>
      </c>
      <c r="B112" s="250" t="s">
        <v>2969</v>
      </c>
      <c r="C112" s="251">
        <v>201</v>
      </c>
      <c r="D112" s="10" t="s">
        <v>2907</v>
      </c>
      <c r="E112" s="10"/>
      <c r="F112" s="252">
        <v>3175157177</v>
      </c>
      <c r="G112" s="250"/>
      <c r="H112" s="250"/>
    </row>
    <row r="113" spans="1:8">
      <c r="A113" s="250" t="s">
        <v>2970</v>
      </c>
      <c r="B113" s="250" t="s">
        <v>2971</v>
      </c>
      <c r="C113" s="251">
        <v>304</v>
      </c>
      <c r="D113" s="10"/>
      <c r="E113" s="10"/>
      <c r="F113" s="252">
        <v>3043641923</v>
      </c>
      <c r="G113" s="250"/>
      <c r="H113" s="250"/>
    </row>
    <row r="114" spans="1:8">
      <c r="A114" s="250" t="s">
        <v>2972</v>
      </c>
      <c r="B114" s="250" t="s">
        <v>2973</v>
      </c>
      <c r="C114" s="251">
        <v>601</v>
      </c>
      <c r="D114" s="10"/>
      <c r="E114" s="10"/>
      <c r="F114" s="252">
        <v>3017713908</v>
      </c>
      <c r="G114" s="250"/>
      <c r="H114" s="250"/>
    </row>
    <row r="115" spans="1:8">
      <c r="A115" s="250" t="s">
        <v>2974</v>
      </c>
      <c r="B115" s="250" t="s">
        <v>2975</v>
      </c>
      <c r="C115" s="251">
        <v>201</v>
      </c>
      <c r="D115" s="10"/>
      <c r="E115" s="10"/>
      <c r="F115" s="252">
        <v>3112274801</v>
      </c>
      <c r="G115" s="250"/>
      <c r="H115" s="250"/>
    </row>
    <row r="116" spans="1:8">
      <c r="A116" s="250" t="s">
        <v>2976</v>
      </c>
      <c r="B116" s="250" t="s">
        <v>2977</v>
      </c>
      <c r="C116" s="251">
        <v>607</v>
      </c>
      <c r="D116" s="10"/>
      <c r="E116" s="10"/>
      <c r="F116" s="252">
        <v>3173008856</v>
      </c>
      <c r="G116" s="250"/>
      <c r="H116" s="250"/>
    </row>
    <row r="117" spans="1:8">
      <c r="A117" s="250" t="s">
        <v>2978</v>
      </c>
      <c r="B117" s="250" t="s">
        <v>2979</v>
      </c>
      <c r="C117" s="251">
        <v>502</v>
      </c>
      <c r="D117" s="10"/>
      <c r="E117" s="10"/>
      <c r="F117" s="252">
        <v>3006300048</v>
      </c>
      <c r="G117" s="250"/>
      <c r="H117" s="250"/>
    </row>
    <row r="118" spans="1:8">
      <c r="A118" s="250" t="s">
        <v>2980</v>
      </c>
      <c r="B118" s="250" t="s">
        <v>2981</v>
      </c>
      <c r="C118" s="251" t="s">
        <v>2982</v>
      </c>
      <c r="D118" s="10"/>
      <c r="E118" s="10"/>
      <c r="F118" s="252">
        <v>3107774235</v>
      </c>
      <c r="G118" s="250"/>
      <c r="H118" s="250"/>
    </row>
    <row r="119" spans="1:8">
      <c r="A119" s="250" t="s">
        <v>2983</v>
      </c>
      <c r="B119" s="250" t="s">
        <v>2984</v>
      </c>
      <c r="C119" s="251">
        <v>709</v>
      </c>
      <c r="D119" s="10"/>
      <c r="E119" s="10"/>
      <c r="F119" s="252">
        <v>3183396909</v>
      </c>
      <c r="G119" s="250"/>
      <c r="H119" s="250"/>
    </row>
    <row r="120" spans="1:8">
      <c r="A120" s="250" t="s">
        <v>2985</v>
      </c>
      <c r="B120" s="250" t="s">
        <v>2986</v>
      </c>
      <c r="C120" s="251">
        <v>508</v>
      </c>
      <c r="D120" s="10"/>
      <c r="E120" s="10"/>
      <c r="F120" s="252">
        <v>3142120862</v>
      </c>
      <c r="G120" s="250"/>
      <c r="H120" s="250"/>
    </row>
    <row r="121" spans="1:8">
      <c r="A121" s="250" t="s">
        <v>2987</v>
      </c>
      <c r="B121" s="250" t="s">
        <v>2988</v>
      </c>
      <c r="C121" s="251">
        <v>202</v>
      </c>
      <c r="D121" s="10"/>
      <c r="E121" s="10"/>
      <c r="F121" s="252">
        <v>3183800243</v>
      </c>
      <c r="G121" s="250"/>
      <c r="H121" s="250"/>
    </row>
    <row r="122" spans="1:8">
      <c r="A122" s="250" t="s">
        <v>2989</v>
      </c>
      <c r="B122" s="250" t="s">
        <v>2990</v>
      </c>
      <c r="C122" s="251">
        <v>201</v>
      </c>
      <c r="D122" s="10"/>
      <c r="E122" s="10"/>
      <c r="F122" s="252">
        <v>3115746124</v>
      </c>
      <c r="G122" s="250"/>
      <c r="H122" s="250"/>
    </row>
    <row r="123" spans="1:8">
      <c r="A123" s="250" t="s">
        <v>2991</v>
      </c>
      <c r="B123" s="250" t="s">
        <v>2992</v>
      </c>
      <c r="C123" s="251">
        <v>605</v>
      </c>
      <c r="D123" s="10" t="s">
        <v>2962</v>
      </c>
      <c r="E123" s="10"/>
      <c r="F123" s="252">
        <v>3176692417</v>
      </c>
      <c r="G123" s="250"/>
      <c r="H123" s="250"/>
    </row>
    <row r="124" spans="1:8">
      <c r="A124" s="250" t="s">
        <v>2993</v>
      </c>
      <c r="B124" s="250" t="s">
        <v>2994</v>
      </c>
      <c r="C124" s="251"/>
      <c r="D124" s="10" t="s">
        <v>2995</v>
      </c>
      <c r="E124" s="10"/>
      <c r="F124" s="252">
        <v>3162322111</v>
      </c>
      <c r="G124" s="250"/>
      <c r="H124" s="250"/>
    </row>
    <row r="125" spans="1:8">
      <c r="A125" s="250" t="s">
        <v>2996</v>
      </c>
      <c r="B125" s="250" t="s">
        <v>2997</v>
      </c>
      <c r="C125" s="251">
        <v>302</v>
      </c>
      <c r="D125" s="10" t="s">
        <v>2998</v>
      </c>
      <c r="E125" s="10"/>
      <c r="F125" s="252">
        <v>3134531485</v>
      </c>
      <c r="G125" s="250"/>
      <c r="H125" s="250"/>
    </row>
    <row r="126" spans="1:8">
      <c r="A126" s="250" t="s">
        <v>2999</v>
      </c>
      <c r="B126" s="250" t="s">
        <v>3000</v>
      </c>
      <c r="C126" s="251">
        <v>801</v>
      </c>
      <c r="D126" s="10"/>
      <c r="E126" s="10"/>
      <c r="F126" s="252">
        <v>3167442951</v>
      </c>
      <c r="G126" s="250"/>
      <c r="H126" s="250"/>
    </row>
    <row r="127" spans="1:8">
      <c r="A127" s="250" t="s">
        <v>3001</v>
      </c>
      <c r="B127" s="250" t="s">
        <v>3002</v>
      </c>
      <c r="C127" s="251">
        <v>303</v>
      </c>
      <c r="D127" s="10"/>
      <c r="E127" s="10"/>
      <c r="F127" s="252">
        <v>3158450007</v>
      </c>
      <c r="G127" s="250"/>
      <c r="H127" s="250"/>
    </row>
    <row r="128" spans="1:8">
      <c r="A128" s="250" t="s">
        <v>3003</v>
      </c>
      <c r="B128" s="250" t="s">
        <v>3004</v>
      </c>
      <c r="C128" s="251">
        <v>903</v>
      </c>
      <c r="D128" s="10"/>
      <c r="E128" s="10"/>
      <c r="F128" s="252">
        <v>3152087866</v>
      </c>
      <c r="G128" s="250"/>
      <c r="H128" s="250"/>
    </row>
    <row r="129" spans="1:8">
      <c r="A129" s="250" t="s">
        <v>3005</v>
      </c>
      <c r="B129" s="250" t="s">
        <v>3006</v>
      </c>
      <c r="C129" s="251" t="s">
        <v>3007</v>
      </c>
      <c r="D129" s="10"/>
      <c r="E129" s="10"/>
      <c r="F129" s="252">
        <v>3106194011</v>
      </c>
      <c r="G129" s="250"/>
      <c r="H129" s="250"/>
    </row>
    <row r="130" spans="1:8">
      <c r="A130" s="250" t="s">
        <v>3008</v>
      </c>
      <c r="B130" s="250" t="s">
        <v>3009</v>
      </c>
      <c r="C130" s="251">
        <v>601</v>
      </c>
      <c r="D130" s="10" t="s">
        <v>3010</v>
      </c>
      <c r="E130" s="10"/>
      <c r="F130" s="252">
        <v>3174021859</v>
      </c>
      <c r="G130" s="250"/>
      <c r="H130" s="250"/>
    </row>
    <row r="131" spans="1:8">
      <c r="A131" s="250" t="s">
        <v>3011</v>
      </c>
      <c r="B131" s="250" t="s">
        <v>3012</v>
      </c>
      <c r="C131" s="251">
        <v>502</v>
      </c>
      <c r="D131" s="10"/>
      <c r="E131" s="10"/>
      <c r="F131" s="252">
        <v>3102544436</v>
      </c>
      <c r="G131" s="250"/>
      <c r="H131" s="250"/>
    </row>
    <row r="132" spans="1:8">
      <c r="A132" s="250" t="s">
        <v>3013</v>
      </c>
      <c r="B132" s="250" t="s">
        <v>3014</v>
      </c>
      <c r="C132" s="251">
        <v>301</v>
      </c>
      <c r="D132" s="10" t="s">
        <v>3015</v>
      </c>
      <c r="E132" s="10"/>
      <c r="F132" s="252">
        <v>3214401414</v>
      </c>
      <c r="G132" s="250"/>
      <c r="H132" s="250"/>
    </row>
    <row r="133" spans="1:8">
      <c r="A133" s="250" t="s">
        <v>3016</v>
      </c>
      <c r="B133" s="250" t="s">
        <v>3017</v>
      </c>
      <c r="C133" s="251">
        <v>0</v>
      </c>
      <c r="D133" s="10"/>
      <c r="E133" s="10"/>
      <c r="F133" s="252">
        <v>3017877543</v>
      </c>
      <c r="G133" s="250"/>
      <c r="H133" s="250"/>
    </row>
    <row r="134" spans="1:8">
      <c r="A134" s="250" t="s">
        <v>3018</v>
      </c>
      <c r="B134" s="250" t="s">
        <v>3019</v>
      </c>
      <c r="C134" s="251">
        <v>903</v>
      </c>
      <c r="D134" s="10"/>
      <c r="E134" s="10"/>
      <c r="F134" s="252">
        <v>3212445919</v>
      </c>
      <c r="G134" s="250"/>
      <c r="H134" s="250"/>
    </row>
    <row r="135" spans="1:8">
      <c r="A135" s="250" t="s">
        <v>3020</v>
      </c>
      <c r="B135" s="250" t="s">
        <v>3021</v>
      </c>
      <c r="C135" s="251">
        <v>301</v>
      </c>
      <c r="D135" s="10"/>
      <c r="E135" s="10"/>
      <c r="F135" s="252">
        <v>3103340140</v>
      </c>
      <c r="G135" s="250"/>
      <c r="H135" s="250"/>
    </row>
    <row r="136" spans="1:8">
      <c r="A136" s="250" t="s">
        <v>3022</v>
      </c>
      <c r="B136" s="250" t="s">
        <v>3023</v>
      </c>
      <c r="C136" s="251">
        <v>201</v>
      </c>
      <c r="D136" s="10"/>
      <c r="E136" s="10"/>
      <c r="F136" s="252">
        <v>3102308603</v>
      </c>
      <c r="G136" s="250"/>
      <c r="H136" s="250"/>
    </row>
    <row r="137" spans="1:8">
      <c r="A137" s="250" t="s">
        <v>3024</v>
      </c>
      <c r="B137" s="250" t="s">
        <v>3025</v>
      </c>
      <c r="C137" s="251" t="s">
        <v>3026</v>
      </c>
      <c r="D137" s="10"/>
      <c r="E137" s="10"/>
      <c r="F137" s="257">
        <v>3102677748</v>
      </c>
      <c r="G137" s="250"/>
      <c r="H137" s="250"/>
    </row>
    <row r="138" spans="1:8">
      <c r="A138" s="250" t="s">
        <v>3027</v>
      </c>
      <c r="B138" s="250" t="s">
        <v>3028</v>
      </c>
      <c r="C138" s="251">
        <v>101</v>
      </c>
      <c r="D138" s="10"/>
      <c r="E138" s="10"/>
      <c r="F138" s="257">
        <v>3157939026</v>
      </c>
      <c r="G138" s="250"/>
      <c r="H138" s="250"/>
    </row>
    <row r="139" spans="1:8">
      <c r="A139" s="250" t="s">
        <v>3029</v>
      </c>
      <c r="B139" s="250" t="s">
        <v>3030</v>
      </c>
      <c r="C139" s="251">
        <v>703</v>
      </c>
      <c r="D139" s="10"/>
      <c r="E139" s="10"/>
      <c r="F139" s="257">
        <v>3108562599</v>
      </c>
      <c r="G139" s="250"/>
      <c r="H139" s="250"/>
    </row>
    <row r="140" spans="1:8">
      <c r="A140" s="250" t="s">
        <v>3031</v>
      </c>
      <c r="B140" s="250" t="s">
        <v>3032</v>
      </c>
      <c r="C140" s="251">
        <v>506</v>
      </c>
      <c r="D140" s="10"/>
      <c r="E140" s="10"/>
      <c r="F140" s="257">
        <v>3113005417</v>
      </c>
      <c r="G140" s="250"/>
      <c r="H140" s="250"/>
    </row>
    <row r="141" spans="1:8">
      <c r="A141" s="250" t="s">
        <v>3033</v>
      </c>
      <c r="B141" s="250" t="s">
        <v>3034</v>
      </c>
      <c r="C141" s="251">
        <v>501</v>
      </c>
      <c r="D141" s="10"/>
      <c r="E141" s="10"/>
      <c r="F141" s="257">
        <v>3107872803</v>
      </c>
      <c r="G141" s="250"/>
      <c r="H141" s="250"/>
    </row>
    <row r="142" spans="1:8">
      <c r="A142" s="250" t="s">
        <v>3035</v>
      </c>
      <c r="B142" s="250" t="s">
        <v>3036</v>
      </c>
      <c r="C142" s="251">
        <v>201</v>
      </c>
      <c r="D142" s="10"/>
      <c r="E142" s="10"/>
      <c r="F142" s="257">
        <v>3102200517</v>
      </c>
      <c r="G142" s="250"/>
      <c r="H142" s="250"/>
    </row>
    <row r="143" spans="1:8">
      <c r="A143" s="250" t="s">
        <v>3037</v>
      </c>
      <c r="B143" s="250" t="s">
        <v>3038</v>
      </c>
      <c r="C143" s="251">
        <v>601</v>
      </c>
      <c r="D143" s="10"/>
      <c r="E143" s="10"/>
      <c r="F143" s="257">
        <v>3103097227</v>
      </c>
      <c r="G143" s="250"/>
      <c r="H143" s="250"/>
    </row>
    <row r="144" spans="1:8">
      <c r="A144" s="250" t="s">
        <v>3039</v>
      </c>
      <c r="B144" s="250" t="s">
        <v>3040</v>
      </c>
      <c r="C144" s="251">
        <v>202</v>
      </c>
      <c r="D144" s="10"/>
      <c r="E144" s="10"/>
      <c r="F144" s="257">
        <v>3153320615</v>
      </c>
      <c r="G144" s="250"/>
      <c r="H144" s="250"/>
    </row>
    <row r="145" spans="1:8">
      <c r="A145" s="250" t="s">
        <v>3041</v>
      </c>
      <c r="B145" s="250" t="s">
        <v>3042</v>
      </c>
      <c r="C145" s="251">
        <v>702</v>
      </c>
      <c r="D145" s="10" t="s">
        <v>3043</v>
      </c>
      <c r="E145" s="10"/>
      <c r="F145" s="257">
        <v>3174038929</v>
      </c>
      <c r="G145" s="250"/>
      <c r="H145" s="250"/>
    </row>
    <row r="146" spans="1:8">
      <c r="A146" s="250" t="s">
        <v>3044</v>
      </c>
      <c r="B146" s="250" t="s">
        <v>3045</v>
      </c>
      <c r="C146" s="251">
        <v>501</v>
      </c>
      <c r="D146" s="10"/>
      <c r="E146" s="10"/>
      <c r="F146" s="257">
        <v>3002713341</v>
      </c>
      <c r="G146" s="250"/>
      <c r="H146" s="250"/>
    </row>
    <row r="147" spans="1:8">
      <c r="A147" s="250" t="s">
        <v>3046</v>
      </c>
      <c r="B147" s="250" t="s">
        <v>3047</v>
      </c>
      <c r="C147" s="251">
        <v>704</v>
      </c>
      <c r="D147" s="10"/>
      <c r="E147" s="10"/>
      <c r="F147" s="257">
        <v>3106960915</v>
      </c>
      <c r="G147" s="250"/>
      <c r="H147" s="250"/>
    </row>
    <row r="148" spans="1:8">
      <c r="A148" s="250" t="s">
        <v>3048</v>
      </c>
      <c r="B148" s="250" t="s">
        <v>3049</v>
      </c>
      <c r="C148" s="251">
        <v>902</v>
      </c>
      <c r="D148" s="10"/>
      <c r="E148" s="10"/>
      <c r="F148" s="257">
        <v>3134683890</v>
      </c>
      <c r="G148" s="250"/>
      <c r="H148" s="250"/>
    </row>
    <row r="150" spans="1:8">
      <c r="A150" s="250" t="s">
        <v>3050</v>
      </c>
      <c r="B150" s="250" t="s">
        <v>3051</v>
      </c>
      <c r="C150" s="251">
        <v>401</v>
      </c>
      <c r="D150" s="10"/>
      <c r="E150" s="10"/>
      <c r="F150" s="257">
        <v>3157948864</v>
      </c>
      <c r="G150" s="250"/>
      <c r="H150" s="250"/>
    </row>
    <row r="151" spans="1:8">
      <c r="A151" s="250" t="s">
        <v>3052</v>
      </c>
      <c r="B151" s="250" t="s">
        <v>3053</v>
      </c>
      <c r="C151" s="251">
        <v>503</v>
      </c>
      <c r="D151" s="10" t="s">
        <v>2721</v>
      </c>
      <c r="E151" s="10"/>
      <c r="F151" s="252">
        <v>3013669731</v>
      </c>
      <c r="G151" s="250"/>
      <c r="H151" s="250"/>
    </row>
    <row r="152" spans="1:8">
      <c r="A152" s="250" t="s">
        <v>3054</v>
      </c>
      <c r="B152" s="250" t="s">
        <v>3055</v>
      </c>
      <c r="C152" s="251">
        <v>601</v>
      </c>
      <c r="D152" s="10"/>
      <c r="E152" s="10"/>
      <c r="F152" s="252">
        <v>3166955632</v>
      </c>
      <c r="G152" s="250"/>
      <c r="H152" s="250"/>
    </row>
    <row r="153" spans="1:8">
      <c r="A153" s="250" t="s">
        <v>3056</v>
      </c>
      <c r="B153" s="250" t="s">
        <v>3057</v>
      </c>
      <c r="C153" s="251" t="s">
        <v>3007</v>
      </c>
      <c r="D153" s="10"/>
      <c r="E153" s="10"/>
      <c r="F153" s="252">
        <v>3207796207</v>
      </c>
      <c r="G153" s="250"/>
      <c r="H153" s="250"/>
    </row>
    <row r="154" spans="1:8">
      <c r="A154" s="250" t="s">
        <v>3058</v>
      </c>
      <c r="B154" s="250" t="s">
        <v>3059</v>
      </c>
      <c r="C154" s="251">
        <v>303</v>
      </c>
      <c r="D154" s="10"/>
      <c r="E154" s="10"/>
      <c r="F154" s="252">
        <v>3203415049</v>
      </c>
      <c r="G154" s="250"/>
      <c r="H154" s="250"/>
    </row>
    <row r="155" spans="1:8">
      <c r="A155" s="250" t="s">
        <v>3060</v>
      </c>
      <c r="B155" s="250" t="s">
        <v>3061</v>
      </c>
      <c r="C155" s="251">
        <v>406</v>
      </c>
      <c r="D155" s="10"/>
      <c r="E155" s="10"/>
      <c r="F155" s="252">
        <v>3123088958</v>
      </c>
      <c r="G155" s="250"/>
      <c r="H155" s="250"/>
    </row>
    <row r="156" spans="1:8">
      <c r="A156" s="250" t="s">
        <v>3062</v>
      </c>
      <c r="B156" s="250" t="s">
        <v>3063</v>
      </c>
      <c r="C156" s="251">
        <v>901</v>
      </c>
      <c r="D156" s="10" t="s">
        <v>2772</v>
      </c>
      <c r="E156" s="10"/>
      <c r="F156" s="252">
        <v>3124243177</v>
      </c>
      <c r="G156" s="250"/>
      <c r="H156" s="250"/>
    </row>
    <row r="157" spans="1:8">
      <c r="A157" s="250" t="s">
        <v>3064</v>
      </c>
      <c r="B157" s="250" t="s">
        <v>3065</v>
      </c>
      <c r="C157" s="251">
        <v>101</v>
      </c>
      <c r="D157" s="10"/>
      <c r="E157" s="10"/>
      <c r="F157" s="252">
        <v>3153074597</v>
      </c>
      <c r="G157" s="250"/>
      <c r="H157" s="250"/>
    </row>
    <row r="159" spans="1:8">
      <c r="A159" s="250" t="s">
        <v>3066</v>
      </c>
      <c r="B159" s="250" t="s">
        <v>3067</v>
      </c>
      <c r="C159" s="251">
        <v>502</v>
      </c>
      <c r="D159" s="10"/>
      <c r="E159" s="10"/>
      <c r="F159" s="252">
        <v>3002036228</v>
      </c>
      <c r="G159" s="250"/>
      <c r="H159" s="250"/>
    </row>
    <row r="160" spans="1:8">
      <c r="A160" s="250" t="s">
        <v>3068</v>
      </c>
      <c r="B160" s="250" t="s">
        <v>3069</v>
      </c>
      <c r="C160" s="251" t="s">
        <v>3070</v>
      </c>
      <c r="D160" s="10" t="s">
        <v>3071</v>
      </c>
      <c r="E160" s="10"/>
      <c r="F160" s="257">
        <v>3104868736</v>
      </c>
      <c r="G160" s="250"/>
      <c r="H160" s="250"/>
    </row>
    <row r="161" spans="1:8">
      <c r="A161" s="256" t="s">
        <v>3072</v>
      </c>
      <c r="B161" s="250" t="s">
        <v>3073</v>
      </c>
      <c r="C161" s="251">
        <v>201</v>
      </c>
      <c r="D161" s="10" t="s">
        <v>3074</v>
      </c>
      <c r="E161" s="10"/>
      <c r="F161" s="257">
        <v>3112526836</v>
      </c>
      <c r="G161" s="250"/>
      <c r="H161" s="250"/>
    </row>
    <row r="162" spans="1:8">
      <c r="A162" s="256" t="s">
        <v>3075</v>
      </c>
      <c r="B162" s="250" t="s">
        <v>3076</v>
      </c>
      <c r="C162" s="251">
        <v>301</v>
      </c>
      <c r="D162" s="10"/>
      <c r="E162" s="10"/>
      <c r="F162" s="257">
        <v>3142875013</v>
      </c>
      <c r="G162" s="250"/>
      <c r="H162" s="250"/>
    </row>
    <row r="163" spans="1:8">
      <c r="A163" s="256" t="s">
        <v>3077</v>
      </c>
      <c r="B163" s="250" t="s">
        <v>3078</v>
      </c>
      <c r="C163" s="251">
        <v>1605</v>
      </c>
      <c r="D163" s="10" t="s">
        <v>3079</v>
      </c>
      <c r="E163" s="10"/>
      <c r="F163" s="257">
        <v>3213150616</v>
      </c>
      <c r="G163" s="250"/>
      <c r="H163" s="250"/>
    </row>
    <row r="164" spans="1:8">
      <c r="A164" s="256" t="s">
        <v>3080</v>
      </c>
      <c r="B164" s="250" t="s">
        <v>3081</v>
      </c>
      <c r="C164" s="251">
        <v>104</v>
      </c>
      <c r="D164" s="10" t="s">
        <v>3082</v>
      </c>
      <c r="E164" s="10"/>
      <c r="F164" s="257">
        <v>3124440505</v>
      </c>
      <c r="G164" s="250"/>
      <c r="H164" s="250"/>
    </row>
    <row r="165" spans="1:8">
      <c r="A165" s="256" t="s">
        <v>3083</v>
      </c>
      <c r="B165" s="250" t="s">
        <v>3084</v>
      </c>
      <c r="C165" s="251" t="s">
        <v>3085</v>
      </c>
      <c r="D165" s="10"/>
      <c r="E165" s="10"/>
      <c r="F165" s="257">
        <v>3112914409</v>
      </c>
      <c r="G165" s="250"/>
      <c r="H165" s="250"/>
    </row>
    <row r="166" spans="1:8">
      <c r="A166" s="250" t="s">
        <v>3086</v>
      </c>
      <c r="B166" s="250" t="s">
        <v>3087</v>
      </c>
      <c r="C166" s="251">
        <v>705</v>
      </c>
      <c r="D166" s="10"/>
      <c r="E166" s="10"/>
      <c r="F166" s="252">
        <v>3165751468</v>
      </c>
      <c r="G166" s="250"/>
      <c r="H166" s="250"/>
    </row>
    <row r="167" spans="1:8">
      <c r="A167" s="250" t="s">
        <v>3088</v>
      </c>
      <c r="B167" s="250" t="s">
        <v>3089</v>
      </c>
      <c r="C167" s="251">
        <v>503</v>
      </c>
      <c r="D167" s="10"/>
      <c r="E167" s="10"/>
      <c r="F167" s="252">
        <v>3002755326</v>
      </c>
      <c r="G167" s="250"/>
      <c r="H167" s="250"/>
    </row>
    <row r="168" spans="1:8">
      <c r="A168" s="250" t="s">
        <v>3090</v>
      </c>
      <c r="B168" s="250" t="s">
        <v>3091</v>
      </c>
      <c r="C168" s="251">
        <v>307</v>
      </c>
      <c r="D168" s="10"/>
      <c r="E168" s="10"/>
      <c r="F168" s="252">
        <v>3103233809</v>
      </c>
      <c r="G168" s="250"/>
      <c r="H168" s="250"/>
    </row>
    <row r="169" spans="1:8">
      <c r="A169" s="250" t="s">
        <v>3092</v>
      </c>
      <c r="B169" s="250" t="s">
        <v>3093</v>
      </c>
      <c r="C169" s="251">
        <v>302</v>
      </c>
      <c r="D169" s="10"/>
      <c r="E169" s="10"/>
      <c r="F169" s="252">
        <v>3114621114</v>
      </c>
      <c r="G169" s="250"/>
      <c r="H169" s="250"/>
    </row>
    <row r="170" spans="1:8">
      <c r="A170" s="250" t="s">
        <v>3094</v>
      </c>
      <c r="B170" s="250" t="s">
        <v>3095</v>
      </c>
      <c r="C170" s="251">
        <v>508</v>
      </c>
      <c r="D170" s="10" t="s">
        <v>3096</v>
      </c>
      <c r="E170" s="10"/>
      <c r="F170" s="252">
        <v>3158095703</v>
      </c>
      <c r="G170" s="250"/>
      <c r="H170" s="250"/>
    </row>
    <row r="171" spans="1:8">
      <c r="A171" s="250" t="s">
        <v>3097</v>
      </c>
      <c r="B171" s="250" t="s">
        <v>3098</v>
      </c>
      <c r="C171" s="251">
        <v>702</v>
      </c>
      <c r="D171" s="10" t="s">
        <v>3099</v>
      </c>
      <c r="E171" s="10"/>
      <c r="F171" s="252">
        <v>3125239254</v>
      </c>
      <c r="G171" s="250"/>
      <c r="H171" s="250"/>
    </row>
    <row r="172" spans="1:8">
      <c r="A172" s="250" t="s">
        <v>3100</v>
      </c>
      <c r="B172" s="250" t="s">
        <v>3101</v>
      </c>
      <c r="C172" s="251">
        <v>304</v>
      </c>
      <c r="D172" s="10"/>
      <c r="E172" s="10"/>
      <c r="F172" s="252">
        <v>3044406505</v>
      </c>
      <c r="G172" s="250"/>
      <c r="H172" s="250"/>
    </row>
    <row r="173" spans="1:8">
      <c r="A173" s="250" t="s">
        <v>3102</v>
      </c>
      <c r="B173" s="250" t="s">
        <v>3103</v>
      </c>
      <c r="C173" s="251">
        <v>504</v>
      </c>
      <c r="D173" s="10" t="s">
        <v>3104</v>
      </c>
      <c r="E173" s="10"/>
      <c r="F173" s="252">
        <v>3102118111</v>
      </c>
      <c r="G173" s="250"/>
      <c r="H173" s="250"/>
    </row>
    <row r="174" spans="1:8">
      <c r="A174" s="250" t="s">
        <v>3105</v>
      </c>
      <c r="B174" s="250" t="s">
        <v>3106</v>
      </c>
      <c r="C174" s="251">
        <v>502</v>
      </c>
      <c r="D174" s="10" t="s">
        <v>3010</v>
      </c>
      <c r="E174" s="10"/>
      <c r="F174" s="252">
        <v>3183413434</v>
      </c>
      <c r="G174" s="250"/>
      <c r="H174" s="250"/>
    </row>
    <row r="175" spans="1:8">
      <c r="A175" s="250" t="s">
        <v>3107</v>
      </c>
      <c r="B175" s="250" t="s">
        <v>3108</v>
      </c>
      <c r="C175" s="251">
        <v>601</v>
      </c>
      <c r="D175" s="10"/>
      <c r="E175" s="10"/>
      <c r="F175" s="252">
        <v>3102409098</v>
      </c>
      <c r="G175" s="250"/>
      <c r="H175" s="250"/>
    </row>
    <row r="176" spans="1:8">
      <c r="A176" s="250" t="s">
        <v>3109</v>
      </c>
      <c r="B176" s="250" t="s">
        <v>3110</v>
      </c>
      <c r="C176" s="251">
        <v>104</v>
      </c>
      <c r="D176" s="10" t="s">
        <v>3111</v>
      </c>
      <c r="E176" s="10"/>
      <c r="F176" s="252">
        <v>3007186184</v>
      </c>
      <c r="G176" s="250"/>
      <c r="H176" s="250"/>
    </row>
    <row r="177" spans="1:8">
      <c r="A177" s="250" t="s">
        <v>3112</v>
      </c>
      <c r="B177" s="250" t="s">
        <v>3113</v>
      </c>
      <c r="C177" s="251">
        <v>413</v>
      </c>
      <c r="D177" s="10"/>
      <c r="E177" s="10"/>
      <c r="F177" s="252">
        <v>3003159073</v>
      </c>
      <c r="G177" s="250"/>
      <c r="H177" s="250"/>
    </row>
    <row r="178" spans="1:8">
      <c r="A178" s="250" t="s">
        <v>3114</v>
      </c>
      <c r="B178" s="250" t="s">
        <v>3115</v>
      </c>
      <c r="C178" s="251"/>
      <c r="D178" s="10" t="s">
        <v>3116</v>
      </c>
      <c r="E178" s="10"/>
      <c r="F178" s="252">
        <v>3102857463</v>
      </c>
      <c r="G178" s="250"/>
      <c r="H178" s="250"/>
    </row>
    <row r="179" spans="1:8">
      <c r="A179" s="250" t="s">
        <v>3117</v>
      </c>
      <c r="B179" s="250" t="s">
        <v>3118</v>
      </c>
      <c r="C179" s="251"/>
      <c r="D179" s="10" t="s">
        <v>3119</v>
      </c>
      <c r="E179" s="10" t="s">
        <v>3120</v>
      </c>
      <c r="F179" s="252">
        <v>3016870204</v>
      </c>
      <c r="G179" s="250"/>
      <c r="H179" s="250"/>
    </row>
    <row r="180" spans="1:8">
      <c r="A180" s="250" t="s">
        <v>3121</v>
      </c>
      <c r="B180" s="250" t="s">
        <v>3122</v>
      </c>
      <c r="C180" s="251">
        <v>303</v>
      </c>
      <c r="D180" s="10" t="s">
        <v>3123</v>
      </c>
      <c r="E180" s="10"/>
      <c r="F180" s="252">
        <v>3016801437</v>
      </c>
      <c r="G180" s="250"/>
      <c r="H180" s="250"/>
    </row>
    <row r="181" spans="1:8">
      <c r="A181" s="250" t="s">
        <v>3124</v>
      </c>
      <c r="B181" s="250" t="s">
        <v>3125</v>
      </c>
      <c r="C181" s="251">
        <v>401</v>
      </c>
      <c r="D181" s="10" t="s">
        <v>3126</v>
      </c>
      <c r="E181" s="10"/>
      <c r="F181" s="252">
        <v>3166907931</v>
      </c>
      <c r="G181" s="250"/>
      <c r="H181" s="250"/>
    </row>
    <row r="182" spans="1:8">
      <c r="A182" s="250" t="s">
        <v>3127</v>
      </c>
      <c r="B182" s="250" t="s">
        <v>3128</v>
      </c>
      <c r="C182" s="251">
        <v>1108</v>
      </c>
      <c r="D182" s="10" t="s">
        <v>3129</v>
      </c>
      <c r="E182" s="10"/>
      <c r="F182" s="252">
        <v>3003246724</v>
      </c>
      <c r="G182" s="250"/>
      <c r="H182" s="250"/>
    </row>
    <row r="183" spans="1:8">
      <c r="A183" s="250" t="s">
        <v>3130</v>
      </c>
      <c r="B183" s="250" t="s">
        <v>3131</v>
      </c>
      <c r="C183" s="251">
        <v>201</v>
      </c>
      <c r="D183" s="10"/>
      <c r="E183" s="10"/>
      <c r="F183" s="252">
        <v>3154798451</v>
      </c>
      <c r="G183" s="250"/>
      <c r="H183" s="250"/>
    </row>
    <row r="184" spans="1:8">
      <c r="A184" s="250" t="s">
        <v>3132</v>
      </c>
      <c r="B184" s="250" t="s">
        <v>3133</v>
      </c>
      <c r="C184" s="251" t="s">
        <v>3007</v>
      </c>
      <c r="D184" s="10" t="s">
        <v>3116</v>
      </c>
      <c r="E184" s="10"/>
      <c r="F184" s="252">
        <v>3158624067</v>
      </c>
      <c r="G184" s="250"/>
      <c r="H184" s="250"/>
    </row>
    <row r="185" spans="1:8">
      <c r="A185" s="250" t="s">
        <v>3134</v>
      </c>
      <c r="B185" s="250" t="s">
        <v>3135</v>
      </c>
      <c r="C185" s="251">
        <v>501</v>
      </c>
      <c r="D185" s="10" t="s">
        <v>3136</v>
      </c>
      <c r="E185" s="10"/>
      <c r="F185" s="252">
        <v>3155929852</v>
      </c>
      <c r="G185" s="250"/>
      <c r="H185" s="250"/>
    </row>
    <row r="186" spans="1:8">
      <c r="A186" s="250" t="s">
        <v>3137</v>
      </c>
      <c r="B186" s="250" t="s">
        <v>3138</v>
      </c>
      <c r="C186" s="251">
        <v>502</v>
      </c>
      <c r="D186" s="10" t="s">
        <v>2949</v>
      </c>
      <c r="E186" s="10"/>
      <c r="F186" s="252">
        <v>3157969576</v>
      </c>
      <c r="G186" s="250"/>
      <c r="H186" s="250"/>
    </row>
    <row r="187" spans="1:8">
      <c r="A187" s="250" t="s">
        <v>3139</v>
      </c>
      <c r="B187" s="250" t="s">
        <v>3140</v>
      </c>
      <c r="C187" s="251">
        <v>204</v>
      </c>
      <c r="D187" s="10"/>
      <c r="E187" s="10"/>
      <c r="F187" s="252">
        <v>3147230210</v>
      </c>
      <c r="G187" s="250"/>
      <c r="H187" s="250"/>
    </row>
    <row r="188" spans="1:8">
      <c r="A188" s="250" t="s">
        <v>3141</v>
      </c>
      <c r="B188" s="250" t="s">
        <v>3142</v>
      </c>
      <c r="C188" s="251" t="s">
        <v>3143</v>
      </c>
      <c r="D188" s="10"/>
      <c r="E188" s="10"/>
      <c r="F188" s="252">
        <v>3138870761</v>
      </c>
      <c r="G188" s="250"/>
      <c r="H188" s="250"/>
    </row>
    <row r="189" spans="1:8">
      <c r="A189" s="250" t="s">
        <v>3144</v>
      </c>
      <c r="B189" s="250" t="s">
        <v>3145</v>
      </c>
      <c r="C189" s="251">
        <v>405</v>
      </c>
      <c r="D189" s="10" t="s">
        <v>3146</v>
      </c>
      <c r="E189" s="10"/>
      <c r="F189" s="252">
        <v>3505834096</v>
      </c>
      <c r="G189" s="250"/>
      <c r="H189" s="250"/>
    </row>
    <row r="190" spans="1:8">
      <c r="A190" s="250" t="s">
        <v>3147</v>
      </c>
      <c r="B190" s="250" t="s">
        <v>3148</v>
      </c>
      <c r="C190" s="251">
        <v>203</v>
      </c>
      <c r="D190" s="10" t="s">
        <v>3149</v>
      </c>
      <c r="E190" s="10"/>
      <c r="F190" s="252">
        <v>3174232306</v>
      </c>
      <c r="G190" s="250"/>
      <c r="H190" s="250"/>
    </row>
    <row r="191" spans="1:8">
      <c r="A191" s="250" t="s">
        <v>3150</v>
      </c>
      <c r="B191" s="250" t="s">
        <v>3151</v>
      </c>
      <c r="C191" s="251">
        <v>501</v>
      </c>
      <c r="D191" s="10" t="s">
        <v>3152</v>
      </c>
      <c r="E191" s="10"/>
      <c r="F191" s="252">
        <v>3008170079</v>
      </c>
      <c r="G191" s="250"/>
      <c r="H191" s="250"/>
    </row>
    <row r="192" spans="1:8">
      <c r="A192" s="250" t="s">
        <v>3153</v>
      </c>
      <c r="B192" s="250" t="s">
        <v>3154</v>
      </c>
      <c r="C192" s="251">
        <v>501</v>
      </c>
      <c r="D192" s="10" t="s">
        <v>3155</v>
      </c>
      <c r="E192" s="10"/>
      <c r="F192" s="252">
        <v>3175751745</v>
      </c>
      <c r="G192" s="250"/>
      <c r="H192" s="250"/>
    </row>
    <row r="193" spans="1:8">
      <c r="A193" s="250" t="s">
        <v>3156</v>
      </c>
      <c r="B193" s="250" t="s">
        <v>3157</v>
      </c>
      <c r="C193" s="251">
        <v>202</v>
      </c>
      <c r="D193" s="10"/>
      <c r="E193" s="10"/>
      <c r="F193" s="252">
        <v>3143907183</v>
      </c>
      <c r="G193" s="250"/>
      <c r="H193" s="250"/>
    </row>
    <row r="194" spans="1:8">
      <c r="A194" s="250" t="s">
        <v>3158</v>
      </c>
      <c r="B194" s="250" t="s">
        <v>3159</v>
      </c>
      <c r="C194" s="251">
        <v>302</v>
      </c>
      <c r="D194" s="10"/>
      <c r="E194" s="10"/>
      <c r="F194" s="252">
        <v>3006402212</v>
      </c>
      <c r="G194" s="250"/>
      <c r="H194" s="250"/>
    </row>
    <row r="195" spans="1:8">
      <c r="A195" s="250" t="s">
        <v>3160</v>
      </c>
      <c r="B195" s="250" t="s">
        <v>3161</v>
      </c>
      <c r="C195" s="251">
        <v>503</v>
      </c>
      <c r="D195" s="10"/>
      <c r="E195" s="10"/>
      <c r="F195" s="252">
        <v>3102730423</v>
      </c>
      <c r="G195" s="250"/>
      <c r="H195" s="250"/>
    </row>
    <row r="196" spans="1:8">
      <c r="A196" s="250" t="s">
        <v>3162</v>
      </c>
      <c r="B196" s="250" t="s">
        <v>3163</v>
      </c>
      <c r="C196" s="251">
        <v>204</v>
      </c>
      <c r="D196" s="10"/>
      <c r="E196" s="10"/>
      <c r="F196" s="252">
        <v>3015650782</v>
      </c>
      <c r="G196" s="250"/>
      <c r="H196" s="250"/>
    </row>
    <row r="197" spans="1:8">
      <c r="A197" s="250" t="s">
        <v>3164</v>
      </c>
      <c r="B197" s="250" t="s">
        <v>3165</v>
      </c>
      <c r="C197" s="251">
        <v>205</v>
      </c>
      <c r="D197" s="10"/>
      <c r="E197" s="10"/>
      <c r="F197" s="252">
        <v>3108656603</v>
      </c>
      <c r="G197" s="250"/>
      <c r="H197" s="250"/>
    </row>
    <row r="198" spans="1:8">
      <c r="A198" s="250" t="s">
        <v>3166</v>
      </c>
      <c r="B198" s="250" t="s">
        <v>3167</v>
      </c>
      <c r="C198" s="251">
        <v>302</v>
      </c>
      <c r="D198" s="10"/>
      <c r="E198" s="10"/>
      <c r="F198" s="252">
        <v>3017391505</v>
      </c>
      <c r="G198" s="250"/>
      <c r="H198" s="250"/>
    </row>
    <row r="199" spans="1:8">
      <c r="A199" s="250" t="s">
        <v>3168</v>
      </c>
      <c r="B199" s="250" t="s">
        <v>3169</v>
      </c>
      <c r="C199" s="251"/>
      <c r="D199" s="10"/>
      <c r="E199" s="10"/>
      <c r="F199" s="252">
        <v>3002163346</v>
      </c>
      <c r="G199" s="250"/>
      <c r="H199" s="250"/>
    </row>
    <row r="200" spans="1:8">
      <c r="A200" s="250" t="s">
        <v>3170</v>
      </c>
      <c r="B200" s="250" t="s">
        <v>3171</v>
      </c>
      <c r="C200" s="251">
        <v>507</v>
      </c>
      <c r="D200" s="10" t="s">
        <v>3172</v>
      </c>
      <c r="E200" s="10"/>
      <c r="F200" s="252">
        <v>3157940605</v>
      </c>
      <c r="G200" s="250"/>
      <c r="H200" s="250"/>
    </row>
    <row r="201" spans="1:8">
      <c r="A201" s="250" t="s">
        <v>3173</v>
      </c>
      <c r="B201" s="250" t="s">
        <v>3174</v>
      </c>
      <c r="C201" s="251">
        <v>301</v>
      </c>
      <c r="D201" s="10" t="s">
        <v>3175</v>
      </c>
      <c r="E201" s="10"/>
      <c r="F201" s="252">
        <v>3003726753</v>
      </c>
      <c r="G201" s="250"/>
      <c r="H201" s="250"/>
    </row>
    <row r="202" spans="1:8">
      <c r="A202" s="250" t="s">
        <v>3176</v>
      </c>
      <c r="B202" s="250" t="s">
        <v>3177</v>
      </c>
      <c r="C202" s="251">
        <v>802</v>
      </c>
      <c r="D202" s="10" t="s">
        <v>2917</v>
      </c>
      <c r="E202" s="10"/>
      <c r="F202" s="252">
        <v>3182818366</v>
      </c>
      <c r="G202" s="250"/>
      <c r="H202" s="250"/>
    </row>
    <row r="203" spans="1:8">
      <c r="A203" s="250" t="s">
        <v>3178</v>
      </c>
      <c r="B203" s="250" t="s">
        <v>3179</v>
      </c>
      <c r="C203" s="251">
        <v>401</v>
      </c>
      <c r="D203" s="10" t="s">
        <v>3180</v>
      </c>
      <c r="E203" s="10"/>
      <c r="F203" s="252">
        <v>3104843133</v>
      </c>
      <c r="G203" s="250"/>
      <c r="H203" s="250"/>
    </row>
    <row r="204" spans="1:8">
      <c r="A204" s="250" t="s">
        <v>3181</v>
      </c>
      <c r="B204" s="250" t="s">
        <v>3182</v>
      </c>
      <c r="C204" s="251">
        <v>518</v>
      </c>
      <c r="D204" s="10" t="s">
        <v>3183</v>
      </c>
      <c r="E204" s="10"/>
      <c r="F204" s="252">
        <v>3174323254</v>
      </c>
      <c r="G204" s="250"/>
      <c r="H204" s="250"/>
    </row>
    <row r="205" spans="1:8">
      <c r="A205" s="250" t="s">
        <v>3184</v>
      </c>
      <c r="B205" s="250" t="s">
        <v>3185</v>
      </c>
      <c r="C205" s="251" t="s">
        <v>3186</v>
      </c>
      <c r="D205" s="10" t="s">
        <v>3187</v>
      </c>
      <c r="E205" s="10"/>
      <c r="F205" s="252">
        <v>3108038795</v>
      </c>
      <c r="G205" s="250"/>
      <c r="H205" s="250"/>
    </row>
    <row r="206" spans="1:8">
      <c r="A206" s="250" t="s">
        <v>3188</v>
      </c>
      <c r="B206" s="250" t="s">
        <v>3189</v>
      </c>
      <c r="C206" s="251">
        <v>503</v>
      </c>
      <c r="D206" s="10"/>
      <c r="E206" s="10"/>
      <c r="F206" s="252">
        <v>3003622282</v>
      </c>
      <c r="G206" s="250"/>
      <c r="H206" s="250"/>
    </row>
    <row r="207" spans="1:8">
      <c r="A207" s="250" t="s">
        <v>3190</v>
      </c>
      <c r="B207" s="250" t="s">
        <v>3191</v>
      </c>
      <c r="C207" s="251">
        <v>703</v>
      </c>
      <c r="D207" s="10"/>
      <c r="E207" s="10"/>
      <c r="F207" s="252">
        <v>3106046162</v>
      </c>
      <c r="G207" s="250"/>
      <c r="H207" s="250"/>
    </row>
    <row r="208" spans="1:8">
      <c r="A208" s="250" t="s">
        <v>3192</v>
      </c>
      <c r="B208" s="250" t="s">
        <v>3193</v>
      </c>
      <c r="C208" s="251">
        <v>802</v>
      </c>
      <c r="D208" s="10"/>
      <c r="E208" s="10"/>
      <c r="F208" s="252">
        <v>3202367214</v>
      </c>
      <c r="G208" s="250"/>
      <c r="H208" s="250"/>
    </row>
    <row r="209" spans="1:8">
      <c r="A209" s="250" t="s">
        <v>3194</v>
      </c>
      <c r="B209" s="250" t="s">
        <v>3195</v>
      </c>
      <c r="C209" s="251">
        <v>201</v>
      </c>
      <c r="D209" s="10"/>
      <c r="E209" s="10"/>
      <c r="F209" s="252">
        <v>3208528501</v>
      </c>
      <c r="G209" s="250"/>
      <c r="H209" s="250"/>
    </row>
    <row r="210" spans="1:8">
      <c r="A210" s="250" t="s">
        <v>3196</v>
      </c>
      <c r="B210" s="250" t="s">
        <v>3197</v>
      </c>
      <c r="C210" s="251">
        <v>203</v>
      </c>
      <c r="D210" s="10"/>
      <c r="E210" s="10"/>
      <c r="F210" s="252">
        <v>3107718309</v>
      </c>
      <c r="G210" s="250"/>
      <c r="H210" s="250"/>
    </row>
    <row r="211" spans="1:8">
      <c r="A211" s="250" t="s">
        <v>3198</v>
      </c>
      <c r="B211" s="250" t="s">
        <v>3199</v>
      </c>
      <c r="C211" s="251">
        <v>203</v>
      </c>
      <c r="D211" s="10" t="s">
        <v>3200</v>
      </c>
      <c r="E211" s="10"/>
      <c r="F211" s="252">
        <v>3102118987</v>
      </c>
      <c r="G211" s="250"/>
      <c r="H211" s="250"/>
    </row>
    <row r="212" spans="1:8">
      <c r="A212" s="250" t="s">
        <v>3201</v>
      </c>
      <c r="B212" s="250" t="s">
        <v>3202</v>
      </c>
      <c r="C212" s="251">
        <v>602</v>
      </c>
      <c r="D212" s="10" t="s">
        <v>3203</v>
      </c>
      <c r="E212" s="10"/>
      <c r="F212" s="252">
        <v>3183835182</v>
      </c>
      <c r="G212" s="250"/>
      <c r="H212" s="250"/>
    </row>
    <row r="213" spans="1:8">
      <c r="A213" s="250" t="s">
        <v>3204</v>
      </c>
      <c r="B213" s="250" t="s">
        <v>3205</v>
      </c>
      <c r="C213" s="251">
        <v>302</v>
      </c>
      <c r="D213" s="10"/>
      <c r="E213" s="10"/>
      <c r="F213" s="252">
        <v>3204511687</v>
      </c>
      <c r="G213" s="250"/>
      <c r="H213" s="250"/>
    </row>
    <row r="214" spans="1:8">
      <c r="A214" s="250" t="s">
        <v>3206</v>
      </c>
      <c r="B214" s="250" t="s">
        <v>3207</v>
      </c>
      <c r="C214" s="251">
        <v>503</v>
      </c>
      <c r="D214" s="10" t="s">
        <v>3208</v>
      </c>
      <c r="E214" s="10"/>
      <c r="F214" s="252">
        <v>3125507041</v>
      </c>
      <c r="G214" s="250"/>
      <c r="H214" s="250"/>
    </row>
    <row r="215" spans="1:8">
      <c r="A215" s="250" t="s">
        <v>3209</v>
      </c>
      <c r="B215" s="250" t="s">
        <v>3210</v>
      </c>
      <c r="C215" s="251">
        <v>401</v>
      </c>
      <c r="D215" s="10"/>
      <c r="E215" s="10"/>
      <c r="F215" s="252">
        <v>3142592789</v>
      </c>
      <c r="G215" s="250"/>
      <c r="H215" s="250"/>
    </row>
    <row r="216" spans="1:8">
      <c r="A216" s="250" t="s">
        <v>3211</v>
      </c>
      <c r="B216" s="250" t="s">
        <v>3212</v>
      </c>
      <c r="C216" s="251">
        <v>1001</v>
      </c>
      <c r="D216" s="10"/>
      <c r="E216" s="10"/>
      <c r="F216" s="252">
        <v>3115112222</v>
      </c>
      <c r="G216" s="250"/>
      <c r="H216" s="250"/>
    </row>
    <row r="217" spans="1:8">
      <c r="A217" s="250" t="s">
        <v>3213</v>
      </c>
      <c r="B217" s="250" t="s">
        <v>3214</v>
      </c>
      <c r="C217" s="251">
        <v>501</v>
      </c>
      <c r="D217" s="10" t="s">
        <v>3215</v>
      </c>
      <c r="E217" s="10"/>
      <c r="F217" s="252">
        <v>3102245555</v>
      </c>
      <c r="G217" s="250"/>
      <c r="H217" s="250"/>
    </row>
    <row r="218" spans="1:8">
      <c r="A218" s="250" t="s">
        <v>3216</v>
      </c>
      <c r="B218" s="250" t="s">
        <v>3217</v>
      </c>
      <c r="C218" s="251">
        <v>1210</v>
      </c>
      <c r="D218" s="10" t="s">
        <v>3218</v>
      </c>
      <c r="E218" s="10"/>
      <c r="F218" s="252">
        <v>3178533168</v>
      </c>
      <c r="G218" s="250"/>
      <c r="H218" s="250"/>
    </row>
    <row r="219" spans="1:8">
      <c r="A219" s="250" t="s">
        <v>3219</v>
      </c>
      <c r="B219" s="250" t="s">
        <v>3220</v>
      </c>
      <c r="C219" s="251">
        <v>404</v>
      </c>
      <c r="D219" s="10"/>
      <c r="E219" s="10"/>
      <c r="F219" s="258">
        <v>3209642920</v>
      </c>
      <c r="G219" s="250"/>
      <c r="H219" s="250"/>
    </row>
    <row r="220" spans="1:8">
      <c r="A220" s="250" t="s">
        <v>3221</v>
      </c>
      <c r="B220" s="250" t="s">
        <v>3222</v>
      </c>
      <c r="C220" s="251">
        <v>303</v>
      </c>
      <c r="D220" s="10" t="s">
        <v>3223</v>
      </c>
      <c r="E220" s="10"/>
      <c r="F220" s="252">
        <v>3103156554</v>
      </c>
      <c r="G220" s="250"/>
      <c r="H220" s="250"/>
    </row>
    <row r="221" spans="1:8">
      <c r="A221" s="250" t="s">
        <v>3224</v>
      </c>
      <c r="B221" s="250" t="s">
        <v>3225</v>
      </c>
      <c r="C221" s="251">
        <v>508</v>
      </c>
      <c r="D221" s="10" t="s">
        <v>3226</v>
      </c>
      <c r="E221" s="10"/>
      <c r="F221" s="252">
        <v>3004859633</v>
      </c>
      <c r="G221" s="250"/>
      <c r="H221" s="250"/>
    </row>
    <row r="222" spans="1:8">
      <c r="A222" s="250" t="s">
        <v>3227</v>
      </c>
      <c r="B222" s="250" t="s">
        <v>3228</v>
      </c>
      <c r="C222" s="251">
        <v>703</v>
      </c>
      <c r="D222" s="10" t="s">
        <v>3229</v>
      </c>
      <c r="E222" s="10"/>
      <c r="F222" s="252">
        <v>3156193106</v>
      </c>
      <c r="G222" s="250"/>
      <c r="H222" s="250"/>
    </row>
    <row r="223" spans="1:8">
      <c r="A223" s="250" t="s">
        <v>3230</v>
      </c>
      <c r="B223" s="250" t="s">
        <v>3231</v>
      </c>
      <c r="C223" s="251">
        <v>502</v>
      </c>
      <c r="D223" s="10" t="s">
        <v>3232</v>
      </c>
      <c r="E223" s="10"/>
      <c r="F223" s="252">
        <v>3186474359</v>
      </c>
      <c r="G223" s="250"/>
      <c r="H223" s="250"/>
    </row>
    <row r="224" spans="1:8">
      <c r="A224" s="250" t="s">
        <v>3233</v>
      </c>
      <c r="B224" s="250" t="s">
        <v>3234</v>
      </c>
      <c r="C224" s="251">
        <v>210</v>
      </c>
      <c r="D224" s="10"/>
      <c r="E224" s="10"/>
      <c r="F224" s="252">
        <v>3223592217</v>
      </c>
      <c r="G224" s="250"/>
      <c r="H224" s="250"/>
    </row>
    <row r="225" spans="1:8">
      <c r="A225" s="250" t="s">
        <v>3235</v>
      </c>
      <c r="B225" s="250" t="s">
        <v>3236</v>
      </c>
      <c r="C225" s="251">
        <v>202</v>
      </c>
      <c r="D225" s="10"/>
      <c r="E225" s="10"/>
      <c r="F225" s="252">
        <v>3125442870</v>
      </c>
      <c r="G225" s="250"/>
      <c r="H225" s="250"/>
    </row>
    <row r="226" spans="1:8">
      <c r="A226" s="250" t="s">
        <v>3237</v>
      </c>
      <c r="B226" s="250" t="s">
        <v>3238</v>
      </c>
      <c r="C226" s="251">
        <v>1107</v>
      </c>
      <c r="D226" s="10" t="s">
        <v>3239</v>
      </c>
      <c r="E226" s="10"/>
      <c r="F226" s="252">
        <v>3213293511</v>
      </c>
      <c r="G226" s="250"/>
      <c r="H226" s="250"/>
    </row>
    <row r="227" spans="1:8">
      <c r="A227" s="250" t="s">
        <v>3240</v>
      </c>
      <c r="B227" s="250" t="s">
        <v>3241</v>
      </c>
      <c r="C227" s="251" t="s">
        <v>3007</v>
      </c>
      <c r="D227" s="10"/>
      <c r="E227" s="10"/>
      <c r="F227" s="252">
        <v>3013040980</v>
      </c>
      <c r="G227" s="250"/>
      <c r="H227" s="250"/>
    </row>
    <row r="228" spans="1:8">
      <c r="A228" s="250" t="s">
        <v>3242</v>
      </c>
      <c r="B228" s="250" t="s">
        <v>3243</v>
      </c>
      <c r="C228" s="251">
        <v>602</v>
      </c>
      <c r="D228" s="10" t="s">
        <v>3244</v>
      </c>
      <c r="E228" s="10"/>
      <c r="F228" s="252">
        <v>3153962321</v>
      </c>
      <c r="G228" s="250"/>
      <c r="H228" s="250"/>
    </row>
    <row r="229" spans="1:8">
      <c r="A229" s="250" t="s">
        <v>3245</v>
      </c>
      <c r="B229" s="250" t="s">
        <v>3246</v>
      </c>
      <c r="C229" s="251">
        <v>501</v>
      </c>
      <c r="D229" s="10"/>
      <c r="E229" s="10"/>
      <c r="F229" s="252">
        <v>3222174629</v>
      </c>
      <c r="G229" s="250"/>
      <c r="H229" s="250"/>
    </row>
    <row r="230" spans="1:8">
      <c r="A230" s="250" t="s">
        <v>3247</v>
      </c>
      <c r="B230" s="250" t="s">
        <v>3248</v>
      </c>
      <c r="C230" s="251">
        <v>501</v>
      </c>
      <c r="D230" s="10"/>
      <c r="E230" s="10"/>
      <c r="F230" s="252">
        <v>3194209548</v>
      </c>
      <c r="G230" s="250"/>
      <c r="H230" s="250"/>
    </row>
    <row r="231" spans="1:8">
      <c r="A231" s="250" t="s">
        <v>3249</v>
      </c>
      <c r="B231" s="250" t="s">
        <v>3250</v>
      </c>
      <c r="C231" s="251">
        <v>803</v>
      </c>
      <c r="D231" s="10" t="s">
        <v>3129</v>
      </c>
      <c r="E231" s="10"/>
      <c r="F231" s="252">
        <v>3174423402</v>
      </c>
      <c r="G231" s="250"/>
      <c r="H231" s="250"/>
    </row>
    <row r="232" spans="1:8">
      <c r="A232" s="250" t="s">
        <v>3251</v>
      </c>
      <c r="B232" s="250" t="s">
        <v>3252</v>
      </c>
      <c r="C232" s="251">
        <v>601</v>
      </c>
      <c r="D232" s="10" t="s">
        <v>3253</v>
      </c>
      <c r="E232" s="10"/>
      <c r="F232" s="252">
        <v>3138892115</v>
      </c>
      <c r="G232" s="250"/>
      <c r="H232" s="250"/>
    </row>
    <row r="233" spans="1:8">
      <c r="A233" s="250" t="s">
        <v>3254</v>
      </c>
      <c r="B233" s="250" t="s">
        <v>3255</v>
      </c>
      <c r="C233" s="251">
        <v>503</v>
      </c>
      <c r="D233" s="10"/>
      <c r="E233" s="10"/>
      <c r="F233" s="252">
        <v>3107683232</v>
      </c>
      <c r="G233" s="250"/>
      <c r="H233" s="250"/>
    </row>
    <row r="234" spans="1:8">
      <c r="A234" s="250" t="s">
        <v>3256</v>
      </c>
      <c r="B234" s="250" t="s">
        <v>3257</v>
      </c>
      <c r="C234" s="251">
        <v>205</v>
      </c>
      <c r="D234" s="10" t="s">
        <v>3258</v>
      </c>
      <c r="E234" s="10"/>
      <c r="F234" s="252">
        <v>3227478249</v>
      </c>
      <c r="G234" s="250"/>
      <c r="H234" s="250"/>
    </row>
    <row r="235" spans="1:8">
      <c r="A235" s="250" t="s">
        <v>3259</v>
      </c>
      <c r="B235" s="250" t="s">
        <v>3260</v>
      </c>
      <c r="C235" s="251">
        <v>306</v>
      </c>
      <c r="D235" s="10"/>
      <c r="E235" s="10"/>
      <c r="F235" s="252">
        <v>3017886720</v>
      </c>
      <c r="G235" s="250"/>
      <c r="H235" s="250"/>
    </row>
    <row r="236" spans="1:8">
      <c r="A236" s="250" t="s">
        <v>3261</v>
      </c>
      <c r="B236" s="250" t="s">
        <v>3262</v>
      </c>
      <c r="C236" s="251">
        <v>204</v>
      </c>
      <c r="D236" s="10" t="s">
        <v>3263</v>
      </c>
      <c r="E236" s="10"/>
      <c r="F236" s="252">
        <v>3107906242</v>
      </c>
      <c r="G236" s="259"/>
      <c r="H236" s="259"/>
    </row>
    <row r="237" spans="1:8">
      <c r="A237" s="250" t="s">
        <v>3264</v>
      </c>
      <c r="B237" s="250" t="s">
        <v>3265</v>
      </c>
      <c r="C237" s="251">
        <v>203</v>
      </c>
      <c r="D237" s="10" t="s">
        <v>3266</v>
      </c>
      <c r="E237" s="10"/>
      <c r="F237" s="252">
        <v>3105702613</v>
      </c>
      <c r="G237" s="250"/>
      <c r="H237" s="250"/>
    </row>
    <row r="238" spans="1:8">
      <c r="A238" s="250" t="s">
        <v>3267</v>
      </c>
      <c r="B238" s="250" t="s">
        <v>3268</v>
      </c>
      <c r="C238" s="251">
        <v>205</v>
      </c>
      <c r="D238" s="10" t="s">
        <v>3269</v>
      </c>
      <c r="E238" s="10"/>
      <c r="F238" s="252">
        <v>3004910510</v>
      </c>
      <c r="G238" s="250"/>
      <c r="H238" s="250"/>
    </row>
    <row r="239" spans="1:8">
      <c r="A239" s="250" t="s">
        <v>3270</v>
      </c>
      <c r="B239" s="250" t="s">
        <v>3271</v>
      </c>
      <c r="C239" s="251">
        <v>307</v>
      </c>
      <c r="D239" s="10"/>
      <c r="E239" s="10"/>
      <c r="F239" s="252">
        <v>3053128816</v>
      </c>
      <c r="G239" s="250"/>
      <c r="H239" s="250"/>
    </row>
    <row r="240" spans="1:8">
      <c r="A240" s="250" t="s">
        <v>3272</v>
      </c>
      <c r="B240" s="250" t="s">
        <v>3273</v>
      </c>
      <c r="C240" s="251">
        <v>402</v>
      </c>
      <c r="D240" s="10"/>
      <c r="E240" s="10"/>
      <c r="F240" s="252">
        <v>3115096826</v>
      </c>
      <c r="G240" s="250"/>
      <c r="H240" s="250"/>
    </row>
    <row r="241" spans="1:8">
      <c r="A241" s="250" t="s">
        <v>3274</v>
      </c>
      <c r="B241" s="250" t="s">
        <v>3275</v>
      </c>
      <c r="C241" s="251" t="s">
        <v>3007</v>
      </c>
      <c r="D241" s="10"/>
      <c r="E241" s="10"/>
      <c r="F241" s="252">
        <v>3208179955</v>
      </c>
      <c r="G241" s="250"/>
      <c r="H241" s="250"/>
    </row>
    <row r="242" spans="1:8">
      <c r="A242" s="250" t="s">
        <v>3276</v>
      </c>
      <c r="B242" s="250" t="s">
        <v>3277</v>
      </c>
      <c r="C242" s="251">
        <v>301</v>
      </c>
      <c r="D242" s="10"/>
      <c r="E242" s="10"/>
      <c r="F242" s="252">
        <v>3153388298</v>
      </c>
      <c r="G242" s="250"/>
      <c r="H242" s="250"/>
    </row>
    <row r="243" spans="1:8">
      <c r="A243" s="250" t="s">
        <v>3278</v>
      </c>
      <c r="B243" s="250" t="s">
        <v>3279</v>
      </c>
      <c r="C243" s="251">
        <v>703</v>
      </c>
      <c r="D243" s="10"/>
      <c r="E243" s="10"/>
      <c r="F243" s="252">
        <v>3212100907</v>
      </c>
      <c r="G243" s="250"/>
      <c r="H243" s="250"/>
    </row>
    <row r="244" spans="1:8">
      <c r="A244" s="250" t="s">
        <v>3280</v>
      </c>
      <c r="B244" s="250" t="s">
        <v>3281</v>
      </c>
      <c r="C244" s="251">
        <v>102</v>
      </c>
      <c r="D244" s="10" t="s">
        <v>3282</v>
      </c>
      <c r="E244" s="10"/>
      <c r="F244" s="252">
        <v>3124498946</v>
      </c>
      <c r="G244" s="250"/>
      <c r="H244" s="250"/>
    </row>
    <row r="245" spans="1:8">
      <c r="A245" s="250" t="s">
        <v>3283</v>
      </c>
      <c r="B245" s="250" t="s">
        <v>3284</v>
      </c>
      <c r="C245" s="251">
        <v>208</v>
      </c>
      <c r="D245" s="10"/>
      <c r="E245" s="10"/>
      <c r="F245" s="252">
        <v>3152636925</v>
      </c>
      <c r="G245" s="250"/>
      <c r="H245" s="250"/>
    </row>
    <row r="246" spans="1:8">
      <c r="A246" s="256" t="s">
        <v>3285</v>
      </c>
      <c r="B246" s="250" t="s">
        <v>3286</v>
      </c>
      <c r="C246" s="251">
        <v>408</v>
      </c>
      <c r="D246" s="10"/>
      <c r="E246" s="10"/>
      <c r="F246" s="252">
        <v>3132634691</v>
      </c>
      <c r="G246" s="250"/>
      <c r="H246" s="250"/>
    </row>
    <row r="247" spans="1:8">
      <c r="A247" s="256" t="s">
        <v>3287</v>
      </c>
      <c r="B247" s="250" t="s">
        <v>3288</v>
      </c>
      <c r="C247" s="251">
        <v>503</v>
      </c>
      <c r="D247" s="260" t="s">
        <v>3289</v>
      </c>
      <c r="E247" s="10"/>
      <c r="F247" s="252">
        <v>3153888898</v>
      </c>
      <c r="G247" s="250"/>
      <c r="H247" s="250"/>
    </row>
    <row r="248" spans="1:8">
      <c r="A248" s="250" t="s">
        <v>3290</v>
      </c>
      <c r="B248" s="250" t="s">
        <v>3291</v>
      </c>
      <c r="C248" s="251">
        <v>310</v>
      </c>
      <c r="D248" s="10" t="s">
        <v>3292</v>
      </c>
      <c r="E248" s="10"/>
      <c r="F248" s="252">
        <v>3103137585</v>
      </c>
      <c r="G248" s="250"/>
      <c r="H248" s="250"/>
    </row>
    <row r="249" spans="1:8">
      <c r="A249" s="250" t="s">
        <v>3293</v>
      </c>
      <c r="B249" s="250" t="s">
        <v>3294</v>
      </c>
      <c r="C249" s="251">
        <v>304</v>
      </c>
      <c r="D249" s="10"/>
      <c r="E249" s="10"/>
      <c r="F249" s="252">
        <v>3125851665</v>
      </c>
      <c r="G249" s="250"/>
      <c r="H249" s="250"/>
    </row>
    <row r="250" spans="1:8">
      <c r="A250" s="250" t="s">
        <v>3295</v>
      </c>
      <c r="B250" s="250" t="s">
        <v>3296</v>
      </c>
      <c r="C250" s="251">
        <v>401</v>
      </c>
      <c r="D250" s="10"/>
      <c r="E250" s="10"/>
      <c r="F250" s="252">
        <v>3118539974</v>
      </c>
      <c r="G250" s="250"/>
      <c r="H250" s="250"/>
    </row>
    <row r="251" spans="1:8">
      <c r="A251" s="256" t="s">
        <v>3297</v>
      </c>
      <c r="B251" s="250" t="s">
        <v>3298</v>
      </c>
      <c r="C251" s="251" t="s">
        <v>3007</v>
      </c>
      <c r="D251" s="10"/>
      <c r="E251" s="10"/>
      <c r="F251" s="252">
        <v>3132939172</v>
      </c>
      <c r="G251" s="250"/>
      <c r="H251" s="250"/>
    </row>
    <row r="252" spans="1:8">
      <c r="A252" s="250" t="s">
        <v>3299</v>
      </c>
      <c r="B252" s="250" t="s">
        <v>3300</v>
      </c>
      <c r="C252" s="251">
        <v>204</v>
      </c>
      <c r="D252" s="10"/>
      <c r="E252" s="10"/>
      <c r="F252" s="252">
        <v>3123621942</v>
      </c>
      <c r="G252" s="250"/>
      <c r="H252" s="250"/>
    </row>
    <row r="253" spans="1:8">
      <c r="A253" s="250" t="s">
        <v>3301</v>
      </c>
      <c r="B253" s="250" t="s">
        <v>3302</v>
      </c>
      <c r="C253" s="251">
        <v>803</v>
      </c>
      <c r="D253" s="10"/>
      <c r="E253" s="10"/>
      <c r="F253" s="252">
        <v>3016434531</v>
      </c>
      <c r="G253" s="250"/>
      <c r="H253" s="250"/>
    </row>
    <row r="254" spans="1:8">
      <c r="A254" s="250" t="s">
        <v>3303</v>
      </c>
      <c r="B254" s="250" t="s">
        <v>3304</v>
      </c>
      <c r="C254" s="251">
        <v>609</v>
      </c>
      <c r="D254" s="10"/>
      <c r="E254" s="10"/>
      <c r="F254" s="252">
        <v>3203901223</v>
      </c>
      <c r="G254" s="250"/>
      <c r="H254" s="250"/>
    </row>
    <row r="255" spans="1:8">
      <c r="A255" s="250" t="s">
        <v>3305</v>
      </c>
      <c r="B255" s="250" t="s">
        <v>3306</v>
      </c>
      <c r="C255" s="251">
        <v>501</v>
      </c>
      <c r="D255" s="10" t="s">
        <v>3307</v>
      </c>
      <c r="E255" s="10"/>
      <c r="F255" s="252">
        <v>3115071045</v>
      </c>
      <c r="G255" s="250"/>
      <c r="H255" s="250"/>
    </row>
    <row r="256" spans="1:8">
      <c r="A256" s="250" t="s">
        <v>3308</v>
      </c>
      <c r="B256" s="250" t="s">
        <v>3309</v>
      </c>
      <c r="C256" s="251">
        <v>701</v>
      </c>
      <c r="D256" s="10"/>
      <c r="E256" s="10"/>
      <c r="F256" s="252">
        <v>3174407849</v>
      </c>
      <c r="G256" s="250"/>
      <c r="H256" s="250"/>
    </row>
    <row r="257" spans="1:8">
      <c r="A257" s="256" t="s">
        <v>3310</v>
      </c>
      <c r="B257" s="250" t="s">
        <v>3311</v>
      </c>
      <c r="C257" s="251">
        <v>404</v>
      </c>
      <c r="D257" s="10"/>
      <c r="E257" s="10"/>
      <c r="F257" s="252">
        <v>3043830550</v>
      </c>
      <c r="G257" s="250"/>
      <c r="H257" s="250"/>
    </row>
    <row r="258" spans="1:8">
      <c r="A258" s="250" t="s">
        <v>3312</v>
      </c>
      <c r="B258" s="250" t="s">
        <v>3313</v>
      </c>
      <c r="C258" s="251">
        <v>204</v>
      </c>
      <c r="D258" s="10" t="s">
        <v>3314</v>
      </c>
      <c r="E258" s="10"/>
      <c r="F258" s="252">
        <v>3213402650</v>
      </c>
      <c r="G258" s="250"/>
      <c r="H258" s="250"/>
    </row>
    <row r="259" spans="1:8">
      <c r="A259" s="250" t="s">
        <v>3315</v>
      </c>
      <c r="B259" s="250" t="s">
        <v>3316</v>
      </c>
      <c r="C259" s="251">
        <v>701</v>
      </c>
      <c r="D259" s="10" t="s">
        <v>2907</v>
      </c>
      <c r="E259" s="10"/>
      <c r="F259" s="252">
        <v>3203283728</v>
      </c>
      <c r="G259" s="250"/>
      <c r="H259" s="250"/>
    </row>
    <row r="260" spans="1:8">
      <c r="A260" s="250" t="s">
        <v>3317</v>
      </c>
      <c r="B260" s="250" t="s">
        <v>3318</v>
      </c>
      <c r="C260" s="251">
        <v>305</v>
      </c>
      <c r="D260" s="10" t="s">
        <v>3319</v>
      </c>
      <c r="E260" s="10"/>
      <c r="F260" s="252">
        <v>3148880338</v>
      </c>
      <c r="G260" s="250"/>
      <c r="H260" s="250"/>
    </row>
    <row r="261" spans="1:8">
      <c r="A261" s="250" t="s">
        <v>3320</v>
      </c>
      <c r="B261" s="250" t="s">
        <v>3321</v>
      </c>
      <c r="C261" s="251">
        <v>112</v>
      </c>
      <c r="D261" s="10" t="s">
        <v>3322</v>
      </c>
      <c r="E261" s="10"/>
      <c r="F261" s="252">
        <v>3156482958</v>
      </c>
      <c r="G261" s="250"/>
      <c r="H261" s="250"/>
    </row>
    <row r="262" spans="1:8">
      <c r="A262" s="250" t="s">
        <v>3323</v>
      </c>
      <c r="B262" s="250" t="s">
        <v>3324</v>
      </c>
      <c r="C262" s="251">
        <v>706</v>
      </c>
      <c r="D262" s="10"/>
      <c r="E262" s="10"/>
      <c r="F262" s="252">
        <v>3044145687</v>
      </c>
      <c r="G262" s="250"/>
      <c r="H262" s="250"/>
    </row>
    <row r="263" spans="1:8">
      <c r="A263" s="250" t="s">
        <v>3325</v>
      </c>
      <c r="B263" s="250" t="s">
        <v>3326</v>
      </c>
      <c r="C263" s="251">
        <v>305</v>
      </c>
      <c r="D263" s="10"/>
      <c r="E263" s="10"/>
      <c r="F263" s="252">
        <v>3103039557</v>
      </c>
      <c r="G263" s="250"/>
      <c r="H263" s="250"/>
    </row>
    <row r="264" spans="1:8">
      <c r="A264" s="250" t="s">
        <v>3327</v>
      </c>
      <c r="B264" s="250" t="s">
        <v>3328</v>
      </c>
      <c r="C264" s="251">
        <v>102</v>
      </c>
      <c r="D264" s="10" t="s">
        <v>3329</v>
      </c>
      <c r="E264" s="10"/>
      <c r="F264" s="252">
        <v>3118980807</v>
      </c>
      <c r="G264" s="250"/>
      <c r="H264" s="250"/>
    </row>
    <row r="265" spans="1:8">
      <c r="A265" s="250" t="s">
        <v>3330</v>
      </c>
      <c r="B265" s="250" t="s">
        <v>3331</v>
      </c>
      <c r="C265" s="251">
        <v>101</v>
      </c>
      <c r="D265" s="10" t="s">
        <v>3332</v>
      </c>
      <c r="E265" s="10"/>
      <c r="F265" s="252">
        <v>3108098956</v>
      </c>
      <c r="G265" s="250"/>
      <c r="H265" s="250"/>
    </row>
    <row r="266" spans="1:8">
      <c r="A266" s="256" t="s">
        <v>3333</v>
      </c>
      <c r="B266" s="250" t="s">
        <v>3334</v>
      </c>
      <c r="C266" s="251">
        <v>202</v>
      </c>
      <c r="D266" s="10"/>
      <c r="E266" s="10"/>
      <c r="F266" s="252">
        <v>3168746413</v>
      </c>
      <c r="G266" s="250"/>
      <c r="H266" s="250"/>
    </row>
    <row r="267" spans="1:8">
      <c r="A267" s="250" t="s">
        <v>3335</v>
      </c>
      <c r="B267" s="250" t="s">
        <v>2856</v>
      </c>
      <c r="C267" s="251">
        <v>801</v>
      </c>
      <c r="D267" s="10"/>
      <c r="E267" s="10"/>
      <c r="F267" s="252">
        <v>3102689261</v>
      </c>
      <c r="G267" s="250"/>
      <c r="H267" s="250"/>
    </row>
    <row r="268" spans="1:8">
      <c r="A268" s="256" t="s">
        <v>3336</v>
      </c>
      <c r="B268" s="250" t="s">
        <v>3337</v>
      </c>
      <c r="C268" s="251">
        <v>422</v>
      </c>
      <c r="D268" s="10" t="s">
        <v>3338</v>
      </c>
      <c r="E268" s="10"/>
      <c r="F268" s="252">
        <v>3175051057</v>
      </c>
      <c r="G268" s="250"/>
      <c r="H268" s="250"/>
    </row>
    <row r="269" spans="1:8">
      <c r="A269" s="250" t="s">
        <v>3339</v>
      </c>
      <c r="B269" s="250" t="s">
        <v>3340</v>
      </c>
      <c r="C269" s="251">
        <v>501</v>
      </c>
      <c r="D269" s="10"/>
      <c r="E269" s="10"/>
      <c r="F269" s="252">
        <v>3103054761</v>
      </c>
      <c r="G269" s="250"/>
      <c r="H269" s="250"/>
    </row>
    <row r="270" spans="1:8">
      <c r="A270" s="250" t="s">
        <v>3341</v>
      </c>
      <c r="B270" s="250" t="s">
        <v>3342</v>
      </c>
      <c r="C270" s="251" t="s">
        <v>3026</v>
      </c>
      <c r="D270" s="10" t="s">
        <v>3343</v>
      </c>
      <c r="E270" s="10"/>
      <c r="F270" s="252">
        <v>3212104190</v>
      </c>
      <c r="G270" s="250"/>
      <c r="H270" s="250"/>
    </row>
    <row r="271" spans="1:8">
      <c r="A271" s="250" t="s">
        <v>3344</v>
      </c>
      <c r="B271" s="250" t="s">
        <v>3345</v>
      </c>
      <c r="C271" s="251">
        <v>602</v>
      </c>
      <c r="D271" s="10"/>
      <c r="E271" s="10"/>
      <c r="F271" s="252">
        <v>3168957110</v>
      </c>
      <c r="G271" s="250"/>
      <c r="H271" s="250"/>
    </row>
    <row r="272" spans="1:8">
      <c r="A272" s="250" t="s">
        <v>3346</v>
      </c>
      <c r="B272" s="250" t="s">
        <v>3347</v>
      </c>
      <c r="C272" s="251">
        <v>701</v>
      </c>
      <c r="D272" s="10" t="s">
        <v>3348</v>
      </c>
      <c r="E272" s="10"/>
      <c r="F272" s="252">
        <v>3204900145</v>
      </c>
      <c r="G272" s="250"/>
      <c r="H272" s="250"/>
    </row>
    <row r="273" spans="1:8">
      <c r="A273" s="250" t="s">
        <v>3349</v>
      </c>
      <c r="B273" s="250" t="s">
        <v>3350</v>
      </c>
      <c r="C273" s="251">
        <v>203</v>
      </c>
      <c r="D273" s="10"/>
      <c r="E273" s="10"/>
      <c r="F273" s="252">
        <v>3164740993</v>
      </c>
      <c r="G273" s="250"/>
      <c r="H273" s="250"/>
    </row>
    <row r="274" spans="1:8">
      <c r="A274" s="250" t="s">
        <v>3351</v>
      </c>
      <c r="B274" s="250" t="s">
        <v>3352</v>
      </c>
      <c r="C274" s="251">
        <v>102</v>
      </c>
      <c r="D274" s="10" t="s">
        <v>3353</v>
      </c>
      <c r="E274" s="10"/>
      <c r="F274" s="252">
        <v>3242969997</v>
      </c>
      <c r="G274" s="250"/>
      <c r="H274" s="250"/>
    </row>
    <row r="275" spans="1:8">
      <c r="A275" s="250" t="s">
        <v>3354</v>
      </c>
      <c r="B275" s="250" t="s">
        <v>3355</v>
      </c>
      <c r="C275" s="251" t="s">
        <v>3007</v>
      </c>
      <c r="D275" s="10" t="s">
        <v>3356</v>
      </c>
      <c r="E275" s="10"/>
      <c r="F275" s="252">
        <v>3176667227</v>
      </c>
      <c r="G275" s="250"/>
      <c r="H275" s="250"/>
    </row>
    <row r="276" spans="1:8">
      <c r="A276" s="250" t="s">
        <v>3357</v>
      </c>
      <c r="B276" s="250" t="s">
        <v>3358</v>
      </c>
      <c r="C276" s="251">
        <v>602</v>
      </c>
      <c r="D276" s="10" t="s">
        <v>3187</v>
      </c>
      <c r="E276" s="10"/>
      <c r="F276" s="252">
        <v>3163179563</v>
      </c>
      <c r="G276" s="250"/>
      <c r="H276" s="250"/>
    </row>
    <row r="277" spans="1:8">
      <c r="A277" s="256" t="s">
        <v>3359</v>
      </c>
      <c r="B277" s="250" t="s">
        <v>3360</v>
      </c>
      <c r="C277" s="251">
        <v>204</v>
      </c>
      <c r="D277" s="10"/>
      <c r="E277" s="10"/>
      <c r="F277" s="252">
        <v>3112010357</v>
      </c>
      <c r="G277" s="250"/>
      <c r="H277" s="250"/>
    </row>
    <row r="278" spans="1:8">
      <c r="A278" s="250" t="s">
        <v>3361</v>
      </c>
      <c r="B278" s="250" t="s">
        <v>3362</v>
      </c>
      <c r="C278" s="251" t="s">
        <v>3007</v>
      </c>
      <c r="D278" s="10"/>
      <c r="E278" s="10"/>
      <c r="F278" s="252">
        <v>3118448717</v>
      </c>
      <c r="G278" s="250"/>
      <c r="H278" s="250"/>
    </row>
    <row r="279" spans="1:8">
      <c r="A279" s="250" t="s">
        <v>3363</v>
      </c>
      <c r="B279" s="250" t="s">
        <v>3364</v>
      </c>
      <c r="C279" s="251">
        <v>501</v>
      </c>
      <c r="D279" s="10"/>
      <c r="E279" s="10"/>
      <c r="F279" s="252">
        <v>3007419844</v>
      </c>
      <c r="G279" s="250"/>
      <c r="H279" s="250"/>
    </row>
    <row r="280" spans="1:8">
      <c r="A280" s="250" t="s">
        <v>3365</v>
      </c>
      <c r="B280" s="250" t="s">
        <v>3366</v>
      </c>
      <c r="C280" s="251">
        <v>201</v>
      </c>
      <c r="D280" s="10"/>
      <c r="E280" s="10"/>
      <c r="F280" s="252">
        <v>3102111272</v>
      </c>
      <c r="G280" s="250"/>
      <c r="H280" s="250"/>
    </row>
    <row r="281" spans="1:8">
      <c r="A281" s="250" t="s">
        <v>3367</v>
      </c>
      <c r="B281" s="250" t="s">
        <v>3368</v>
      </c>
      <c r="C281" s="251">
        <v>1104</v>
      </c>
      <c r="D281" s="10" t="s">
        <v>3369</v>
      </c>
      <c r="E281" s="10"/>
      <c r="F281" s="252">
        <v>3184951227</v>
      </c>
      <c r="G281" s="250"/>
      <c r="H281" s="250"/>
    </row>
    <row r="282" spans="1:8">
      <c r="A282" s="250" t="s">
        <v>3370</v>
      </c>
      <c r="B282" s="250" t="s">
        <v>3371</v>
      </c>
      <c r="C282" s="251">
        <v>201</v>
      </c>
      <c r="D282" s="10"/>
      <c r="E282" s="10"/>
      <c r="F282" s="252">
        <v>3112388241</v>
      </c>
      <c r="G282" s="250"/>
      <c r="H282" s="250"/>
    </row>
    <row r="283" spans="1:8">
      <c r="A283" s="250" t="s">
        <v>3372</v>
      </c>
      <c r="B283" s="250" t="s">
        <v>3373</v>
      </c>
      <c r="C283" s="251">
        <v>402</v>
      </c>
      <c r="D283" s="10"/>
      <c r="E283" s="10"/>
      <c r="F283" s="252">
        <v>3003255885</v>
      </c>
      <c r="G283" s="250"/>
      <c r="H283" s="250"/>
    </row>
    <row r="284" spans="1:8">
      <c r="A284" s="256" t="s">
        <v>3374</v>
      </c>
      <c r="B284" s="250" t="s">
        <v>3375</v>
      </c>
      <c r="C284" s="251">
        <v>515</v>
      </c>
      <c r="D284" s="10"/>
      <c r="E284" s="10"/>
      <c r="F284" s="252">
        <v>3102469603</v>
      </c>
      <c r="G284" s="250"/>
      <c r="H284" s="250"/>
    </row>
    <row r="285" spans="1:8">
      <c r="A285" s="250" t="s">
        <v>3376</v>
      </c>
      <c r="B285" s="250" t="s">
        <v>3377</v>
      </c>
      <c r="C285" s="251">
        <v>202</v>
      </c>
      <c r="D285" s="10" t="s">
        <v>3378</v>
      </c>
      <c r="E285" s="10"/>
      <c r="F285" s="252">
        <v>3165291809</v>
      </c>
      <c r="G285" s="250"/>
      <c r="H285" s="250"/>
    </row>
    <row r="286" spans="1:8">
      <c r="A286" s="250" t="s">
        <v>3379</v>
      </c>
      <c r="B286" s="250" t="s">
        <v>3380</v>
      </c>
      <c r="C286" s="251">
        <v>805</v>
      </c>
      <c r="D286" s="10" t="s">
        <v>3381</v>
      </c>
      <c r="E286" s="10"/>
      <c r="F286" s="252">
        <v>3183662077</v>
      </c>
      <c r="G286" s="250"/>
      <c r="H286" s="250"/>
    </row>
    <row r="287" spans="1:8">
      <c r="A287" s="256" t="s">
        <v>3382</v>
      </c>
      <c r="B287" s="250" t="s">
        <v>3383</v>
      </c>
      <c r="C287" s="251" t="s">
        <v>3384</v>
      </c>
      <c r="D287" s="10" t="s">
        <v>3384</v>
      </c>
      <c r="E287" s="10"/>
      <c r="F287" s="252">
        <v>3138814106</v>
      </c>
      <c r="G287" s="250"/>
      <c r="H287" s="250"/>
    </row>
    <row r="288" spans="1:8">
      <c r="A288" s="256" t="s">
        <v>3385</v>
      </c>
      <c r="B288" s="250" t="s">
        <v>3386</v>
      </c>
      <c r="C288" s="251">
        <v>104</v>
      </c>
      <c r="D288" s="10" t="s">
        <v>3387</v>
      </c>
      <c r="E288" s="10"/>
      <c r="F288" s="252">
        <v>3209163759</v>
      </c>
      <c r="G288" s="250"/>
      <c r="H288" s="250"/>
    </row>
    <row r="289" spans="1:8">
      <c r="A289" s="250" t="s">
        <v>3388</v>
      </c>
      <c r="B289" s="250" t="s">
        <v>3389</v>
      </c>
      <c r="C289" s="251" t="s">
        <v>3007</v>
      </c>
      <c r="D289" s="10"/>
      <c r="E289" s="10"/>
      <c r="F289" s="252">
        <v>3107962911</v>
      </c>
      <c r="G289" s="250"/>
      <c r="H289" s="250"/>
    </row>
    <row r="290" spans="1:8">
      <c r="A290" s="250" t="s">
        <v>3390</v>
      </c>
      <c r="B290" s="250" t="s">
        <v>3286</v>
      </c>
      <c r="C290" s="251">
        <v>304</v>
      </c>
      <c r="D290" s="10" t="s">
        <v>3391</v>
      </c>
      <c r="E290" s="10"/>
      <c r="F290" s="252">
        <v>3188422850</v>
      </c>
      <c r="G290" s="250"/>
      <c r="H290" s="250"/>
    </row>
    <row r="291" spans="1:8">
      <c r="A291" s="256" t="s">
        <v>3392</v>
      </c>
      <c r="B291" s="250" t="s">
        <v>3393</v>
      </c>
      <c r="C291" s="251">
        <v>904</v>
      </c>
      <c r="D291" s="10" t="s">
        <v>2907</v>
      </c>
      <c r="E291" s="10"/>
      <c r="F291" s="252">
        <v>3118083056</v>
      </c>
      <c r="G291" s="250"/>
      <c r="H291" s="250"/>
    </row>
    <row r="292" spans="1:8">
      <c r="A292" s="250" t="s">
        <v>3394</v>
      </c>
      <c r="B292" s="250" t="s">
        <v>3395</v>
      </c>
      <c r="C292" s="251"/>
      <c r="D292" s="10"/>
      <c r="E292" s="10"/>
      <c r="F292" s="252">
        <v>3016062837</v>
      </c>
      <c r="G292" s="250"/>
      <c r="H292" s="250"/>
    </row>
    <row r="293" spans="1:8">
      <c r="A293" s="250" t="s">
        <v>3396</v>
      </c>
      <c r="B293" s="250" t="s">
        <v>3397</v>
      </c>
      <c r="C293" s="251" t="s">
        <v>3007</v>
      </c>
      <c r="D293" s="10" t="s">
        <v>3398</v>
      </c>
      <c r="E293" s="10"/>
      <c r="F293" s="252">
        <v>3044621347</v>
      </c>
      <c r="G293" s="250"/>
      <c r="H293" s="250"/>
    </row>
    <row r="294" spans="1:8">
      <c r="A294" s="250" t="s">
        <v>3399</v>
      </c>
      <c r="B294" s="250" t="s">
        <v>3400</v>
      </c>
      <c r="C294" s="251">
        <v>303</v>
      </c>
      <c r="D294" s="10" t="s">
        <v>3401</v>
      </c>
      <c r="E294" s="10"/>
      <c r="F294" s="252">
        <v>3155472055</v>
      </c>
      <c r="G294" s="250"/>
      <c r="H294" s="250"/>
    </row>
    <row r="295" spans="1:8">
      <c r="A295" s="256" t="s">
        <v>3402</v>
      </c>
      <c r="B295" s="250" t="s">
        <v>3403</v>
      </c>
      <c r="C295" s="251">
        <v>408</v>
      </c>
      <c r="D295" s="10" t="s">
        <v>3404</v>
      </c>
      <c r="E295" s="10"/>
      <c r="F295" s="252">
        <v>3223514811</v>
      </c>
      <c r="G295" s="250"/>
      <c r="H295" s="250"/>
    </row>
    <row r="296" spans="1:8">
      <c r="A296" s="250" t="s">
        <v>3405</v>
      </c>
      <c r="B296" s="250" t="s">
        <v>3406</v>
      </c>
      <c r="C296" s="251">
        <v>306</v>
      </c>
      <c r="D296" s="10" t="s">
        <v>3407</v>
      </c>
      <c r="E296" s="10"/>
      <c r="F296" s="252">
        <v>3016667161</v>
      </c>
      <c r="G296" s="250"/>
      <c r="H296" s="250"/>
    </row>
    <row r="297" spans="1:8">
      <c r="A297" s="250" t="s">
        <v>3408</v>
      </c>
      <c r="B297" s="250" t="s">
        <v>3409</v>
      </c>
      <c r="C297" s="251">
        <v>201</v>
      </c>
      <c r="D297" s="10"/>
      <c r="E297" s="10"/>
      <c r="F297" s="252">
        <v>3153531008</v>
      </c>
      <c r="G297" s="250"/>
      <c r="H297" s="250"/>
    </row>
    <row r="298" spans="1:8">
      <c r="A298" s="250" t="s">
        <v>3410</v>
      </c>
      <c r="B298" s="250" t="s">
        <v>3411</v>
      </c>
      <c r="C298" s="251">
        <v>30</v>
      </c>
      <c r="D298" s="10" t="s">
        <v>3412</v>
      </c>
      <c r="E298" s="10"/>
      <c r="F298" s="252">
        <v>3115141998</v>
      </c>
      <c r="G298" s="250"/>
      <c r="H298" s="250"/>
    </row>
    <row r="299" spans="1:8">
      <c r="A299" s="250" t="s">
        <v>3413</v>
      </c>
      <c r="B299" s="250" t="s">
        <v>3414</v>
      </c>
      <c r="C299" s="251" t="s">
        <v>3415</v>
      </c>
      <c r="D299" s="10" t="s">
        <v>3416</v>
      </c>
      <c r="E299" s="10"/>
      <c r="F299" s="252">
        <v>3103003955</v>
      </c>
      <c r="G299" s="250"/>
      <c r="H299" s="250"/>
    </row>
    <row r="300" spans="1:8">
      <c r="A300" s="250" t="s">
        <v>3417</v>
      </c>
      <c r="B300" s="250" t="s">
        <v>3418</v>
      </c>
      <c r="C300" s="251">
        <v>604</v>
      </c>
      <c r="D300" s="10" t="s">
        <v>2762</v>
      </c>
      <c r="E300" s="10"/>
      <c r="F300" s="252">
        <v>3012511800</v>
      </c>
      <c r="G300" s="250"/>
      <c r="H300" s="250"/>
    </row>
    <row r="301" spans="1:8">
      <c r="A301" s="250" t="s">
        <v>3419</v>
      </c>
      <c r="B301" s="250" t="s">
        <v>3420</v>
      </c>
      <c r="C301" s="251">
        <v>302</v>
      </c>
      <c r="D301" s="10" t="s">
        <v>3421</v>
      </c>
      <c r="E301" s="10"/>
      <c r="F301" s="252">
        <v>3153187865</v>
      </c>
      <c r="G301" s="250"/>
      <c r="H301" s="250"/>
    </row>
    <row r="302" spans="1:8">
      <c r="A302" s="250" t="s">
        <v>3422</v>
      </c>
      <c r="B302" s="250" t="s">
        <v>3423</v>
      </c>
      <c r="C302" s="251">
        <v>901</v>
      </c>
      <c r="D302" s="10"/>
      <c r="E302" s="10"/>
      <c r="F302" s="252">
        <v>3102904432</v>
      </c>
      <c r="G302" s="250"/>
      <c r="H302" s="250"/>
    </row>
    <row r="303" spans="1:8">
      <c r="A303" s="250" t="s">
        <v>3424</v>
      </c>
      <c r="B303" s="250" t="s">
        <v>3425</v>
      </c>
      <c r="C303" s="251" t="s">
        <v>3426</v>
      </c>
      <c r="D303" s="10" t="s">
        <v>3427</v>
      </c>
      <c r="E303" s="10"/>
      <c r="F303" s="252">
        <v>3202732607</v>
      </c>
      <c r="G303" s="250"/>
      <c r="H303" s="250"/>
    </row>
    <row r="304" spans="1:8">
      <c r="A304" s="250" t="s">
        <v>3428</v>
      </c>
      <c r="B304" s="250" t="s">
        <v>3429</v>
      </c>
      <c r="C304" s="251" t="s">
        <v>3430</v>
      </c>
      <c r="D304" s="10" t="s">
        <v>3431</v>
      </c>
      <c r="E304" s="10"/>
      <c r="F304" s="252">
        <v>3118769083</v>
      </c>
      <c r="G304" s="250"/>
      <c r="H304" s="250"/>
    </row>
    <row r="305" spans="1:8">
      <c r="A305" s="250" t="s">
        <v>3432</v>
      </c>
      <c r="B305" s="250" t="s">
        <v>3433</v>
      </c>
      <c r="C305" s="251">
        <v>506</v>
      </c>
      <c r="D305" s="10" t="s">
        <v>3434</v>
      </c>
      <c r="E305" s="10"/>
      <c r="F305" s="252">
        <v>3153410076</v>
      </c>
      <c r="G305" s="250"/>
      <c r="H305" s="250"/>
    </row>
    <row r="306" spans="1:8">
      <c r="A306" s="250" t="s">
        <v>3435</v>
      </c>
      <c r="B306" s="250" t="s">
        <v>3436</v>
      </c>
      <c r="C306" s="251">
        <v>703</v>
      </c>
      <c r="D306" s="10"/>
      <c r="E306" s="10"/>
      <c r="F306" s="252">
        <v>3115496133</v>
      </c>
      <c r="G306" s="250"/>
      <c r="H306" s="250"/>
    </row>
    <row r="307" spans="1:8">
      <c r="A307" s="250" t="s">
        <v>3437</v>
      </c>
      <c r="B307" s="250" t="s">
        <v>3438</v>
      </c>
      <c r="C307" s="251">
        <v>504</v>
      </c>
      <c r="D307" s="10"/>
      <c r="E307" s="10"/>
      <c r="F307" s="252">
        <v>3102082287</v>
      </c>
      <c r="G307" s="250"/>
      <c r="H307" s="250"/>
    </row>
    <row r="308" spans="1:8">
      <c r="A308" s="250" t="s">
        <v>3439</v>
      </c>
      <c r="B308" s="250" t="s">
        <v>3440</v>
      </c>
      <c r="C308" s="251">
        <v>801</v>
      </c>
      <c r="D308" s="10" t="s">
        <v>3441</v>
      </c>
      <c r="E308" s="10"/>
      <c r="F308" s="252">
        <v>3208483695</v>
      </c>
      <c r="G308" s="250"/>
      <c r="H308" s="250"/>
    </row>
    <row r="309" spans="1:8">
      <c r="A309" s="250" t="s">
        <v>3442</v>
      </c>
      <c r="B309" s="250" t="s">
        <v>3443</v>
      </c>
      <c r="C309" s="251">
        <v>302</v>
      </c>
      <c r="D309" s="10"/>
      <c r="E309" s="10"/>
      <c r="F309" s="252">
        <v>3003213899</v>
      </c>
      <c r="G309" s="250"/>
      <c r="H309" s="250"/>
    </row>
    <row r="310" spans="1:8">
      <c r="A310" s="250" t="s">
        <v>3444</v>
      </c>
      <c r="B310" s="250" t="s">
        <v>3445</v>
      </c>
      <c r="C310" s="251" t="s">
        <v>3446</v>
      </c>
      <c r="D310" s="10" t="s">
        <v>3447</v>
      </c>
      <c r="E310" s="10"/>
      <c r="F310" s="252">
        <v>3508524000</v>
      </c>
      <c r="G310" s="250"/>
      <c r="H310" s="250"/>
    </row>
    <row r="311" spans="1:8">
      <c r="A311" s="250" t="s">
        <v>3448</v>
      </c>
      <c r="B311" s="250" t="s">
        <v>3449</v>
      </c>
      <c r="C311" s="251">
        <v>104</v>
      </c>
      <c r="D311" s="10" t="s">
        <v>2962</v>
      </c>
      <c r="E311" s="10"/>
      <c r="F311" s="252">
        <v>3167428523</v>
      </c>
      <c r="G311" s="250"/>
      <c r="H311" s="250"/>
    </row>
    <row r="312" spans="1:8">
      <c r="A312" s="250" t="s">
        <v>3450</v>
      </c>
      <c r="B312" s="250" t="s">
        <v>3451</v>
      </c>
      <c r="C312" s="251">
        <v>502</v>
      </c>
      <c r="D312" s="10" t="s">
        <v>3452</v>
      </c>
      <c r="E312" s="10"/>
      <c r="F312" s="252" t="s">
        <v>3453</v>
      </c>
      <c r="G312" s="250"/>
      <c r="H312" s="250"/>
    </row>
    <row r="313" spans="1:8">
      <c r="A313" s="250" t="s">
        <v>3454</v>
      </c>
      <c r="B313" s="250" t="s">
        <v>3455</v>
      </c>
      <c r="C313" s="251">
        <v>702</v>
      </c>
      <c r="D313" s="10" t="s">
        <v>2949</v>
      </c>
      <c r="E313" s="10"/>
      <c r="F313" s="252">
        <v>3114650314</v>
      </c>
      <c r="G313" s="250"/>
      <c r="H313" s="250"/>
    </row>
    <row r="314" spans="1:8">
      <c r="A314" s="250" t="s">
        <v>3456</v>
      </c>
      <c r="B314" s="250" t="s">
        <v>3457</v>
      </c>
      <c r="C314" s="251">
        <v>1705</v>
      </c>
      <c r="D314" s="10" t="s">
        <v>2949</v>
      </c>
      <c r="E314" s="10"/>
      <c r="F314" s="252">
        <v>3133189136</v>
      </c>
      <c r="G314" s="250"/>
      <c r="H314" s="250"/>
    </row>
    <row r="315" spans="1:8">
      <c r="A315" s="250" t="s">
        <v>3458</v>
      </c>
      <c r="B315" s="250" t="s">
        <v>3459</v>
      </c>
      <c r="C315" s="251">
        <v>201</v>
      </c>
      <c r="D315" s="10" t="s">
        <v>3460</v>
      </c>
      <c r="E315" s="10"/>
      <c r="F315" s="252">
        <v>3124315185</v>
      </c>
      <c r="G315" s="250"/>
      <c r="H315" s="250"/>
    </row>
    <row r="316" spans="1:8">
      <c r="A316" s="250" t="s">
        <v>3461</v>
      </c>
      <c r="B316" s="250" t="s">
        <v>3462</v>
      </c>
      <c r="C316" s="251">
        <v>601</v>
      </c>
      <c r="D316" s="10" t="s">
        <v>3463</v>
      </c>
      <c r="E316" s="10"/>
      <c r="F316" s="252">
        <v>3174006284</v>
      </c>
      <c r="G316" s="250"/>
      <c r="H316" s="250"/>
    </row>
    <row r="317" spans="1:8">
      <c r="A317" s="250" t="s">
        <v>3464</v>
      </c>
      <c r="B317" s="250" t="s">
        <v>3465</v>
      </c>
      <c r="C317" s="251">
        <v>303</v>
      </c>
      <c r="D317" s="10"/>
      <c r="E317" s="10"/>
      <c r="F317" s="252">
        <v>3134501891</v>
      </c>
      <c r="G317" s="250"/>
      <c r="H317" s="250"/>
    </row>
    <row r="318" spans="1:8">
      <c r="A318" s="250" t="s">
        <v>3466</v>
      </c>
      <c r="B318" s="250" t="s">
        <v>3467</v>
      </c>
      <c r="C318" s="251">
        <v>103</v>
      </c>
      <c r="D318" s="10" t="s">
        <v>3468</v>
      </c>
      <c r="E318" s="10"/>
      <c r="F318" s="252">
        <v>3163462471</v>
      </c>
      <c r="G318" s="250"/>
      <c r="H318" s="250"/>
    </row>
    <row r="319" spans="1:8">
      <c r="A319" s="256" t="s">
        <v>3469</v>
      </c>
      <c r="B319" s="250" t="s">
        <v>3470</v>
      </c>
      <c r="C319" s="251">
        <v>103</v>
      </c>
      <c r="D319" s="10" t="s">
        <v>3471</v>
      </c>
      <c r="E319" s="250" t="s">
        <v>3472</v>
      </c>
      <c r="F319" s="252">
        <v>3005515186</v>
      </c>
      <c r="G319" s="250"/>
      <c r="H319" s="250"/>
    </row>
    <row r="320" spans="1:8">
      <c r="A320" s="250" t="s">
        <v>3473</v>
      </c>
      <c r="B320" s="250" t="s">
        <v>3474</v>
      </c>
      <c r="C320" s="251">
        <v>603</v>
      </c>
      <c r="D320" s="10"/>
      <c r="E320" s="10"/>
      <c r="F320" s="252">
        <v>3102331190</v>
      </c>
      <c r="G320" s="250"/>
      <c r="H320" s="250"/>
    </row>
    <row r="321" spans="1:8">
      <c r="A321" s="250" t="s">
        <v>3475</v>
      </c>
      <c r="B321" s="250" t="s">
        <v>3476</v>
      </c>
      <c r="C321" s="251">
        <v>102</v>
      </c>
      <c r="D321" s="10" t="s">
        <v>3477</v>
      </c>
      <c r="E321" s="10"/>
      <c r="F321" s="252">
        <v>3142844706</v>
      </c>
      <c r="G321" s="250"/>
      <c r="H321" s="250"/>
    </row>
    <row r="322" spans="1:8">
      <c r="A322" s="250" t="s">
        <v>3478</v>
      </c>
      <c r="B322" s="250" t="s">
        <v>3479</v>
      </c>
      <c r="C322" s="251">
        <v>205</v>
      </c>
      <c r="D322" s="10" t="s">
        <v>3480</v>
      </c>
      <c r="E322" s="10"/>
      <c r="F322" s="252">
        <v>3002085483</v>
      </c>
      <c r="G322" s="250"/>
      <c r="H322" s="250"/>
    </row>
    <row r="323" spans="1:8">
      <c r="A323" s="250" t="s">
        <v>3481</v>
      </c>
      <c r="B323" s="250" t="s">
        <v>3482</v>
      </c>
      <c r="C323" s="251">
        <v>803</v>
      </c>
      <c r="D323" s="10"/>
      <c r="E323" s="10"/>
      <c r="F323" s="252">
        <v>3108172446</v>
      </c>
      <c r="G323" s="250"/>
      <c r="H323" s="250"/>
    </row>
    <row r="324" spans="1:8">
      <c r="A324" s="250" t="s">
        <v>3483</v>
      </c>
      <c r="B324" s="250" t="s">
        <v>3101</v>
      </c>
      <c r="C324" s="251">
        <v>206</v>
      </c>
      <c r="D324" s="10"/>
      <c r="E324" s="10"/>
      <c r="F324" s="252">
        <v>3017712694</v>
      </c>
      <c r="G324" s="250"/>
      <c r="H324" s="250"/>
    </row>
    <row r="325" spans="1:8">
      <c r="A325" s="250" t="s">
        <v>3484</v>
      </c>
      <c r="B325" s="250" t="s">
        <v>3485</v>
      </c>
      <c r="C325" s="251">
        <v>402</v>
      </c>
      <c r="D325" s="10"/>
      <c r="E325" s="10"/>
      <c r="F325" s="252">
        <v>3183504597</v>
      </c>
      <c r="G325" s="250"/>
      <c r="H325" s="250"/>
    </row>
    <row r="326" spans="1:8">
      <c r="A326" s="250" t="s">
        <v>3486</v>
      </c>
      <c r="B326" s="250" t="s">
        <v>3487</v>
      </c>
      <c r="C326" s="251">
        <v>209</v>
      </c>
      <c r="D326" s="10" t="s">
        <v>2962</v>
      </c>
      <c r="E326" s="10"/>
      <c r="F326" s="252">
        <v>3013704676</v>
      </c>
      <c r="G326" s="250"/>
      <c r="H326" s="250"/>
    </row>
    <row r="327" spans="1:8">
      <c r="A327" s="250" t="s">
        <v>3488</v>
      </c>
      <c r="B327" s="250" t="s">
        <v>3489</v>
      </c>
      <c r="C327" s="251">
        <v>303</v>
      </c>
      <c r="D327" s="10" t="s">
        <v>3490</v>
      </c>
      <c r="E327" s="10"/>
      <c r="F327" s="252">
        <v>3004847586</v>
      </c>
      <c r="G327" s="250"/>
      <c r="H327" s="250"/>
    </row>
    <row r="328" spans="1:8">
      <c r="A328" s="250" t="s">
        <v>3491</v>
      </c>
      <c r="B328" s="250" t="s">
        <v>3492</v>
      </c>
      <c r="C328" s="251">
        <v>603</v>
      </c>
      <c r="D328" s="10"/>
      <c r="E328" s="10"/>
      <c r="F328" s="252">
        <v>3162666657</v>
      </c>
      <c r="G328" s="250"/>
      <c r="H328" s="250"/>
    </row>
    <row r="329" spans="1:8">
      <c r="A329" s="250" t="s">
        <v>3493</v>
      </c>
      <c r="B329" s="250" t="s">
        <v>3494</v>
      </c>
      <c r="C329" s="251">
        <v>502</v>
      </c>
      <c r="D329" s="10"/>
      <c r="E329" s="10"/>
      <c r="F329" s="252">
        <v>3144505403</v>
      </c>
      <c r="G329" s="250"/>
      <c r="H329" s="250"/>
    </row>
    <row r="330" spans="1:8">
      <c r="A330" s="250" t="s">
        <v>3495</v>
      </c>
      <c r="B330" s="250" t="s">
        <v>3496</v>
      </c>
      <c r="C330" s="251">
        <v>601</v>
      </c>
      <c r="D330" s="10" t="s">
        <v>3497</v>
      </c>
      <c r="E330" s="10"/>
      <c r="F330" s="252">
        <v>3228089133</v>
      </c>
      <c r="G330" s="250"/>
      <c r="H330" s="250"/>
    </row>
    <row r="331" spans="1:8">
      <c r="A331" s="250" t="s">
        <v>3498</v>
      </c>
      <c r="B331" s="250" t="s">
        <v>3499</v>
      </c>
      <c r="C331" s="251">
        <v>503</v>
      </c>
      <c r="D331" s="10" t="s">
        <v>3500</v>
      </c>
      <c r="E331" s="10"/>
      <c r="F331" s="252">
        <v>3153457575</v>
      </c>
      <c r="G331" s="250"/>
      <c r="H331" s="250"/>
    </row>
    <row r="332" spans="1:8">
      <c r="A332" s="250" t="s">
        <v>3501</v>
      </c>
      <c r="B332" s="250" t="s">
        <v>3502</v>
      </c>
      <c r="C332" s="251">
        <v>404</v>
      </c>
      <c r="D332" s="10"/>
      <c r="E332" s="10"/>
      <c r="F332" s="252">
        <v>3128878562</v>
      </c>
      <c r="G332" s="250"/>
      <c r="H332" s="250"/>
    </row>
    <row r="333" spans="1:8">
      <c r="A333" s="250" t="s">
        <v>3503</v>
      </c>
      <c r="B333" s="250" t="s">
        <v>3504</v>
      </c>
      <c r="C333" s="251">
        <v>1401</v>
      </c>
      <c r="D333" s="10"/>
      <c r="E333" s="10"/>
      <c r="F333" s="252">
        <v>3212224682</v>
      </c>
      <c r="G333" s="250"/>
      <c r="H333" s="250"/>
    </row>
    <row r="334" spans="1:8">
      <c r="A334" s="250" t="s">
        <v>3505</v>
      </c>
      <c r="B334" s="250" t="s">
        <v>3506</v>
      </c>
      <c r="C334" s="251">
        <v>502</v>
      </c>
      <c r="D334" s="10"/>
      <c r="E334" s="10"/>
      <c r="F334" s="252">
        <v>3118750356</v>
      </c>
      <c r="G334" s="250"/>
      <c r="H334" s="250"/>
    </row>
    <row r="335" spans="1:8">
      <c r="A335" s="250" t="s">
        <v>3507</v>
      </c>
      <c r="B335" s="250" t="s">
        <v>3508</v>
      </c>
      <c r="C335" s="251">
        <v>502</v>
      </c>
      <c r="D335" s="10"/>
      <c r="E335" s="10"/>
      <c r="F335" s="252">
        <v>3187948812</v>
      </c>
      <c r="G335" s="250"/>
      <c r="H335" s="250"/>
    </row>
    <row r="336" spans="1:8">
      <c r="A336" s="250" t="s">
        <v>3509</v>
      </c>
      <c r="B336" s="250" t="s">
        <v>3510</v>
      </c>
      <c r="C336" s="251">
        <v>703</v>
      </c>
      <c r="D336" s="10" t="s">
        <v>2962</v>
      </c>
      <c r="E336" s="10"/>
      <c r="F336" s="252">
        <v>3134531013</v>
      </c>
      <c r="G336" s="250"/>
      <c r="H336" s="250"/>
    </row>
    <row r="337" spans="1:8">
      <c r="A337" s="250" t="s">
        <v>3511</v>
      </c>
      <c r="B337" s="250" t="s">
        <v>3512</v>
      </c>
      <c r="C337" s="251">
        <v>404</v>
      </c>
      <c r="D337" s="10" t="s">
        <v>3513</v>
      </c>
      <c r="E337" s="10"/>
      <c r="F337" s="252">
        <v>3133508678</v>
      </c>
      <c r="G337" s="250"/>
      <c r="H337" s="250"/>
    </row>
    <row r="338" spans="1:8">
      <c r="A338" s="250" t="s">
        <v>3514</v>
      </c>
      <c r="B338" s="250" t="s">
        <v>3515</v>
      </c>
      <c r="C338" s="251">
        <v>201</v>
      </c>
      <c r="D338" s="10"/>
      <c r="E338" s="10"/>
      <c r="F338" s="252">
        <v>3102441202</v>
      </c>
      <c r="G338" s="250"/>
      <c r="H338" s="250"/>
    </row>
    <row r="339" spans="1:8">
      <c r="A339" s="250" t="s">
        <v>3516</v>
      </c>
      <c r="B339" s="250" t="s">
        <v>3517</v>
      </c>
      <c r="C339" s="251" t="s">
        <v>3518</v>
      </c>
      <c r="D339" s="10" t="s">
        <v>3519</v>
      </c>
      <c r="E339" s="10"/>
      <c r="F339" s="252">
        <v>3103495502</v>
      </c>
      <c r="G339" s="250"/>
      <c r="H339" s="250"/>
    </row>
    <row r="340" spans="1:8">
      <c r="A340" s="250" t="s">
        <v>3520</v>
      </c>
      <c r="B340" s="250" t="s">
        <v>3521</v>
      </c>
      <c r="C340" s="251">
        <v>202</v>
      </c>
      <c r="D340" s="10" t="s">
        <v>3522</v>
      </c>
      <c r="E340" s="10"/>
      <c r="F340" s="252">
        <v>3204139335</v>
      </c>
      <c r="G340" s="250"/>
      <c r="H340" s="250"/>
    </row>
    <row r="341" spans="1:8">
      <c r="A341" s="250" t="s">
        <v>3523</v>
      </c>
      <c r="B341" s="250" t="s">
        <v>3524</v>
      </c>
      <c r="C341" s="251">
        <v>610</v>
      </c>
      <c r="D341" s="10"/>
      <c r="E341" s="10"/>
      <c r="F341" s="252">
        <v>3114748993</v>
      </c>
      <c r="G341" s="250"/>
      <c r="H341" s="250"/>
    </row>
    <row r="342" spans="1:8">
      <c r="A342" s="250" t="s">
        <v>1807</v>
      </c>
      <c r="B342" s="250" t="s">
        <v>3525</v>
      </c>
      <c r="C342" s="251">
        <v>201</v>
      </c>
      <c r="D342" s="10"/>
      <c r="E342" s="10"/>
      <c r="F342" s="252">
        <v>3004067901</v>
      </c>
      <c r="G342" s="250"/>
      <c r="H342" s="250"/>
    </row>
    <row r="343" spans="1:8">
      <c r="A343" s="250" t="s">
        <v>3526</v>
      </c>
      <c r="B343" s="250" t="s">
        <v>3527</v>
      </c>
      <c r="C343" s="251">
        <v>202</v>
      </c>
      <c r="D343" s="10" t="s">
        <v>3528</v>
      </c>
      <c r="E343" s="10"/>
      <c r="F343" s="252">
        <v>3176475850</v>
      </c>
      <c r="G343" s="250"/>
      <c r="H343" s="250"/>
    </row>
    <row r="344" spans="1:8">
      <c r="A344" s="250" t="s">
        <v>3529</v>
      </c>
      <c r="B344" s="250" t="s">
        <v>3530</v>
      </c>
      <c r="C344" s="251">
        <v>615</v>
      </c>
      <c r="D344" s="10" t="s">
        <v>3531</v>
      </c>
      <c r="E344" s="10"/>
      <c r="F344" s="252">
        <v>3135511994</v>
      </c>
      <c r="G344" s="250"/>
      <c r="H344" s="250"/>
    </row>
    <row r="345" spans="1:8">
      <c r="A345" s="250" t="s">
        <v>3532</v>
      </c>
      <c r="B345" s="250" t="s">
        <v>3533</v>
      </c>
      <c r="C345" s="251">
        <v>206</v>
      </c>
      <c r="D345" s="10"/>
      <c r="E345" s="10"/>
      <c r="F345" s="252">
        <v>3127195305</v>
      </c>
      <c r="G345" s="250"/>
      <c r="H345" s="250"/>
    </row>
    <row r="346" spans="1:8">
      <c r="A346" s="250" t="s">
        <v>3534</v>
      </c>
      <c r="B346" s="250" t="s">
        <v>3535</v>
      </c>
      <c r="C346" s="251">
        <v>504</v>
      </c>
      <c r="D346" s="10" t="s">
        <v>3536</v>
      </c>
      <c r="E346" s="10"/>
      <c r="F346" s="252">
        <v>3108090508</v>
      </c>
      <c r="G346" s="250"/>
      <c r="H346" s="250"/>
    </row>
    <row r="347" spans="1:8">
      <c r="A347" s="250" t="s">
        <v>3537</v>
      </c>
      <c r="B347" s="250" t="s">
        <v>3538</v>
      </c>
      <c r="C347" s="251"/>
      <c r="D347" s="10"/>
      <c r="E347" s="10"/>
      <c r="F347" s="252">
        <v>3015196383</v>
      </c>
      <c r="G347" s="250"/>
      <c r="H347" s="250"/>
    </row>
    <row r="348" spans="1:8">
      <c r="A348" s="250" t="s">
        <v>3539</v>
      </c>
      <c r="B348" s="250" t="s">
        <v>3540</v>
      </c>
      <c r="C348" s="251">
        <v>1222</v>
      </c>
      <c r="D348" s="10" t="s">
        <v>3541</v>
      </c>
      <c r="E348" s="10" t="s">
        <v>3542</v>
      </c>
      <c r="F348" s="252">
        <v>3174363404</v>
      </c>
      <c r="G348" s="250"/>
      <c r="H348" s="250"/>
    </row>
    <row r="349" spans="1:8">
      <c r="A349" s="250" t="s">
        <v>3543</v>
      </c>
      <c r="B349" s="250" t="s">
        <v>3544</v>
      </c>
      <c r="C349" s="251">
        <v>103</v>
      </c>
      <c r="D349" s="10"/>
      <c r="E349" s="10"/>
      <c r="F349" s="252">
        <v>3125150849</v>
      </c>
      <c r="G349" s="250"/>
      <c r="H349" s="250"/>
    </row>
    <row r="350" spans="1:8">
      <c r="A350" s="250" t="s">
        <v>3545</v>
      </c>
      <c r="B350" s="250" t="s">
        <v>3546</v>
      </c>
      <c r="C350" s="251">
        <v>101</v>
      </c>
      <c r="D350" s="10"/>
      <c r="E350" s="10"/>
      <c r="F350" s="252">
        <v>3187438369</v>
      </c>
      <c r="G350" s="250"/>
      <c r="H350" s="250"/>
    </row>
    <row r="351" spans="1:8">
      <c r="A351" s="250" t="s">
        <v>3547</v>
      </c>
      <c r="B351" s="250" t="s">
        <v>3548</v>
      </c>
      <c r="C351" s="251" t="s">
        <v>3007</v>
      </c>
      <c r="D351" s="10"/>
      <c r="E351" s="10"/>
      <c r="F351" s="252">
        <v>3014009878</v>
      </c>
      <c r="G351" s="250"/>
      <c r="H351" s="250"/>
    </row>
    <row r="352" spans="1:8">
      <c r="A352" s="250" t="s">
        <v>3549</v>
      </c>
      <c r="B352" s="250" t="s">
        <v>3550</v>
      </c>
      <c r="C352" s="251">
        <v>502</v>
      </c>
      <c r="D352" s="10" t="s">
        <v>3551</v>
      </c>
      <c r="E352" s="10"/>
      <c r="F352" s="252">
        <v>3005706826</v>
      </c>
      <c r="G352" s="250"/>
      <c r="H352" s="250"/>
    </row>
    <row r="353" spans="1:8">
      <c r="A353" s="250" t="s">
        <v>3552</v>
      </c>
      <c r="B353" s="250" t="s">
        <v>3553</v>
      </c>
      <c r="C353" s="251">
        <v>202</v>
      </c>
      <c r="D353" s="10"/>
      <c r="E353" s="10"/>
      <c r="F353" s="252">
        <v>3174307479</v>
      </c>
      <c r="G353" s="250"/>
      <c r="H353" s="250"/>
    </row>
    <row r="354" spans="1:8">
      <c r="A354" s="250" t="s">
        <v>3554</v>
      </c>
      <c r="B354" s="250" t="s">
        <v>3555</v>
      </c>
      <c r="C354" s="251"/>
      <c r="D354" s="10" t="s">
        <v>3556</v>
      </c>
      <c r="E354" s="10"/>
      <c r="F354" s="252">
        <v>3102118289</v>
      </c>
      <c r="G354" s="250"/>
      <c r="H354" s="250"/>
    </row>
    <row r="355" spans="1:8">
      <c r="A355" s="250" t="s">
        <v>3557</v>
      </c>
      <c r="B355" s="250" t="s">
        <v>3558</v>
      </c>
      <c r="C355" s="251">
        <v>503</v>
      </c>
      <c r="D355" s="10"/>
      <c r="E355" s="10"/>
      <c r="F355" s="252">
        <v>3006937076</v>
      </c>
      <c r="G355" s="250"/>
      <c r="H355" s="250"/>
    </row>
    <row r="356" spans="1:8">
      <c r="A356" s="250" t="s">
        <v>3559</v>
      </c>
      <c r="B356" s="250" t="s">
        <v>3560</v>
      </c>
      <c r="C356" s="251">
        <v>104</v>
      </c>
      <c r="D356" s="10" t="s">
        <v>3561</v>
      </c>
      <c r="E356" s="10"/>
      <c r="F356" s="252">
        <v>3102327650</v>
      </c>
      <c r="G356" s="250"/>
      <c r="H356" s="250"/>
    </row>
    <row r="357" spans="1:8">
      <c r="A357" s="250" t="s">
        <v>3562</v>
      </c>
      <c r="B357" s="250" t="s">
        <v>3563</v>
      </c>
      <c r="C357" s="251">
        <v>603</v>
      </c>
      <c r="D357" s="10"/>
      <c r="E357" s="10"/>
      <c r="F357" s="252" t="s">
        <v>3564</v>
      </c>
      <c r="G357" s="250"/>
      <c r="H357" s="250"/>
    </row>
    <row r="358" spans="1:8">
      <c r="A358" s="256" t="s">
        <v>3565</v>
      </c>
      <c r="B358" s="256" t="s">
        <v>3566</v>
      </c>
      <c r="C358" s="261">
        <v>103</v>
      </c>
      <c r="D358" s="11"/>
      <c r="E358" s="11"/>
      <c r="F358" s="262">
        <v>3005506006</v>
      </c>
      <c r="G358" s="256"/>
      <c r="H358" s="256"/>
    </row>
    <row r="359" spans="1:8">
      <c r="A359" s="250" t="s">
        <v>3567</v>
      </c>
      <c r="B359" s="250" t="s">
        <v>3568</v>
      </c>
      <c r="C359" s="251">
        <v>304</v>
      </c>
      <c r="D359" s="10" t="s">
        <v>3569</v>
      </c>
      <c r="E359" s="10"/>
      <c r="F359" s="252">
        <v>3016514393</v>
      </c>
      <c r="G359" s="250"/>
      <c r="H359" s="250"/>
    </row>
    <row r="360" spans="1:8">
      <c r="A360" s="250" t="s">
        <v>3570</v>
      </c>
      <c r="B360" s="250" t="s">
        <v>3571</v>
      </c>
      <c r="C360" s="251">
        <v>303</v>
      </c>
      <c r="D360" s="10"/>
      <c r="E360" s="10"/>
      <c r="F360" s="252">
        <v>3153626310</v>
      </c>
      <c r="G360" s="250"/>
      <c r="H360" s="250"/>
    </row>
    <row r="361" spans="1:8">
      <c r="A361" s="250" t="s">
        <v>3572</v>
      </c>
      <c r="B361" s="250" t="s">
        <v>3573</v>
      </c>
      <c r="C361" s="251" t="s">
        <v>3574</v>
      </c>
      <c r="D361" s="10"/>
      <c r="E361" s="10"/>
      <c r="F361" s="252">
        <v>3204282073</v>
      </c>
      <c r="G361" s="250"/>
      <c r="H361" s="250"/>
    </row>
    <row r="362" spans="1:8">
      <c r="A362" s="250" t="s">
        <v>3575</v>
      </c>
      <c r="B362" s="250" t="s">
        <v>3576</v>
      </c>
      <c r="C362" s="251">
        <v>403</v>
      </c>
      <c r="D362" s="10" t="s">
        <v>2962</v>
      </c>
      <c r="E362" s="10"/>
      <c r="F362" s="252">
        <v>3158227448</v>
      </c>
      <c r="G362" s="250"/>
      <c r="H362" s="250"/>
    </row>
    <row r="363" spans="1:8">
      <c r="A363" s="250" t="s">
        <v>3577</v>
      </c>
      <c r="B363" s="250" t="s">
        <v>3578</v>
      </c>
      <c r="C363" s="251">
        <v>301</v>
      </c>
      <c r="D363" s="10" t="s">
        <v>3579</v>
      </c>
      <c r="E363" s="10"/>
      <c r="F363" s="252">
        <v>3208574895</v>
      </c>
      <c r="G363" s="250"/>
      <c r="H363" s="250"/>
    </row>
    <row r="364" spans="1:8">
      <c r="A364" s="250" t="s">
        <v>3580</v>
      </c>
      <c r="B364" s="250" t="s">
        <v>3581</v>
      </c>
      <c r="C364" s="251">
        <v>503</v>
      </c>
      <c r="D364" s="10"/>
      <c r="E364" s="10"/>
      <c r="F364" s="252">
        <v>3207269592</v>
      </c>
      <c r="G364" s="250"/>
      <c r="H364" s="250"/>
    </row>
    <row r="365" spans="1:8">
      <c r="A365" s="250" t="s">
        <v>3582</v>
      </c>
      <c r="B365" s="250" t="s">
        <v>3583</v>
      </c>
      <c r="C365" s="251">
        <v>203</v>
      </c>
      <c r="D365" s="10"/>
      <c r="E365" s="10"/>
      <c r="F365" s="252">
        <v>3118089376</v>
      </c>
      <c r="G365" s="250"/>
      <c r="H365" s="250"/>
    </row>
    <row r="366" spans="1:8">
      <c r="A366" s="250" t="s">
        <v>3584</v>
      </c>
      <c r="B366" s="250" t="s">
        <v>3585</v>
      </c>
      <c r="C366" s="251">
        <v>202</v>
      </c>
      <c r="D366" s="10" t="s">
        <v>3586</v>
      </c>
      <c r="E366" s="10"/>
      <c r="F366" s="252">
        <v>3112752407</v>
      </c>
      <c r="G366" s="250"/>
      <c r="H366" s="250"/>
    </row>
    <row r="367" spans="1:8">
      <c r="A367" s="250" t="s">
        <v>3587</v>
      </c>
      <c r="B367" s="250" t="s">
        <v>3588</v>
      </c>
      <c r="C367" s="251">
        <v>502</v>
      </c>
      <c r="D367" s="10"/>
      <c r="E367" s="10"/>
      <c r="F367" s="252">
        <v>3208590840</v>
      </c>
      <c r="G367" s="250"/>
      <c r="H367" s="250"/>
    </row>
    <row r="368" spans="1:8">
      <c r="A368" s="250" t="s">
        <v>3589</v>
      </c>
      <c r="B368" s="250" t="s">
        <v>3590</v>
      </c>
      <c r="C368" s="251">
        <v>103</v>
      </c>
      <c r="D368" s="10" t="s">
        <v>3463</v>
      </c>
      <c r="E368" s="10"/>
      <c r="F368" s="252">
        <v>3105500005</v>
      </c>
      <c r="G368" s="250"/>
      <c r="H368" s="250"/>
    </row>
    <row r="369" spans="1:8">
      <c r="A369" s="250" t="s">
        <v>3591</v>
      </c>
      <c r="B369" s="250" t="s">
        <v>3592</v>
      </c>
      <c r="C369" s="251" t="s">
        <v>3007</v>
      </c>
      <c r="D369" s="10" t="s">
        <v>3398</v>
      </c>
      <c r="E369" s="10"/>
      <c r="F369" s="252">
        <v>3013541971</v>
      </c>
      <c r="G369" s="250"/>
      <c r="H369" s="250"/>
    </row>
    <row r="370" spans="1:8">
      <c r="A370" s="250" t="s">
        <v>3593</v>
      </c>
      <c r="B370" s="250" t="s">
        <v>3594</v>
      </c>
      <c r="C370" s="251">
        <v>802</v>
      </c>
      <c r="D370" s="10"/>
      <c r="E370" s="10"/>
      <c r="F370" s="252">
        <v>3102108079</v>
      </c>
      <c r="G370" s="250"/>
      <c r="H370" s="250"/>
    </row>
    <row r="371" spans="1:8">
      <c r="A371" s="250" t="s">
        <v>3595</v>
      </c>
      <c r="B371" s="250" t="s">
        <v>3596</v>
      </c>
      <c r="C371" s="251">
        <v>502</v>
      </c>
      <c r="D371" s="10"/>
      <c r="E371" s="10"/>
      <c r="F371" s="252">
        <v>3107869470</v>
      </c>
      <c r="G371" s="250"/>
      <c r="H371" s="250"/>
    </row>
    <row r="372" spans="1:8">
      <c r="A372" s="250" t="s">
        <v>3597</v>
      </c>
      <c r="B372" s="250" t="s">
        <v>3598</v>
      </c>
      <c r="C372" s="251">
        <v>503</v>
      </c>
      <c r="D372" s="10"/>
      <c r="E372" s="10"/>
      <c r="F372" s="252">
        <v>3112881722</v>
      </c>
      <c r="G372" s="250"/>
      <c r="H372" s="250"/>
    </row>
    <row r="373" spans="1:8">
      <c r="A373" s="250" t="s">
        <v>3599</v>
      </c>
      <c r="B373" s="250" t="s">
        <v>3600</v>
      </c>
      <c r="C373" s="251" t="s">
        <v>3007</v>
      </c>
      <c r="D373" s="10"/>
      <c r="E373" s="10"/>
      <c r="F373" s="252">
        <v>3102411165</v>
      </c>
      <c r="G373" s="250"/>
      <c r="H373" s="250"/>
    </row>
    <row r="374" spans="1:8">
      <c r="A374" s="250" t="s">
        <v>3601</v>
      </c>
      <c r="B374" s="250" t="s">
        <v>3602</v>
      </c>
      <c r="C374" s="251">
        <v>701</v>
      </c>
      <c r="D374" s="10" t="s">
        <v>2733</v>
      </c>
      <c r="E374" s="10"/>
      <c r="F374" s="252">
        <v>3118116699</v>
      </c>
      <c r="G374" s="250"/>
      <c r="H374" s="250"/>
    </row>
    <row r="375" spans="1:8">
      <c r="A375" s="250" t="s">
        <v>3603</v>
      </c>
      <c r="B375" s="250" t="s">
        <v>3604</v>
      </c>
      <c r="C375" s="251"/>
      <c r="D375" s="10"/>
      <c r="E375" s="10"/>
      <c r="F375" s="252">
        <v>3004173919</v>
      </c>
      <c r="G375" s="250"/>
      <c r="H375" s="250"/>
    </row>
    <row r="376" spans="1:8">
      <c r="A376" s="250" t="s">
        <v>3605</v>
      </c>
      <c r="B376" s="250" t="s">
        <v>3606</v>
      </c>
      <c r="C376" s="251" t="s">
        <v>3007</v>
      </c>
      <c r="D376" s="10" t="s">
        <v>3607</v>
      </c>
      <c r="E376" s="10"/>
      <c r="F376" s="252">
        <v>3015051928</v>
      </c>
      <c r="G376" s="250"/>
      <c r="H376" s="250"/>
    </row>
    <row r="377" spans="1:8">
      <c r="A377" s="250" t="s">
        <v>3608</v>
      </c>
      <c r="B377" s="250" t="s">
        <v>3609</v>
      </c>
      <c r="C377" s="251">
        <v>202</v>
      </c>
      <c r="D377" s="10"/>
      <c r="E377" s="10"/>
      <c r="F377" s="252">
        <v>3117207195</v>
      </c>
      <c r="G377" s="250"/>
      <c r="H377" s="250"/>
    </row>
    <row r="378" spans="1:8">
      <c r="A378" s="250" t="s">
        <v>3610</v>
      </c>
      <c r="B378" s="250" t="s">
        <v>3611</v>
      </c>
      <c r="C378" s="251">
        <v>2004</v>
      </c>
      <c r="D378" s="10" t="s">
        <v>2733</v>
      </c>
      <c r="E378" s="10"/>
      <c r="F378" s="252">
        <v>3002017539</v>
      </c>
      <c r="G378" s="250"/>
      <c r="H378" s="250"/>
    </row>
    <row r="379" spans="1:8">
      <c r="A379" s="250" t="s">
        <v>3612</v>
      </c>
      <c r="B379" s="250" t="s">
        <v>3613</v>
      </c>
      <c r="C379" s="251">
        <v>606</v>
      </c>
      <c r="D379" s="10"/>
      <c r="E379" s="10"/>
      <c r="F379" s="252">
        <v>3013095115</v>
      </c>
      <c r="G379" s="250"/>
      <c r="H379" s="250"/>
    </row>
    <row r="380" spans="1:8">
      <c r="A380" s="250" t="s">
        <v>3614</v>
      </c>
      <c r="B380" s="250" t="s">
        <v>3615</v>
      </c>
      <c r="C380" s="251">
        <v>201</v>
      </c>
      <c r="D380" s="10" t="s">
        <v>3463</v>
      </c>
      <c r="E380" s="10"/>
      <c r="F380" s="252">
        <v>3212022195</v>
      </c>
      <c r="G380" s="250"/>
      <c r="H380" s="250"/>
    </row>
    <row r="381" spans="1:8">
      <c r="A381" s="250" t="s">
        <v>3616</v>
      </c>
      <c r="B381" s="250" t="s">
        <v>3617</v>
      </c>
      <c r="C381" s="251">
        <v>113</v>
      </c>
      <c r="D381" s="10" t="s">
        <v>2762</v>
      </c>
      <c r="E381" s="10"/>
      <c r="F381" s="252">
        <v>3212466938</v>
      </c>
      <c r="G381" s="250"/>
      <c r="H381" s="250"/>
    </row>
    <row r="382" spans="1:8">
      <c r="A382" s="250" t="s">
        <v>3618</v>
      </c>
      <c r="B382" s="250" t="s">
        <v>3619</v>
      </c>
      <c r="C382" s="251" t="s">
        <v>3007</v>
      </c>
      <c r="D382" s="10"/>
      <c r="E382" s="10"/>
      <c r="F382" s="252">
        <v>3134428112</v>
      </c>
      <c r="G382" s="250"/>
      <c r="H382" s="250"/>
    </row>
    <row r="383" spans="1:8">
      <c r="A383" s="250" t="s">
        <v>3620</v>
      </c>
      <c r="B383" s="250" t="s">
        <v>3621</v>
      </c>
      <c r="C383" s="251">
        <v>204</v>
      </c>
      <c r="D383" s="10" t="s">
        <v>3622</v>
      </c>
      <c r="E383" s="10"/>
      <c r="F383" s="252">
        <v>3123592551</v>
      </c>
      <c r="G383" s="250"/>
      <c r="H383" s="250"/>
    </row>
    <row r="384" spans="1:8">
      <c r="A384" s="250" t="s">
        <v>3623</v>
      </c>
      <c r="B384" s="250" t="s">
        <v>3624</v>
      </c>
      <c r="C384" s="251">
        <v>401</v>
      </c>
      <c r="D384" s="10" t="s">
        <v>2767</v>
      </c>
      <c r="E384" s="10"/>
      <c r="F384" s="252">
        <v>3164694606</v>
      </c>
      <c r="G384" s="250"/>
      <c r="H384" s="250"/>
    </row>
    <row r="385" spans="1:8">
      <c r="A385" s="250" t="s">
        <v>3625</v>
      </c>
      <c r="B385" s="250" t="s">
        <v>3626</v>
      </c>
      <c r="C385" s="251">
        <v>308</v>
      </c>
      <c r="D385" s="10" t="s">
        <v>2767</v>
      </c>
      <c r="E385" s="10"/>
      <c r="F385" s="252">
        <v>3168310652</v>
      </c>
      <c r="G385" s="250"/>
      <c r="H385" s="250"/>
    </row>
    <row r="386" spans="1:8">
      <c r="A386" s="250" t="s">
        <v>3627</v>
      </c>
      <c r="B386" s="250" t="s">
        <v>3628</v>
      </c>
      <c r="C386" s="251">
        <v>301</v>
      </c>
      <c r="D386" s="10"/>
      <c r="E386" s="10"/>
      <c r="F386" s="252">
        <v>3014314488</v>
      </c>
      <c r="G386" s="250"/>
      <c r="H386" s="250"/>
    </row>
    <row r="387" spans="1:8">
      <c r="A387" s="250" t="s">
        <v>3629</v>
      </c>
      <c r="B387" s="250" t="s">
        <v>3630</v>
      </c>
      <c r="C387" s="251">
        <v>601</v>
      </c>
      <c r="D387" s="10"/>
      <c r="E387" s="10"/>
      <c r="F387" s="252">
        <v>3122935603</v>
      </c>
      <c r="G387" s="250"/>
      <c r="H387" s="250"/>
    </row>
    <row r="388" spans="1:8">
      <c r="A388" s="250" t="s">
        <v>3631</v>
      </c>
      <c r="B388" s="250" t="s">
        <v>3632</v>
      </c>
      <c r="C388" s="251">
        <v>105</v>
      </c>
      <c r="D388" s="10"/>
      <c r="E388" s="10"/>
      <c r="F388" s="252">
        <v>3017725569</v>
      </c>
      <c r="G388" s="250"/>
      <c r="H388" s="250"/>
    </row>
    <row r="389" spans="1:8">
      <c r="A389" s="250" t="s">
        <v>3633</v>
      </c>
      <c r="B389" s="250" t="s">
        <v>3634</v>
      </c>
      <c r="C389" s="251" t="s">
        <v>3635</v>
      </c>
      <c r="D389" s="10" t="s">
        <v>3636</v>
      </c>
      <c r="E389" s="10"/>
      <c r="F389" s="252">
        <v>3192817531</v>
      </c>
      <c r="G389" s="250"/>
      <c r="H389" s="250"/>
    </row>
    <row r="390" spans="1:8">
      <c r="A390" s="250" t="s">
        <v>3637</v>
      </c>
      <c r="B390" s="250" t="s">
        <v>3638</v>
      </c>
      <c r="C390" s="251">
        <v>203</v>
      </c>
      <c r="D390" s="10" t="s">
        <v>3639</v>
      </c>
      <c r="E390" s="10"/>
      <c r="F390" s="252">
        <v>3112514807</v>
      </c>
      <c r="G390" s="250"/>
      <c r="H390" s="250"/>
    </row>
    <row r="391" spans="1:8">
      <c r="A391" s="250" t="s">
        <v>3640</v>
      </c>
      <c r="B391" s="250" t="s">
        <v>3641</v>
      </c>
      <c r="C391" s="251">
        <v>405</v>
      </c>
      <c r="D391" s="10"/>
      <c r="E391" s="10"/>
      <c r="F391" s="252">
        <v>3223497295</v>
      </c>
      <c r="G391" s="250"/>
      <c r="H391" s="250"/>
    </row>
    <row r="392" spans="1:8">
      <c r="A392" s="250" t="s">
        <v>3642</v>
      </c>
      <c r="B392" s="250" t="s">
        <v>3643</v>
      </c>
      <c r="C392" s="251">
        <v>304</v>
      </c>
      <c r="D392" s="10" t="s">
        <v>2772</v>
      </c>
      <c r="E392" s="10"/>
      <c r="F392" s="252">
        <v>3133906912</v>
      </c>
      <c r="G392" s="250"/>
      <c r="H392" s="250"/>
    </row>
    <row r="393" spans="1:8">
      <c r="A393" s="250" t="s">
        <v>3644</v>
      </c>
      <c r="B393" s="250" t="s">
        <v>3645</v>
      </c>
      <c r="C393" s="251">
        <v>301</v>
      </c>
      <c r="D393" s="10" t="s">
        <v>3646</v>
      </c>
      <c r="E393" s="10"/>
      <c r="F393" s="252">
        <v>3102055792</v>
      </c>
      <c r="G393" s="250"/>
      <c r="H393" s="250"/>
    </row>
    <row r="394" spans="1:8">
      <c r="A394" s="250" t="s">
        <v>3647</v>
      </c>
      <c r="B394" s="250" t="s">
        <v>3648</v>
      </c>
      <c r="C394" s="251">
        <v>502</v>
      </c>
      <c r="D394" s="10"/>
      <c r="E394" s="10"/>
      <c r="F394" s="252">
        <v>3107948989</v>
      </c>
      <c r="G394" s="250"/>
      <c r="H394" s="250"/>
    </row>
    <row r="395" spans="1:8">
      <c r="A395" s="250" t="s">
        <v>3649</v>
      </c>
      <c r="B395" s="250" t="s">
        <v>3650</v>
      </c>
      <c r="C395" s="251">
        <v>104</v>
      </c>
      <c r="D395" s="10" t="s">
        <v>3651</v>
      </c>
      <c r="E395" s="10"/>
      <c r="F395" s="252">
        <v>3115814207</v>
      </c>
      <c r="G395" s="250"/>
      <c r="H395" s="250"/>
    </row>
    <row r="396" spans="1:8">
      <c r="A396" s="250" t="s">
        <v>3652</v>
      </c>
      <c r="B396" s="250" t="s">
        <v>3653</v>
      </c>
      <c r="C396" s="251">
        <v>302</v>
      </c>
      <c r="D396" s="10"/>
      <c r="E396" s="10"/>
      <c r="F396" s="252">
        <v>3175175111</v>
      </c>
      <c r="G396" s="250"/>
      <c r="H396" s="250"/>
    </row>
    <row r="397" spans="1:8">
      <c r="A397" s="250" t="s">
        <v>3654</v>
      </c>
      <c r="B397" s="250" t="s">
        <v>3655</v>
      </c>
      <c r="C397" s="251">
        <v>1207</v>
      </c>
      <c r="D397" s="10" t="s">
        <v>2721</v>
      </c>
      <c r="E397" s="10"/>
      <c r="F397" s="252">
        <v>3158172154</v>
      </c>
      <c r="G397" s="250"/>
      <c r="H397" s="250"/>
    </row>
    <row r="398" spans="1:8">
      <c r="A398" s="250" t="s">
        <v>3656</v>
      </c>
      <c r="B398" s="250" t="s">
        <v>3657</v>
      </c>
      <c r="C398" s="251">
        <v>202</v>
      </c>
      <c r="D398" s="10"/>
      <c r="E398" s="10"/>
      <c r="F398" s="252">
        <v>3125106888</v>
      </c>
      <c r="G398" s="250"/>
      <c r="H398" s="250"/>
    </row>
    <row r="399" spans="1:8">
      <c r="A399" s="250" t="s">
        <v>3658</v>
      </c>
      <c r="B399" s="250" t="s">
        <v>3659</v>
      </c>
      <c r="C399" s="251">
        <v>202</v>
      </c>
      <c r="D399" s="10"/>
      <c r="E399" s="10"/>
      <c r="F399" s="252">
        <v>3015834631</v>
      </c>
      <c r="G399" s="250"/>
      <c r="H399" s="250"/>
    </row>
    <row r="400" spans="1:8">
      <c r="A400" s="250" t="s">
        <v>3660</v>
      </c>
      <c r="B400" s="250" t="s">
        <v>3661</v>
      </c>
      <c r="C400" s="251">
        <v>304</v>
      </c>
      <c r="D400" s="10" t="s">
        <v>2733</v>
      </c>
      <c r="E400" s="10"/>
      <c r="F400" s="252">
        <v>3012830916</v>
      </c>
      <c r="G400" s="250"/>
      <c r="H400" s="250"/>
    </row>
    <row r="401" spans="1:8">
      <c r="A401" s="250" t="s">
        <v>3662</v>
      </c>
      <c r="B401" s="250" t="s">
        <v>3663</v>
      </c>
      <c r="C401" s="251">
        <v>404</v>
      </c>
      <c r="D401" s="10"/>
      <c r="E401" s="10"/>
      <c r="F401" s="252">
        <v>3112311479</v>
      </c>
      <c r="G401" s="250"/>
      <c r="H401" s="250"/>
    </row>
    <row r="402" spans="1:8">
      <c r="A402" s="250" t="s">
        <v>3664</v>
      </c>
      <c r="B402" s="250" t="s">
        <v>3665</v>
      </c>
      <c r="C402" s="251">
        <v>704</v>
      </c>
      <c r="D402" s="10" t="s">
        <v>3666</v>
      </c>
      <c r="E402" s="10"/>
      <c r="F402" s="252">
        <v>3007973564</v>
      </c>
      <c r="G402" s="250"/>
      <c r="H402" s="250"/>
    </row>
    <row r="403" spans="1:8">
      <c r="A403" s="250" t="s">
        <v>3667</v>
      </c>
      <c r="B403" s="250" t="s">
        <v>3668</v>
      </c>
      <c r="C403" s="251">
        <v>603</v>
      </c>
      <c r="D403" s="10"/>
      <c r="E403" s="10"/>
      <c r="F403" s="252">
        <v>3105794025</v>
      </c>
      <c r="G403" s="250"/>
      <c r="H403" s="250"/>
    </row>
    <row r="404" spans="1:8">
      <c r="A404" s="250" t="s">
        <v>3669</v>
      </c>
      <c r="B404" s="250" t="s">
        <v>3670</v>
      </c>
      <c r="C404" s="251">
        <v>522</v>
      </c>
      <c r="D404" s="10" t="s">
        <v>2789</v>
      </c>
      <c r="E404" s="10"/>
      <c r="F404" s="252">
        <v>3182530530</v>
      </c>
      <c r="G404" s="250"/>
      <c r="H404" s="250"/>
    </row>
    <row r="405" spans="1:8">
      <c r="A405" s="250" t="s">
        <v>3671</v>
      </c>
      <c r="B405" s="250" t="s">
        <v>3672</v>
      </c>
      <c r="C405" s="251">
        <v>505</v>
      </c>
      <c r="D405" s="10"/>
      <c r="E405" s="10"/>
      <c r="F405" s="252">
        <v>3016192205</v>
      </c>
      <c r="G405" s="250"/>
      <c r="H405" s="250"/>
    </row>
    <row r="406" spans="1:8">
      <c r="A406" s="250" t="s">
        <v>3673</v>
      </c>
      <c r="B406" s="250" t="s">
        <v>3455</v>
      </c>
      <c r="C406" s="251">
        <v>501</v>
      </c>
      <c r="D406" s="10" t="s">
        <v>2721</v>
      </c>
      <c r="E406" s="10"/>
      <c r="F406" s="252">
        <v>3102209277</v>
      </c>
      <c r="G406" s="250"/>
      <c r="H406" s="250"/>
    </row>
    <row r="407" spans="1:8">
      <c r="A407" s="250" t="s">
        <v>3674</v>
      </c>
      <c r="B407" s="250" t="s">
        <v>3675</v>
      </c>
      <c r="C407" s="251">
        <v>203</v>
      </c>
      <c r="D407" s="10"/>
      <c r="E407" s="10"/>
      <c r="F407" s="252">
        <v>3215396513</v>
      </c>
      <c r="G407" s="250"/>
      <c r="H407" s="250"/>
    </row>
    <row r="408" spans="1:8">
      <c r="A408" s="250" t="s">
        <v>3676</v>
      </c>
      <c r="B408" s="250" t="s">
        <v>3677</v>
      </c>
      <c r="C408" s="251">
        <v>202</v>
      </c>
      <c r="D408" s="10"/>
      <c r="E408" s="10"/>
      <c r="F408" s="252">
        <v>3132501174</v>
      </c>
      <c r="G408" s="250"/>
      <c r="H408" s="250"/>
    </row>
    <row r="409" spans="1:8">
      <c r="A409" s="250" t="s">
        <v>3678</v>
      </c>
      <c r="B409" s="250" t="s">
        <v>3679</v>
      </c>
      <c r="C409" s="251">
        <v>701</v>
      </c>
      <c r="D409" s="10" t="s">
        <v>3680</v>
      </c>
      <c r="E409" s="10"/>
      <c r="F409" s="252">
        <v>3158762443</v>
      </c>
      <c r="G409" s="250"/>
      <c r="H409" s="250"/>
    </row>
    <row r="410" spans="1:8">
      <c r="A410" s="250" t="s">
        <v>3681</v>
      </c>
      <c r="B410" s="250" t="s">
        <v>3682</v>
      </c>
      <c r="C410" s="251">
        <v>1008</v>
      </c>
      <c r="D410" s="10"/>
      <c r="E410" s="10"/>
      <c r="F410" s="252">
        <v>3223453447</v>
      </c>
      <c r="G410" s="250"/>
      <c r="H410" s="250"/>
    </row>
    <row r="411" spans="1:8">
      <c r="A411" s="250" t="s">
        <v>3683</v>
      </c>
      <c r="B411" s="250" t="s">
        <v>3684</v>
      </c>
      <c r="C411" s="251">
        <v>701</v>
      </c>
      <c r="D411" s="10" t="s">
        <v>2733</v>
      </c>
      <c r="E411" s="10"/>
      <c r="F411" s="252">
        <v>3153306277</v>
      </c>
      <c r="G411" s="250"/>
      <c r="H411" s="250"/>
    </row>
    <row r="412" spans="1:8">
      <c r="A412" s="250" t="s">
        <v>3685</v>
      </c>
      <c r="B412" s="250" t="s">
        <v>3686</v>
      </c>
      <c r="C412" s="251">
        <v>1108</v>
      </c>
      <c r="D412" s="10"/>
      <c r="E412" s="10"/>
      <c r="F412" s="252">
        <v>3124342509</v>
      </c>
      <c r="G412" s="250"/>
      <c r="H412" s="250"/>
    </row>
    <row r="413" spans="1:8">
      <c r="A413" s="250" t="s">
        <v>3687</v>
      </c>
      <c r="B413" s="250" t="s">
        <v>3688</v>
      </c>
      <c r="C413" s="251">
        <v>214</v>
      </c>
      <c r="D413" s="10"/>
      <c r="E413" s="10"/>
      <c r="F413" s="252">
        <v>3105731073</v>
      </c>
      <c r="G413" s="250"/>
      <c r="H413" s="250"/>
    </row>
    <row r="414" spans="1:8">
      <c r="A414" s="250" t="s">
        <v>3689</v>
      </c>
      <c r="B414" s="250" t="s">
        <v>3690</v>
      </c>
      <c r="C414" s="251"/>
      <c r="D414" s="10" t="s">
        <v>3691</v>
      </c>
      <c r="E414" s="10"/>
      <c r="F414" s="252">
        <v>3165119633</v>
      </c>
      <c r="G414" s="250"/>
      <c r="H414" s="250"/>
    </row>
    <row r="415" spans="1:8">
      <c r="A415" s="250" t="s">
        <v>3692</v>
      </c>
      <c r="B415" s="250" t="s">
        <v>3693</v>
      </c>
      <c r="C415" s="251">
        <v>203</v>
      </c>
      <c r="D415" s="10" t="s">
        <v>2772</v>
      </c>
      <c r="E415" s="10"/>
      <c r="F415" s="252">
        <v>3002118045</v>
      </c>
      <c r="G415" s="250"/>
      <c r="H415" s="250"/>
    </row>
    <row r="416" spans="1:8">
      <c r="A416" s="250" t="s">
        <v>3694</v>
      </c>
      <c r="B416" s="250" t="s">
        <v>3695</v>
      </c>
      <c r="C416" s="251">
        <v>502</v>
      </c>
      <c r="D416" s="10"/>
      <c r="E416" s="10"/>
      <c r="F416" s="252">
        <v>3227477150</v>
      </c>
      <c r="G416" s="250"/>
      <c r="H416" s="250"/>
    </row>
    <row r="417" spans="1:8">
      <c r="A417" s="250" t="s">
        <v>3696</v>
      </c>
      <c r="B417" s="250" t="s">
        <v>3697</v>
      </c>
      <c r="C417" s="251">
        <v>403</v>
      </c>
      <c r="D417" s="10"/>
      <c r="E417" s="10"/>
      <c r="F417" s="252">
        <v>9547019229</v>
      </c>
      <c r="G417" s="250"/>
      <c r="H417" s="250"/>
    </row>
    <row r="418" spans="1:8">
      <c r="A418" s="250" t="s">
        <v>3698</v>
      </c>
      <c r="B418" s="250" t="s">
        <v>3699</v>
      </c>
      <c r="C418" s="251">
        <v>301</v>
      </c>
      <c r="D418" s="10"/>
      <c r="E418" s="10"/>
      <c r="F418" s="252">
        <v>3103415538</v>
      </c>
      <c r="G418" s="250"/>
      <c r="H418" s="250"/>
    </row>
    <row r="419" spans="1:8">
      <c r="A419" s="250" t="s">
        <v>3700</v>
      </c>
      <c r="B419" s="250" t="s">
        <v>3701</v>
      </c>
      <c r="C419" s="251">
        <v>201</v>
      </c>
      <c r="D419" s="10"/>
      <c r="E419" s="10"/>
      <c r="F419" s="252">
        <v>3106746732</v>
      </c>
      <c r="G419" s="250"/>
      <c r="H419" s="250"/>
    </row>
    <row r="420" spans="1:8">
      <c r="A420" s="250" t="s">
        <v>3702</v>
      </c>
      <c r="B420" s="250" t="s">
        <v>3703</v>
      </c>
      <c r="C420" s="251">
        <v>104</v>
      </c>
      <c r="D420" s="10" t="s">
        <v>2733</v>
      </c>
      <c r="E420" s="10"/>
      <c r="F420" s="252">
        <v>3102964444</v>
      </c>
      <c r="G420" s="250"/>
      <c r="H420" s="250"/>
    </row>
    <row r="421" spans="1:8">
      <c r="A421" s="250" t="s">
        <v>3704</v>
      </c>
      <c r="B421" s="250" t="s">
        <v>3705</v>
      </c>
      <c r="C421" s="251">
        <v>205</v>
      </c>
      <c r="D421" s="10" t="s">
        <v>3706</v>
      </c>
      <c r="E421" s="10"/>
      <c r="F421" s="252">
        <v>3218412847</v>
      </c>
      <c r="G421" s="250"/>
      <c r="H421" s="250"/>
    </row>
    <row r="422" spans="1:8">
      <c r="A422" s="256" t="s">
        <v>3707</v>
      </c>
      <c r="B422" s="250" t="s">
        <v>3708</v>
      </c>
      <c r="C422" s="251">
        <v>602</v>
      </c>
      <c r="D422" s="10"/>
      <c r="E422" s="10"/>
      <c r="F422" s="252">
        <v>3183517920</v>
      </c>
      <c r="G422" s="250"/>
      <c r="H422" s="250"/>
    </row>
    <row r="423" spans="1:8">
      <c r="A423" s="250" t="s">
        <v>3709</v>
      </c>
      <c r="B423" s="250" t="s">
        <v>3710</v>
      </c>
      <c r="C423" s="251">
        <v>201</v>
      </c>
      <c r="D423" s="10"/>
      <c r="E423" s="10"/>
      <c r="F423" s="252">
        <v>3154663081</v>
      </c>
      <c r="G423" s="250"/>
      <c r="H423" s="250"/>
    </row>
    <row r="424" spans="1:8">
      <c r="A424" s="250" t="s">
        <v>3711</v>
      </c>
      <c r="B424" s="250" t="s">
        <v>3712</v>
      </c>
      <c r="C424" s="251">
        <v>503</v>
      </c>
      <c r="D424" s="10"/>
      <c r="E424" s="10"/>
      <c r="F424" s="252">
        <v>3016896102</v>
      </c>
      <c r="G424" s="250"/>
      <c r="H424" s="250"/>
    </row>
    <row r="425" spans="1:8">
      <c r="A425" s="250" t="s">
        <v>3713</v>
      </c>
      <c r="B425" s="250" t="s">
        <v>3714</v>
      </c>
      <c r="C425" s="251">
        <v>201</v>
      </c>
      <c r="D425" s="10"/>
      <c r="E425" s="10"/>
      <c r="F425" s="252">
        <v>3105635226</v>
      </c>
      <c r="G425" s="250"/>
      <c r="H425" s="250"/>
    </row>
    <row r="426" spans="1:8">
      <c r="A426" s="250" t="s">
        <v>3715</v>
      </c>
      <c r="B426" s="250" t="s">
        <v>3716</v>
      </c>
      <c r="C426" s="251">
        <v>413</v>
      </c>
      <c r="D426" s="10" t="s">
        <v>3717</v>
      </c>
      <c r="E426" s="10" t="s">
        <v>3718</v>
      </c>
      <c r="F426" s="252">
        <v>3004045638</v>
      </c>
      <c r="G426" s="250"/>
      <c r="H426" s="250"/>
    </row>
    <row r="427" spans="1:8">
      <c r="A427" s="250" t="s">
        <v>3719</v>
      </c>
      <c r="B427" s="250" t="s">
        <v>3720</v>
      </c>
      <c r="C427" s="251">
        <v>401</v>
      </c>
      <c r="D427" s="10"/>
      <c r="E427" s="10"/>
      <c r="F427" s="252">
        <v>3153632870</v>
      </c>
      <c r="G427" s="250"/>
      <c r="H427" s="250"/>
    </row>
    <row r="428" spans="1:8">
      <c r="A428" s="250" t="s">
        <v>3721</v>
      </c>
      <c r="B428" s="250" t="s">
        <v>3722</v>
      </c>
      <c r="C428" s="251"/>
      <c r="D428" s="10"/>
      <c r="E428" s="10"/>
      <c r="F428" s="252">
        <v>3004752312</v>
      </c>
      <c r="G428" s="250"/>
      <c r="H428" s="250"/>
    </row>
    <row r="429" spans="1:8">
      <c r="A429" s="250" t="s">
        <v>3723</v>
      </c>
      <c r="B429" s="250" t="s">
        <v>3724</v>
      </c>
      <c r="C429" s="251">
        <v>501</v>
      </c>
      <c r="D429" s="10" t="s">
        <v>3463</v>
      </c>
      <c r="E429" s="10"/>
      <c r="F429" s="252">
        <v>3183612496</v>
      </c>
      <c r="G429" s="250"/>
      <c r="H429" s="250"/>
    </row>
    <row r="430" spans="1:8">
      <c r="A430" s="250" t="s">
        <v>3725</v>
      </c>
      <c r="B430" s="250" t="s">
        <v>3726</v>
      </c>
      <c r="C430" s="251">
        <v>402</v>
      </c>
      <c r="D430" s="10"/>
      <c r="E430" s="10"/>
      <c r="F430" s="252">
        <v>3102679726</v>
      </c>
      <c r="G430" s="250"/>
      <c r="H430" s="250"/>
    </row>
    <row r="431" spans="1:8">
      <c r="A431" s="250" t="s">
        <v>3727</v>
      </c>
      <c r="B431" s="250" t="s">
        <v>3728</v>
      </c>
      <c r="C431" s="251">
        <v>210</v>
      </c>
      <c r="D431" s="10"/>
      <c r="E431" s="10"/>
      <c r="F431" s="252">
        <v>3156311434</v>
      </c>
      <c r="G431" s="250"/>
      <c r="H431" s="250"/>
    </row>
    <row r="432" spans="1:8">
      <c r="A432" s="250" t="s">
        <v>160</v>
      </c>
      <c r="B432" s="250" t="s">
        <v>3729</v>
      </c>
      <c r="C432" s="251">
        <v>401</v>
      </c>
      <c r="D432" s="10"/>
      <c r="E432" s="10"/>
      <c r="F432" s="252">
        <v>3153578503</v>
      </c>
      <c r="G432" s="250"/>
      <c r="H432" s="250"/>
    </row>
    <row r="433" spans="1:8">
      <c r="A433" s="250" t="s">
        <v>3730</v>
      </c>
      <c r="B433" s="250" t="s">
        <v>3731</v>
      </c>
      <c r="C433" s="251">
        <v>1107</v>
      </c>
      <c r="D433" s="10" t="s">
        <v>2772</v>
      </c>
      <c r="E433" s="10"/>
      <c r="F433" s="252">
        <v>3133460213</v>
      </c>
      <c r="G433" s="250"/>
      <c r="H433" s="250"/>
    </row>
    <row r="434" spans="1:8">
      <c r="A434" s="250" t="s">
        <v>3732</v>
      </c>
      <c r="B434" s="250" t="s">
        <v>3733</v>
      </c>
      <c r="C434" s="251">
        <v>204</v>
      </c>
      <c r="D434" s="10" t="s">
        <v>3639</v>
      </c>
      <c r="E434" s="10"/>
      <c r="F434" s="252">
        <v>3142746811</v>
      </c>
      <c r="G434" s="250"/>
      <c r="H434" s="250"/>
    </row>
    <row r="435" spans="1:8">
      <c r="A435" s="5" t="s">
        <v>3734</v>
      </c>
      <c r="B435" s="5" t="s">
        <v>3735</v>
      </c>
      <c r="C435" s="263">
        <v>503</v>
      </c>
      <c r="D435" s="5" t="s">
        <v>3736</v>
      </c>
      <c r="E435" s="5"/>
      <c r="F435" s="264">
        <v>3152990454</v>
      </c>
      <c r="G435" s="5"/>
      <c r="H435" s="5"/>
    </row>
    <row r="436" spans="1:8">
      <c r="A436" s="250" t="s">
        <v>708</v>
      </c>
      <c r="B436" s="250" t="s">
        <v>3737</v>
      </c>
      <c r="C436" s="251">
        <v>201</v>
      </c>
      <c r="D436" s="10"/>
      <c r="E436" s="10"/>
      <c r="F436" s="252">
        <v>3173833771</v>
      </c>
      <c r="G436" s="250"/>
      <c r="H436" s="250"/>
    </row>
    <row r="437" spans="1:8">
      <c r="A437" s="250" t="s">
        <v>3738</v>
      </c>
      <c r="B437" s="250" t="s">
        <v>3739</v>
      </c>
      <c r="C437" s="251">
        <v>403</v>
      </c>
      <c r="D437" s="10"/>
      <c r="E437" s="10"/>
      <c r="F437" s="252">
        <v>3143305814</v>
      </c>
      <c r="G437" s="250"/>
      <c r="H437" s="250"/>
    </row>
    <row r="438" spans="1:8">
      <c r="A438" s="250" t="s">
        <v>3740</v>
      </c>
      <c r="B438" s="250" t="s">
        <v>3741</v>
      </c>
      <c r="C438" s="251">
        <v>417</v>
      </c>
      <c r="D438" s="10"/>
      <c r="E438" s="10"/>
      <c r="F438" s="252">
        <v>3042067646</v>
      </c>
      <c r="G438" s="250"/>
      <c r="H438" s="250"/>
    </row>
    <row r="439" spans="1:8">
      <c r="A439" s="250" t="s">
        <v>3742</v>
      </c>
      <c r="B439" s="250" t="s">
        <v>3743</v>
      </c>
      <c r="C439" s="251">
        <v>501</v>
      </c>
      <c r="D439" s="10" t="s">
        <v>2733</v>
      </c>
      <c r="E439" s="10"/>
      <c r="F439" s="252">
        <v>3174017356</v>
      </c>
      <c r="G439" s="250"/>
      <c r="H439" s="250"/>
    </row>
    <row r="440" spans="1:8">
      <c r="A440" s="256" t="s">
        <v>3744</v>
      </c>
      <c r="B440" s="250" t="s">
        <v>3745</v>
      </c>
      <c r="C440" s="251">
        <v>809</v>
      </c>
      <c r="D440" s="10" t="s">
        <v>2772</v>
      </c>
      <c r="E440" s="10"/>
      <c r="F440" s="252">
        <v>3105664296</v>
      </c>
      <c r="G440" s="250"/>
      <c r="H440" s="250"/>
    </row>
    <row r="441" spans="1:8">
      <c r="A441" s="256" t="s">
        <v>3746</v>
      </c>
      <c r="B441" s="250" t="s">
        <v>3747</v>
      </c>
      <c r="C441" s="251">
        <v>603</v>
      </c>
      <c r="D441" s="10"/>
      <c r="E441" s="10"/>
      <c r="F441" s="252">
        <v>3118217991</v>
      </c>
      <c r="G441" s="250"/>
      <c r="H441" s="250"/>
    </row>
    <row r="442" spans="1:8">
      <c r="A442" s="250" t="s">
        <v>3748</v>
      </c>
      <c r="B442" s="250" t="s">
        <v>3749</v>
      </c>
      <c r="C442" s="251">
        <v>1006</v>
      </c>
      <c r="D442" s="10"/>
      <c r="E442" s="10"/>
      <c r="F442" s="252">
        <v>3153569019</v>
      </c>
      <c r="G442" s="250"/>
      <c r="H442" s="250"/>
    </row>
    <row r="443" spans="1:8">
      <c r="A443" s="250" t="s">
        <v>3750</v>
      </c>
      <c r="B443" s="250" t="s">
        <v>3751</v>
      </c>
      <c r="C443" s="251">
        <v>417</v>
      </c>
      <c r="D443" s="10" t="s">
        <v>3752</v>
      </c>
      <c r="E443" s="10"/>
      <c r="F443" s="252">
        <v>3213501620</v>
      </c>
      <c r="G443" s="250"/>
      <c r="H443" s="250"/>
    </row>
    <row r="444" spans="1:8">
      <c r="A444" s="250" t="s">
        <v>3753</v>
      </c>
      <c r="B444" s="250" t="s">
        <v>3754</v>
      </c>
      <c r="C444" s="251">
        <v>403</v>
      </c>
      <c r="D444" s="10"/>
      <c r="E444" s="10"/>
      <c r="F444" s="252">
        <v>3507372227</v>
      </c>
      <c r="G444" s="250"/>
      <c r="H444" s="250"/>
    </row>
    <row r="445" spans="1:8">
      <c r="A445" s="250" t="s">
        <v>3755</v>
      </c>
      <c r="B445" s="250" t="s">
        <v>3756</v>
      </c>
      <c r="C445" s="251">
        <v>405</v>
      </c>
      <c r="D445" s="10"/>
      <c r="E445" s="10"/>
      <c r="F445" s="252">
        <v>3103423237</v>
      </c>
      <c r="G445" s="250"/>
      <c r="H445" s="250"/>
    </row>
    <row r="446" spans="1:8">
      <c r="A446" s="250" t="s">
        <v>3757</v>
      </c>
      <c r="B446" s="250" t="s">
        <v>3758</v>
      </c>
      <c r="C446" s="251">
        <v>504</v>
      </c>
      <c r="D446" s="10" t="s">
        <v>3639</v>
      </c>
      <c r="E446" s="10"/>
      <c r="F446" s="252">
        <v>3115691219</v>
      </c>
      <c r="G446" s="250"/>
      <c r="H446" s="250"/>
    </row>
    <row r="447" spans="1:8">
      <c r="A447" s="250" t="s">
        <v>3759</v>
      </c>
      <c r="B447" s="250" t="s">
        <v>3760</v>
      </c>
      <c r="C447" s="251">
        <v>2804</v>
      </c>
      <c r="D447" s="10" t="s">
        <v>2772</v>
      </c>
      <c r="E447" s="10"/>
      <c r="F447" s="252">
        <v>3112689174</v>
      </c>
      <c r="G447" s="250"/>
      <c r="H447" s="250"/>
    </row>
    <row r="448" spans="1:8">
      <c r="A448" s="250" t="s">
        <v>3761</v>
      </c>
      <c r="B448" s="250" t="s">
        <v>3762</v>
      </c>
      <c r="C448" s="251">
        <v>402</v>
      </c>
      <c r="D448" s="10"/>
      <c r="E448" s="10"/>
      <c r="F448" s="252">
        <v>3013599047</v>
      </c>
      <c r="G448" s="250"/>
      <c r="H448" s="250"/>
    </row>
    <row r="449" spans="1:8">
      <c r="A449" s="250" t="s">
        <v>3763</v>
      </c>
      <c r="B449" s="250" t="s">
        <v>3764</v>
      </c>
      <c r="C449" s="251"/>
      <c r="D449" s="10"/>
      <c r="E449" s="10"/>
      <c r="F449" s="252">
        <v>3165310054</v>
      </c>
      <c r="G449" s="250"/>
      <c r="H449" s="250"/>
    </row>
    <row r="450" spans="1:8">
      <c r="A450" s="250" t="s">
        <v>3765</v>
      </c>
      <c r="B450" s="250" t="s">
        <v>3766</v>
      </c>
      <c r="C450" s="251">
        <v>302</v>
      </c>
      <c r="D450" s="10"/>
      <c r="E450" s="10"/>
      <c r="F450" s="252">
        <v>3043764266</v>
      </c>
      <c r="G450" s="250"/>
      <c r="H450" s="250"/>
    </row>
    <row r="451" spans="1:8">
      <c r="A451" s="250" t="s">
        <v>3767</v>
      </c>
      <c r="B451" s="250" t="s">
        <v>3768</v>
      </c>
      <c r="C451" s="251">
        <v>201</v>
      </c>
      <c r="D451" s="10" t="s">
        <v>3769</v>
      </c>
      <c r="E451" s="10"/>
      <c r="F451" s="252">
        <v>3013392929</v>
      </c>
      <c r="G451" s="250"/>
      <c r="H451" s="250"/>
    </row>
    <row r="452" spans="1:8">
      <c r="A452" s="250" t="s">
        <v>3770</v>
      </c>
      <c r="B452" s="250" t="s">
        <v>3771</v>
      </c>
      <c r="C452" s="251">
        <v>102</v>
      </c>
      <c r="D452" s="10" t="s">
        <v>2733</v>
      </c>
      <c r="E452" s="10"/>
      <c r="F452" s="252">
        <v>3142021910</v>
      </c>
      <c r="G452" s="250"/>
      <c r="H452" s="250"/>
    </row>
    <row r="453" spans="1:8">
      <c r="A453" s="250" t="s">
        <v>3772</v>
      </c>
      <c r="B453" s="250" t="s">
        <v>3773</v>
      </c>
      <c r="C453" s="251">
        <v>213</v>
      </c>
      <c r="D453" s="10" t="s">
        <v>2721</v>
      </c>
      <c r="E453" s="10"/>
      <c r="F453" s="252">
        <v>3175921396</v>
      </c>
      <c r="G453" s="250"/>
      <c r="H453" s="250"/>
    </row>
    <row r="454" spans="1:8">
      <c r="A454" s="250" t="s">
        <v>3774</v>
      </c>
      <c r="B454" s="250" t="s">
        <v>3775</v>
      </c>
      <c r="C454" s="251">
        <v>607</v>
      </c>
      <c r="D454" s="10"/>
      <c r="E454" s="10"/>
      <c r="F454" s="252">
        <v>3102502878</v>
      </c>
      <c r="G454" s="250"/>
      <c r="H454" s="250"/>
    </row>
    <row r="455" spans="1:8">
      <c r="A455" s="250" t="s">
        <v>3776</v>
      </c>
      <c r="B455" s="250" t="s">
        <v>3777</v>
      </c>
      <c r="C455" s="251">
        <v>407</v>
      </c>
      <c r="D455" s="10"/>
      <c r="E455" s="10"/>
      <c r="F455" s="252">
        <v>3102616098</v>
      </c>
      <c r="G455" s="250"/>
      <c r="H455" s="250"/>
    </row>
    <row r="456" spans="1:8">
      <c r="A456" s="250" t="s">
        <v>3778</v>
      </c>
      <c r="B456" s="250" t="s">
        <v>3779</v>
      </c>
      <c r="C456" s="251">
        <v>603</v>
      </c>
      <c r="D456" s="10"/>
      <c r="E456" s="10"/>
      <c r="F456" s="252">
        <v>3102121585</v>
      </c>
      <c r="G456" s="250"/>
      <c r="H456" s="250"/>
    </row>
    <row r="457" spans="1:8">
      <c r="A457" s="250" t="s">
        <v>3780</v>
      </c>
      <c r="B457" s="250" t="s">
        <v>3781</v>
      </c>
      <c r="C457" s="251">
        <v>202</v>
      </c>
      <c r="D457" s="10" t="s">
        <v>2721</v>
      </c>
      <c r="E457" s="10"/>
      <c r="F457" s="252">
        <v>3106282239</v>
      </c>
      <c r="G457" s="250"/>
      <c r="H457" s="250"/>
    </row>
    <row r="458" spans="1:8">
      <c r="A458" s="250" t="s">
        <v>3782</v>
      </c>
      <c r="B458" s="250" t="s">
        <v>3783</v>
      </c>
      <c r="C458" s="251" t="s">
        <v>3007</v>
      </c>
      <c r="D458" s="10"/>
      <c r="E458" s="10"/>
      <c r="F458" s="252">
        <v>3125284916</v>
      </c>
      <c r="G458" s="250"/>
      <c r="H458" s="250"/>
    </row>
    <row r="459" spans="1:8">
      <c r="A459" s="250" t="s">
        <v>3784</v>
      </c>
      <c r="B459" s="250" t="s">
        <v>3785</v>
      </c>
      <c r="C459" s="251" t="s">
        <v>3786</v>
      </c>
      <c r="D459" s="10"/>
      <c r="E459" s="10"/>
      <c r="F459" s="252">
        <v>3112956550</v>
      </c>
      <c r="G459" s="250"/>
      <c r="H459" s="250"/>
    </row>
    <row r="460" spans="1:8">
      <c r="A460" s="250" t="s">
        <v>3787</v>
      </c>
      <c r="B460" s="250" t="s">
        <v>3788</v>
      </c>
      <c r="C460" s="251">
        <v>604</v>
      </c>
      <c r="D460" s="10"/>
      <c r="E460" s="10"/>
      <c r="F460" s="252">
        <v>3208522628</v>
      </c>
      <c r="G460" s="250"/>
      <c r="H460" s="250"/>
    </row>
    <row r="461" spans="1:8">
      <c r="A461" s="250" t="s">
        <v>3789</v>
      </c>
      <c r="B461" s="250" t="s">
        <v>3790</v>
      </c>
      <c r="C461" s="251">
        <v>806</v>
      </c>
      <c r="D461" s="10"/>
      <c r="E461" s="10"/>
      <c r="F461" s="252">
        <v>3112331792</v>
      </c>
      <c r="G461" s="250"/>
      <c r="H461" s="250"/>
    </row>
    <row r="462" spans="1:8">
      <c r="A462" s="250" t="s">
        <v>3791</v>
      </c>
      <c r="B462" s="250" t="s">
        <v>3792</v>
      </c>
      <c r="C462" s="251">
        <v>505</v>
      </c>
      <c r="D462" s="10"/>
      <c r="E462" s="10"/>
      <c r="F462" s="252">
        <v>3017365137</v>
      </c>
      <c r="G462" s="250"/>
      <c r="H462" s="250"/>
    </row>
    <row r="463" spans="1:8">
      <c r="A463" s="250" t="s">
        <v>3793</v>
      </c>
      <c r="B463" s="250" t="s">
        <v>3794</v>
      </c>
      <c r="C463" s="251" t="s">
        <v>3007</v>
      </c>
      <c r="D463" s="10"/>
      <c r="E463" s="10"/>
      <c r="F463" s="252">
        <v>3174645900</v>
      </c>
      <c r="G463" s="250"/>
      <c r="H463" s="250"/>
    </row>
    <row r="464" spans="1:8">
      <c r="A464" s="250" t="s">
        <v>3795</v>
      </c>
      <c r="B464" s="250" t="s">
        <v>3796</v>
      </c>
      <c r="C464" s="251" t="s">
        <v>3797</v>
      </c>
      <c r="D464" s="10"/>
      <c r="E464" s="10"/>
      <c r="F464" s="252">
        <v>3166282359</v>
      </c>
      <c r="G464" s="250"/>
      <c r="H464" s="250"/>
    </row>
    <row r="465" spans="1:8">
      <c r="A465" s="250" t="s">
        <v>3798</v>
      </c>
      <c r="B465" s="250" t="s">
        <v>3799</v>
      </c>
      <c r="C465" s="251" t="s">
        <v>3800</v>
      </c>
      <c r="D465" s="10"/>
      <c r="E465" s="10"/>
      <c r="F465" s="252">
        <v>3188717481</v>
      </c>
      <c r="G465" s="250"/>
      <c r="H465" s="250"/>
    </row>
    <row r="466" spans="1:8">
      <c r="A466" s="250" t="s">
        <v>3801</v>
      </c>
      <c r="B466" s="250" t="s">
        <v>3802</v>
      </c>
      <c r="C466" s="251">
        <v>904</v>
      </c>
      <c r="D466" s="10" t="s">
        <v>3803</v>
      </c>
      <c r="E466" s="10"/>
      <c r="F466" s="252">
        <v>3216767246</v>
      </c>
      <c r="G466" s="250"/>
      <c r="H466" s="250"/>
    </row>
    <row r="467" spans="1:8">
      <c r="A467" s="250" t="s">
        <v>3804</v>
      </c>
      <c r="B467" s="250" t="s">
        <v>3805</v>
      </c>
      <c r="C467" s="251" t="s">
        <v>3007</v>
      </c>
      <c r="D467" s="10"/>
      <c r="E467" s="10"/>
      <c r="F467" s="252">
        <v>3183306751</v>
      </c>
      <c r="G467" s="250"/>
      <c r="H467" s="250"/>
    </row>
    <row r="468" spans="1:8">
      <c r="A468" s="250" t="s">
        <v>3806</v>
      </c>
      <c r="B468" s="250" t="s">
        <v>3807</v>
      </c>
      <c r="C468" s="251">
        <v>704</v>
      </c>
      <c r="D468" s="10" t="s">
        <v>3808</v>
      </c>
      <c r="E468" s="10"/>
      <c r="F468" s="252">
        <v>3204285696</v>
      </c>
      <c r="G468" s="250"/>
      <c r="H468" s="250"/>
    </row>
    <row r="469" spans="1:8">
      <c r="A469" s="250" t="s">
        <v>3809</v>
      </c>
      <c r="B469" s="250" t="s">
        <v>3810</v>
      </c>
      <c r="C469" s="251">
        <v>503</v>
      </c>
      <c r="D469" s="10" t="s">
        <v>3811</v>
      </c>
      <c r="E469" s="10"/>
      <c r="F469" s="252">
        <v>3188371768</v>
      </c>
      <c r="G469" s="250"/>
      <c r="H469" s="250"/>
    </row>
    <row r="470" spans="1:8">
      <c r="A470" s="250" t="s">
        <v>3812</v>
      </c>
      <c r="B470" s="250" t="s">
        <v>3813</v>
      </c>
      <c r="C470" s="251">
        <v>918</v>
      </c>
      <c r="D470" s="10" t="s">
        <v>3814</v>
      </c>
      <c r="E470" s="10"/>
      <c r="F470" s="252">
        <v>3138361258</v>
      </c>
      <c r="G470" s="250"/>
      <c r="H470" s="250"/>
    </row>
    <row r="471" spans="1:8">
      <c r="A471" s="250" t="s">
        <v>3815</v>
      </c>
      <c r="B471" s="250" t="s">
        <v>3816</v>
      </c>
      <c r="C471" s="251" t="s">
        <v>3817</v>
      </c>
      <c r="D471" s="10"/>
      <c r="E471" s="10"/>
      <c r="F471" s="252">
        <v>3134972961</v>
      </c>
      <c r="G471" s="250"/>
      <c r="H471" s="250"/>
    </row>
    <row r="472" spans="1:8">
      <c r="A472" s="250" t="s">
        <v>3818</v>
      </c>
      <c r="B472" s="250" t="s">
        <v>3819</v>
      </c>
      <c r="C472" s="251">
        <v>204</v>
      </c>
      <c r="D472" s="10"/>
      <c r="E472" s="10"/>
      <c r="F472" s="252">
        <v>3204490216</v>
      </c>
      <c r="G472" s="250"/>
      <c r="H472" s="250"/>
    </row>
    <row r="473" spans="1:8">
      <c r="A473" s="250" t="s">
        <v>3820</v>
      </c>
      <c r="B473" s="250" t="s">
        <v>3821</v>
      </c>
      <c r="C473" s="251" t="s">
        <v>3822</v>
      </c>
      <c r="D473" s="10"/>
      <c r="E473" s="10"/>
      <c r="F473" s="252">
        <v>3106981495</v>
      </c>
      <c r="G473" s="250"/>
      <c r="H473" s="250"/>
    </row>
    <row r="474" spans="1:8">
      <c r="A474" s="250" t="s">
        <v>3823</v>
      </c>
      <c r="B474" s="250" t="s">
        <v>3824</v>
      </c>
      <c r="C474" s="251">
        <v>504</v>
      </c>
      <c r="D474" s="10"/>
      <c r="E474" s="10"/>
      <c r="F474" s="252">
        <v>3505655756</v>
      </c>
      <c r="G474" s="250"/>
      <c r="H474" s="250"/>
    </row>
    <row r="475" spans="1:8">
      <c r="A475" s="250" t="s">
        <v>3825</v>
      </c>
      <c r="B475" s="250" t="s">
        <v>3826</v>
      </c>
      <c r="C475" s="251">
        <v>501</v>
      </c>
      <c r="D475" s="10"/>
      <c r="E475" s="10"/>
      <c r="F475" s="252">
        <v>3174336631</v>
      </c>
      <c r="G475" s="250"/>
      <c r="H475" s="250"/>
    </row>
    <row r="476" spans="1:8">
      <c r="A476" s="250" t="s">
        <v>3827</v>
      </c>
      <c r="B476" s="250" t="s">
        <v>3828</v>
      </c>
      <c r="C476" s="251">
        <v>103</v>
      </c>
      <c r="D476" s="10"/>
      <c r="E476" s="10"/>
      <c r="F476" s="252">
        <v>3106978831</v>
      </c>
      <c r="G476" s="250"/>
      <c r="H476" s="250"/>
    </row>
    <row r="477" spans="1:8">
      <c r="A477" s="250" t="s">
        <v>3829</v>
      </c>
      <c r="B477" s="250" t="s">
        <v>3830</v>
      </c>
      <c r="C477" s="251">
        <v>1204</v>
      </c>
      <c r="D477" s="10"/>
      <c r="E477" s="10"/>
      <c r="F477" s="252">
        <v>3212088791</v>
      </c>
      <c r="G477" s="250"/>
      <c r="H477" s="250"/>
    </row>
    <row r="478" spans="1:8">
      <c r="A478" s="250" t="s">
        <v>3831</v>
      </c>
      <c r="B478" s="250" t="s">
        <v>3832</v>
      </c>
      <c r="C478" s="251">
        <v>201</v>
      </c>
      <c r="D478" s="10" t="s">
        <v>3833</v>
      </c>
      <c r="E478" s="10"/>
      <c r="F478" s="252">
        <v>3202713848</v>
      </c>
      <c r="G478" s="250"/>
      <c r="H478" s="250"/>
    </row>
    <row r="479" spans="1:8">
      <c r="A479" s="250" t="s">
        <v>3834</v>
      </c>
      <c r="B479" s="250" t="s">
        <v>3835</v>
      </c>
      <c r="C479" s="251">
        <v>1003</v>
      </c>
      <c r="D479" s="10" t="s">
        <v>2772</v>
      </c>
      <c r="E479" s="10"/>
      <c r="F479" s="252">
        <v>3112567124</v>
      </c>
      <c r="G479" s="250"/>
      <c r="H479" s="250"/>
    </row>
    <row r="480" spans="1:8">
      <c r="A480" s="250" t="s">
        <v>3836</v>
      </c>
      <c r="B480" s="250" t="s">
        <v>3837</v>
      </c>
      <c r="C480" s="251">
        <v>1805</v>
      </c>
      <c r="D480" s="10" t="s">
        <v>2721</v>
      </c>
      <c r="E480" s="10"/>
      <c r="F480" s="252">
        <v>3224750951</v>
      </c>
      <c r="G480" s="250"/>
      <c r="H480" s="250"/>
    </row>
    <row r="481" spans="1:8">
      <c r="A481" s="250" t="s">
        <v>3838</v>
      </c>
      <c r="B481" s="250" t="s">
        <v>3839</v>
      </c>
      <c r="C481" s="251">
        <v>601</v>
      </c>
      <c r="D481" s="10"/>
      <c r="E481" s="10"/>
      <c r="F481" s="252">
        <v>3183879458</v>
      </c>
      <c r="G481" s="250"/>
      <c r="H481" s="250"/>
    </row>
    <row r="482" spans="1:8">
      <c r="A482" s="250" t="s">
        <v>3840</v>
      </c>
      <c r="B482" s="250" t="s">
        <v>3841</v>
      </c>
      <c r="C482" s="251">
        <v>1601</v>
      </c>
      <c r="D482" s="10" t="s">
        <v>2772</v>
      </c>
      <c r="E482" s="10"/>
      <c r="F482" s="252">
        <v>3157812845</v>
      </c>
      <c r="G482" s="250"/>
      <c r="H482" s="250"/>
    </row>
    <row r="483" spans="1:8">
      <c r="A483" s="250" t="s">
        <v>3842</v>
      </c>
      <c r="B483" s="250" t="s">
        <v>3843</v>
      </c>
      <c r="C483" s="251">
        <v>305</v>
      </c>
      <c r="D483" s="10"/>
      <c r="E483" s="10"/>
      <c r="F483" s="252">
        <v>3113398693</v>
      </c>
      <c r="G483" s="250"/>
      <c r="H483" s="250"/>
    </row>
    <row r="484" spans="1:8">
      <c r="A484" s="250" t="s">
        <v>3844</v>
      </c>
      <c r="B484" s="250" t="s">
        <v>3845</v>
      </c>
      <c r="C484" s="251">
        <v>604</v>
      </c>
      <c r="D484" s="10"/>
      <c r="E484" s="10"/>
      <c r="F484" s="252">
        <v>3123420658</v>
      </c>
      <c r="G484" s="250"/>
      <c r="H484" s="250"/>
    </row>
    <row r="485" spans="1:8">
      <c r="A485" s="250" t="s">
        <v>3846</v>
      </c>
      <c r="B485" s="250" t="s">
        <v>3847</v>
      </c>
      <c r="C485" s="251">
        <v>503</v>
      </c>
      <c r="D485" s="10" t="s">
        <v>3808</v>
      </c>
      <c r="E485" s="10"/>
      <c r="F485" s="252">
        <v>3204656699</v>
      </c>
      <c r="G485" s="250"/>
      <c r="H485" s="250"/>
    </row>
    <row r="486" spans="1:8">
      <c r="A486" s="250" t="s">
        <v>3848</v>
      </c>
      <c r="B486" s="250" t="s">
        <v>3849</v>
      </c>
      <c r="C486" s="251">
        <v>1310</v>
      </c>
      <c r="D486" s="10" t="s">
        <v>2772</v>
      </c>
      <c r="E486" s="10"/>
      <c r="F486" s="252">
        <v>3208452521</v>
      </c>
      <c r="G486" s="250"/>
      <c r="H486" s="250"/>
    </row>
    <row r="487" spans="1:8">
      <c r="A487" s="250" t="s">
        <v>3850</v>
      </c>
      <c r="B487" s="250" t="s">
        <v>3851</v>
      </c>
      <c r="C487" s="251">
        <v>204</v>
      </c>
      <c r="D487" s="10"/>
      <c r="E487" s="10"/>
      <c r="F487" s="252">
        <v>3012180443</v>
      </c>
      <c r="G487" s="250"/>
      <c r="H487" s="250"/>
    </row>
    <row r="488" spans="1:8">
      <c r="A488" s="250" t="s">
        <v>3852</v>
      </c>
      <c r="B488" s="250" t="s">
        <v>3853</v>
      </c>
      <c r="C488" s="251">
        <v>209</v>
      </c>
      <c r="D488" s="10"/>
      <c r="E488" s="10"/>
      <c r="F488" s="252">
        <v>3133381500</v>
      </c>
      <c r="G488" s="250"/>
      <c r="H488" s="250"/>
    </row>
    <row r="489" spans="1:8">
      <c r="A489" s="250" t="s">
        <v>3854</v>
      </c>
      <c r="B489" s="250" t="s">
        <v>3855</v>
      </c>
      <c r="C489" s="251" t="s">
        <v>3856</v>
      </c>
      <c r="D489" s="10"/>
      <c r="E489" s="10"/>
      <c r="F489" s="252">
        <v>3107599210</v>
      </c>
      <c r="G489" s="250"/>
      <c r="H489" s="250"/>
    </row>
    <row r="490" spans="1:8">
      <c r="A490" s="250" t="s">
        <v>3857</v>
      </c>
      <c r="B490" s="250" t="s">
        <v>3858</v>
      </c>
      <c r="C490" s="251" t="s">
        <v>3859</v>
      </c>
      <c r="D490" s="10"/>
      <c r="E490" s="10"/>
      <c r="F490" s="252">
        <v>3182914733</v>
      </c>
      <c r="G490" s="250"/>
      <c r="H490" s="250"/>
    </row>
    <row r="491" spans="1:8">
      <c r="A491" s="250" t="s">
        <v>3860</v>
      </c>
      <c r="B491" s="250" t="s">
        <v>3861</v>
      </c>
      <c r="C491" s="251">
        <v>510</v>
      </c>
      <c r="D491" s="10" t="s">
        <v>2721</v>
      </c>
      <c r="E491" s="10"/>
      <c r="F491" s="252">
        <v>3144829942</v>
      </c>
      <c r="G491" s="250"/>
      <c r="H491" s="250"/>
    </row>
    <row r="492" spans="1:8">
      <c r="A492" s="250" t="s">
        <v>3862</v>
      </c>
      <c r="B492" s="250" t="s">
        <v>3863</v>
      </c>
      <c r="C492" s="251">
        <v>308</v>
      </c>
      <c r="D492" s="10"/>
      <c r="E492" s="10"/>
      <c r="F492" s="252">
        <v>3017782547</v>
      </c>
      <c r="G492" s="250"/>
      <c r="H492" s="250"/>
    </row>
    <row r="493" spans="1:8">
      <c r="A493" s="250" t="s">
        <v>3864</v>
      </c>
      <c r="B493" s="250"/>
      <c r="C493" s="251"/>
      <c r="D493" s="265" t="s">
        <v>3865</v>
      </c>
      <c r="E493" s="10"/>
      <c r="F493" s="252">
        <v>3103037612</v>
      </c>
      <c r="G493" s="250"/>
      <c r="H493" s="250"/>
    </row>
    <row r="494" spans="1:8">
      <c r="A494" s="250" t="s">
        <v>3866</v>
      </c>
      <c r="B494" s="250" t="s">
        <v>3867</v>
      </c>
      <c r="C494" s="251">
        <v>801</v>
      </c>
      <c r="D494" s="10"/>
      <c r="E494" s="10"/>
      <c r="F494" s="252">
        <v>3005746847</v>
      </c>
      <c r="G494" s="250"/>
      <c r="H494" s="250"/>
    </row>
    <row r="495" spans="1:8">
      <c r="A495" s="250" t="s">
        <v>3868</v>
      </c>
      <c r="B495" s="250" t="s">
        <v>3869</v>
      </c>
      <c r="C495" s="251">
        <v>407</v>
      </c>
      <c r="D495" s="10" t="s">
        <v>3870</v>
      </c>
      <c r="E495" s="10"/>
      <c r="F495" s="252">
        <v>3208177705</v>
      </c>
      <c r="G495" s="250"/>
      <c r="H495" s="250"/>
    </row>
    <row r="496" spans="1:8">
      <c r="A496" s="250" t="s">
        <v>3871</v>
      </c>
      <c r="B496" s="250" t="s">
        <v>3799</v>
      </c>
      <c r="C496" s="251" t="s">
        <v>3872</v>
      </c>
      <c r="D496" s="10"/>
      <c r="E496" s="10"/>
      <c r="F496" s="252">
        <v>3124321094</v>
      </c>
      <c r="G496" s="250"/>
      <c r="H496" s="250"/>
    </row>
    <row r="497" spans="1:8">
      <c r="A497" s="250" t="s">
        <v>3873</v>
      </c>
      <c r="B497" s="250" t="s">
        <v>3874</v>
      </c>
      <c r="C497" s="251"/>
      <c r="D497" s="10"/>
      <c r="E497" s="10"/>
      <c r="F497" s="252">
        <v>3108806946</v>
      </c>
      <c r="G497" s="250"/>
      <c r="H497" s="250"/>
    </row>
    <row r="498" spans="1:8">
      <c r="A498" s="250" t="s">
        <v>3875</v>
      </c>
      <c r="B498" s="250" t="s">
        <v>3876</v>
      </c>
      <c r="C498" s="251">
        <v>1001</v>
      </c>
      <c r="D498" s="10" t="s">
        <v>3808</v>
      </c>
      <c r="E498" s="10"/>
      <c r="F498" s="252">
        <v>3112692788</v>
      </c>
      <c r="G498" s="250"/>
      <c r="H498" s="250"/>
    </row>
    <row r="499" spans="1:8">
      <c r="A499" s="250" t="s">
        <v>3877</v>
      </c>
      <c r="B499" s="250" t="s">
        <v>2844</v>
      </c>
      <c r="C499" s="251">
        <v>303</v>
      </c>
      <c r="D499" s="10" t="s">
        <v>3878</v>
      </c>
      <c r="E499" s="10"/>
      <c r="F499" s="252">
        <v>3012424545</v>
      </c>
      <c r="G499" s="250"/>
      <c r="H499" s="250"/>
    </row>
    <row r="500" spans="1:8">
      <c r="A500" s="250" t="s">
        <v>3879</v>
      </c>
      <c r="B500" s="250" t="s">
        <v>3880</v>
      </c>
      <c r="C500" s="251">
        <v>1204</v>
      </c>
      <c r="D500" s="10"/>
      <c r="E500" s="10"/>
      <c r="F500" s="252">
        <v>3203186787</v>
      </c>
      <c r="G500" s="250"/>
      <c r="H500" s="250"/>
    </row>
    <row r="501" spans="1:8">
      <c r="A501" s="250" t="s">
        <v>3881</v>
      </c>
      <c r="B501" s="250" t="s">
        <v>3882</v>
      </c>
      <c r="C501" s="251">
        <v>204</v>
      </c>
      <c r="D501" s="10"/>
      <c r="E501" s="10"/>
      <c r="F501" s="252">
        <v>3008509090</v>
      </c>
      <c r="G501" s="250"/>
      <c r="H501" s="250"/>
    </row>
    <row r="502" spans="1:8">
      <c r="A502" s="250" t="s">
        <v>3883</v>
      </c>
      <c r="B502" s="250" t="s">
        <v>3884</v>
      </c>
      <c r="C502" s="251" t="s">
        <v>3007</v>
      </c>
      <c r="D502" s="10"/>
      <c r="E502" s="10"/>
      <c r="F502" s="252">
        <v>3102363715</v>
      </c>
      <c r="G502" s="250"/>
      <c r="H502" s="250"/>
    </row>
    <row r="503" spans="1:8">
      <c r="A503" s="250" t="s">
        <v>3885</v>
      </c>
      <c r="B503" s="250" t="s">
        <v>3886</v>
      </c>
      <c r="C503" s="251">
        <v>1904</v>
      </c>
      <c r="D503" s="10" t="s">
        <v>2772</v>
      </c>
      <c r="E503" s="10"/>
      <c r="F503" s="252">
        <v>3176667352</v>
      </c>
      <c r="G503" s="250"/>
      <c r="H503" s="250"/>
    </row>
    <row r="504" spans="1:8">
      <c r="A504" s="250" t="s">
        <v>3887</v>
      </c>
      <c r="B504" s="250" t="s">
        <v>3888</v>
      </c>
      <c r="C504" s="251" t="s">
        <v>3007</v>
      </c>
      <c r="D504" s="10" t="s">
        <v>3398</v>
      </c>
      <c r="E504" s="10"/>
      <c r="F504" s="252">
        <v>3212500275</v>
      </c>
      <c r="G504" s="250"/>
      <c r="H504" s="250"/>
    </row>
    <row r="505" spans="1:8">
      <c r="A505" s="250" t="s">
        <v>3889</v>
      </c>
      <c r="B505" s="250" t="s">
        <v>3890</v>
      </c>
      <c r="C505" s="251">
        <v>217</v>
      </c>
      <c r="D505" s="10" t="s">
        <v>3891</v>
      </c>
      <c r="E505" s="10"/>
      <c r="F505" s="252">
        <v>3102349421</v>
      </c>
      <c r="G505" s="250"/>
      <c r="H505" s="250"/>
    </row>
    <row r="506" spans="1:8">
      <c r="A506" s="250" t="s">
        <v>3892</v>
      </c>
      <c r="B506" s="250" t="s">
        <v>3893</v>
      </c>
      <c r="C506" s="251">
        <v>418</v>
      </c>
      <c r="D506" s="10" t="s">
        <v>2762</v>
      </c>
      <c r="E506" s="10"/>
      <c r="F506" s="252">
        <v>3103187188</v>
      </c>
      <c r="G506" s="250"/>
      <c r="H506" s="250"/>
    </row>
    <row r="507" spans="1:8">
      <c r="A507" s="250" t="s">
        <v>3894</v>
      </c>
      <c r="B507" s="250"/>
      <c r="C507" s="251"/>
      <c r="D507" s="10"/>
      <c r="E507" s="10"/>
      <c r="F507" s="252">
        <v>3012884146</v>
      </c>
      <c r="G507" s="250"/>
      <c r="H507" s="250"/>
    </row>
    <row r="508" spans="1:8">
      <c r="A508" s="250" t="s">
        <v>3895</v>
      </c>
      <c r="B508" s="250" t="s">
        <v>3896</v>
      </c>
      <c r="C508" s="251">
        <v>401</v>
      </c>
      <c r="D508" s="10" t="s">
        <v>3897</v>
      </c>
      <c r="E508" s="10"/>
      <c r="F508" s="252">
        <v>3102630974</v>
      </c>
      <c r="G508" s="250"/>
      <c r="H508" s="250"/>
    </row>
    <row r="509" spans="1:8">
      <c r="A509" s="250" t="s">
        <v>3898</v>
      </c>
      <c r="B509" s="250" t="s">
        <v>3899</v>
      </c>
      <c r="C509" s="251">
        <v>1001</v>
      </c>
      <c r="D509" s="10"/>
      <c r="E509" s="10"/>
      <c r="F509" s="252">
        <v>3164945513</v>
      </c>
      <c r="G509" s="250"/>
      <c r="H509" s="250"/>
    </row>
    <row r="510" spans="1:8">
      <c r="A510" s="250" t="s">
        <v>3900</v>
      </c>
      <c r="B510" s="250" t="s">
        <v>3901</v>
      </c>
      <c r="C510" s="251"/>
      <c r="D510" s="10"/>
      <c r="E510" s="10"/>
      <c r="F510" s="252">
        <v>3112264154</v>
      </c>
      <c r="G510" s="250"/>
      <c r="H510" s="250"/>
    </row>
    <row r="511" spans="1:8">
      <c r="A511" s="250" t="s">
        <v>3902</v>
      </c>
      <c r="B511" s="250" t="s">
        <v>3903</v>
      </c>
      <c r="C511" s="251" t="s">
        <v>3007</v>
      </c>
      <c r="D511" s="10" t="s">
        <v>3904</v>
      </c>
      <c r="E511" s="10"/>
      <c r="F511" s="252">
        <v>3138407317</v>
      </c>
      <c r="G511" s="250"/>
      <c r="H511" s="250"/>
    </row>
    <row r="512" spans="1:8">
      <c r="A512" s="250" t="s">
        <v>3905</v>
      </c>
      <c r="B512" s="250" t="s">
        <v>3906</v>
      </c>
      <c r="C512" s="251" t="s">
        <v>3907</v>
      </c>
      <c r="D512" s="10" t="s">
        <v>3908</v>
      </c>
      <c r="E512" s="10"/>
      <c r="F512" s="252">
        <v>3138538988</v>
      </c>
      <c r="G512" s="250"/>
      <c r="H512" s="250"/>
    </row>
    <row r="513" spans="1:8">
      <c r="A513" s="250" t="s">
        <v>3909</v>
      </c>
      <c r="B513" s="250" t="s">
        <v>3910</v>
      </c>
      <c r="C513" s="251">
        <v>204</v>
      </c>
      <c r="D513" s="10" t="s">
        <v>2733</v>
      </c>
      <c r="E513" s="10"/>
      <c r="F513" s="252">
        <v>3192078336</v>
      </c>
      <c r="G513" s="250"/>
      <c r="H513" s="250"/>
    </row>
    <row r="514" spans="1:8">
      <c r="A514" s="250" t="s">
        <v>3911</v>
      </c>
      <c r="B514" s="250" t="s">
        <v>3912</v>
      </c>
      <c r="C514" s="251">
        <v>705</v>
      </c>
      <c r="D514" s="10"/>
      <c r="E514" s="10"/>
      <c r="F514" s="252">
        <v>3107630637</v>
      </c>
      <c r="G514" s="250"/>
      <c r="H514" s="266"/>
    </row>
    <row r="515" spans="1:8">
      <c r="A515" s="250" t="s">
        <v>3913</v>
      </c>
      <c r="B515" s="250" t="s">
        <v>3914</v>
      </c>
      <c r="C515" s="251">
        <v>201</v>
      </c>
      <c r="D515" s="10"/>
      <c r="E515" s="10"/>
      <c r="F515" s="252">
        <v>3108652121</v>
      </c>
      <c r="G515" s="250"/>
      <c r="H515" s="266"/>
    </row>
    <row r="516" spans="1:8">
      <c r="A516" s="250" t="s">
        <v>20</v>
      </c>
      <c r="B516" s="250" t="s">
        <v>3915</v>
      </c>
      <c r="C516" s="251">
        <v>201</v>
      </c>
      <c r="D516" s="10"/>
      <c r="E516" s="10"/>
      <c r="F516" s="252">
        <v>12244360600</v>
      </c>
      <c r="G516" s="250"/>
      <c r="H516" s="250"/>
    </row>
    <row r="517" spans="1:8">
      <c r="A517" s="250" t="s">
        <v>3916</v>
      </c>
      <c r="B517" s="250" t="s">
        <v>2879</v>
      </c>
      <c r="C517" s="251">
        <v>701</v>
      </c>
      <c r="D517" s="10"/>
      <c r="E517" s="10"/>
      <c r="F517" s="252">
        <v>3007814643</v>
      </c>
      <c r="G517" s="250"/>
      <c r="H517" s="250"/>
    </row>
    <row r="518" spans="1:8">
      <c r="A518" s="250" t="s">
        <v>3917</v>
      </c>
      <c r="B518" s="250" t="s">
        <v>3918</v>
      </c>
      <c r="C518" s="251" t="s">
        <v>3919</v>
      </c>
      <c r="D518" s="10"/>
      <c r="E518" s="10"/>
      <c r="F518" s="252">
        <v>3224461520</v>
      </c>
      <c r="G518" s="250"/>
      <c r="H518" s="250"/>
    </row>
    <row r="519" spans="1:8">
      <c r="A519" s="250" t="s">
        <v>2687</v>
      </c>
      <c r="B519" s="250" t="s">
        <v>3920</v>
      </c>
      <c r="C519" s="251">
        <v>715</v>
      </c>
      <c r="D519" s="10"/>
      <c r="E519" s="10"/>
      <c r="F519" s="252">
        <v>3004416074</v>
      </c>
      <c r="G519" s="250"/>
      <c r="H519" s="250"/>
    </row>
    <row r="520" spans="1:8">
      <c r="A520" s="250" t="s">
        <v>3921</v>
      </c>
      <c r="B520" s="250" t="s">
        <v>3922</v>
      </c>
      <c r="C520" s="251">
        <v>401</v>
      </c>
      <c r="D520" s="10"/>
      <c r="E520" s="10"/>
      <c r="F520" s="252">
        <v>3168764628</v>
      </c>
      <c r="G520" s="250"/>
      <c r="H520" s="250"/>
    </row>
    <row r="521" spans="1:8">
      <c r="A521" s="250" t="s">
        <v>3923</v>
      </c>
      <c r="B521" s="250" t="s">
        <v>3924</v>
      </c>
      <c r="C521" s="251">
        <v>501</v>
      </c>
      <c r="D521" s="10"/>
      <c r="E521" s="10"/>
      <c r="F521" s="252">
        <v>3017311016</v>
      </c>
      <c r="G521" s="250"/>
      <c r="H521" s="250"/>
    </row>
    <row r="522" spans="1:8">
      <c r="A522" s="250" t="s">
        <v>3925</v>
      </c>
      <c r="B522" s="250"/>
      <c r="C522" s="251"/>
      <c r="D522" s="10"/>
      <c r="E522" s="10"/>
      <c r="F522" s="252">
        <v>3138886860</v>
      </c>
      <c r="G522" s="250"/>
      <c r="H522" s="250"/>
    </row>
    <row r="523" spans="1:8">
      <c r="A523" s="250" t="s">
        <v>3926</v>
      </c>
      <c r="B523" s="250" t="s">
        <v>3927</v>
      </c>
      <c r="C523" s="251">
        <v>301</v>
      </c>
      <c r="D523" s="10" t="s">
        <v>3928</v>
      </c>
      <c r="E523" s="10"/>
      <c r="F523" s="252">
        <v>3006100852</v>
      </c>
      <c r="G523" s="250"/>
      <c r="H523" s="250"/>
    </row>
    <row r="524" spans="1:8">
      <c r="A524" s="250" t="s">
        <v>3929</v>
      </c>
      <c r="B524" s="250" t="s">
        <v>3930</v>
      </c>
      <c r="C524" s="251">
        <v>402</v>
      </c>
      <c r="D524" s="10" t="s">
        <v>3931</v>
      </c>
      <c r="E524" s="10"/>
      <c r="F524" s="252">
        <v>3208948597</v>
      </c>
      <c r="G524" s="250"/>
      <c r="H524" s="250"/>
    </row>
    <row r="525" spans="1:8">
      <c r="A525" s="250" t="s">
        <v>3932</v>
      </c>
      <c r="B525" s="250" t="s">
        <v>3933</v>
      </c>
      <c r="C525" s="251">
        <v>2104</v>
      </c>
      <c r="D525" s="10" t="s">
        <v>2733</v>
      </c>
      <c r="E525" s="10"/>
      <c r="F525" s="252">
        <v>3148647594</v>
      </c>
      <c r="G525" s="250"/>
      <c r="H525" s="250"/>
    </row>
    <row r="526" spans="1:8">
      <c r="A526" s="250" t="s">
        <v>3934</v>
      </c>
      <c r="B526" s="250" t="s">
        <v>3935</v>
      </c>
      <c r="C526" s="251"/>
      <c r="D526" s="10"/>
      <c r="E526" s="10"/>
      <c r="F526" s="252">
        <v>3174396245</v>
      </c>
      <c r="G526" s="250"/>
      <c r="H526" s="250"/>
    </row>
    <row r="527" spans="1:8">
      <c r="A527" s="250" t="s">
        <v>3936</v>
      </c>
      <c r="B527" s="250" t="s">
        <v>3937</v>
      </c>
      <c r="C527" s="251">
        <v>502</v>
      </c>
      <c r="D527" s="10"/>
      <c r="E527" s="10"/>
      <c r="F527" s="252">
        <v>3102555013</v>
      </c>
      <c r="G527" s="250"/>
      <c r="H527" s="250"/>
    </row>
    <row r="528" spans="1:8">
      <c r="A528" s="250" t="s">
        <v>3938</v>
      </c>
      <c r="B528" s="250" t="s">
        <v>3939</v>
      </c>
      <c r="C528" s="251">
        <v>402</v>
      </c>
      <c r="D528" s="10"/>
      <c r="E528" s="10"/>
      <c r="F528" s="252">
        <v>3134724899</v>
      </c>
      <c r="G528" s="250"/>
      <c r="H528" s="250"/>
    </row>
    <row r="529" spans="1:8">
      <c r="A529" s="250" t="s">
        <v>3940</v>
      </c>
      <c r="B529" s="250" t="s">
        <v>3941</v>
      </c>
      <c r="C529" s="251">
        <v>102</v>
      </c>
      <c r="D529" s="10"/>
      <c r="E529" s="10"/>
      <c r="F529" s="252">
        <v>3103433502</v>
      </c>
      <c r="G529" s="250"/>
      <c r="H529" s="250"/>
    </row>
    <row r="530" spans="1:8">
      <c r="A530" s="250" t="s">
        <v>3942</v>
      </c>
      <c r="B530" s="250" t="s">
        <v>3943</v>
      </c>
      <c r="C530" s="251" t="s">
        <v>3822</v>
      </c>
      <c r="D530" s="10"/>
      <c r="E530" s="10"/>
      <c r="F530" s="252">
        <v>3152202374</v>
      </c>
      <c r="G530" s="250"/>
      <c r="H530" s="250"/>
    </row>
    <row r="531" spans="1:8">
      <c r="A531" s="250" t="s">
        <v>3944</v>
      </c>
      <c r="B531" s="250" t="s">
        <v>3945</v>
      </c>
      <c r="C531" s="251">
        <v>103</v>
      </c>
      <c r="D531" s="10" t="s">
        <v>3752</v>
      </c>
      <c r="E531" s="10"/>
      <c r="F531" s="252">
        <v>3112423492</v>
      </c>
      <c r="G531" s="250"/>
      <c r="H531" s="250"/>
    </row>
    <row r="532" spans="1:8">
      <c r="A532" s="250" t="s">
        <v>3946</v>
      </c>
      <c r="B532" s="250" t="s">
        <v>3947</v>
      </c>
      <c r="C532" s="251">
        <v>205</v>
      </c>
      <c r="D532" s="10"/>
      <c r="E532" s="10"/>
      <c r="F532" s="252">
        <v>3165272114</v>
      </c>
      <c r="G532" s="250"/>
      <c r="H532" s="250"/>
    </row>
    <row r="533" spans="1:8">
      <c r="A533" s="250" t="s">
        <v>3948</v>
      </c>
      <c r="B533" s="250" t="s">
        <v>3949</v>
      </c>
      <c r="C533" s="251" t="s">
        <v>3950</v>
      </c>
      <c r="D533" s="10" t="s">
        <v>3951</v>
      </c>
      <c r="E533" s="10"/>
      <c r="F533" s="252">
        <v>3124337745</v>
      </c>
      <c r="G533" s="250"/>
      <c r="H533" s="250"/>
    </row>
    <row r="534" spans="1:8">
      <c r="A534" s="250" t="s">
        <v>3952</v>
      </c>
      <c r="B534" s="250" t="s">
        <v>3953</v>
      </c>
      <c r="C534" s="251">
        <v>202</v>
      </c>
      <c r="D534" s="10"/>
      <c r="E534" s="10"/>
      <c r="F534" s="252">
        <v>3134999673</v>
      </c>
      <c r="G534" s="250"/>
      <c r="H534" s="250"/>
    </row>
    <row r="535" spans="1:8">
      <c r="A535" s="250" t="s">
        <v>3954</v>
      </c>
      <c r="B535" s="250" t="s">
        <v>3955</v>
      </c>
      <c r="C535" s="251" t="s">
        <v>3007</v>
      </c>
      <c r="D535" s="10" t="s">
        <v>3956</v>
      </c>
      <c r="E535" s="10"/>
      <c r="F535" s="252">
        <v>3185788149</v>
      </c>
      <c r="G535" s="250"/>
      <c r="H535" s="250"/>
    </row>
    <row r="536" spans="1:8">
      <c r="A536" s="250" t="s">
        <v>3957</v>
      </c>
      <c r="B536" s="250" t="s">
        <v>3958</v>
      </c>
      <c r="C536" s="251">
        <v>402</v>
      </c>
      <c r="D536" s="10"/>
      <c r="E536" s="10"/>
      <c r="F536" s="252">
        <v>3102300860</v>
      </c>
      <c r="G536" s="250"/>
      <c r="H536" s="250"/>
    </row>
    <row r="537" spans="1:8">
      <c r="A537" s="250" t="s">
        <v>3959</v>
      </c>
      <c r="B537" s="250" t="s">
        <v>3960</v>
      </c>
      <c r="C537" s="251">
        <v>504</v>
      </c>
      <c r="D537" s="10" t="s">
        <v>3961</v>
      </c>
      <c r="E537" s="10"/>
      <c r="F537" s="252">
        <v>3138087482</v>
      </c>
      <c r="G537" s="250"/>
      <c r="H537" s="250"/>
    </row>
    <row r="538" spans="1:8">
      <c r="A538" s="250" t="s">
        <v>3962</v>
      </c>
      <c r="B538" s="250" t="s">
        <v>3963</v>
      </c>
      <c r="C538" s="251" t="s">
        <v>3007</v>
      </c>
      <c r="D538" s="10"/>
      <c r="E538" s="10"/>
      <c r="F538" s="252">
        <v>3022078609</v>
      </c>
      <c r="G538" s="250"/>
      <c r="H538" s="250"/>
    </row>
    <row r="539" spans="1:8">
      <c r="A539" s="250" t="s">
        <v>3964</v>
      </c>
      <c r="B539" s="250" t="s">
        <v>3965</v>
      </c>
      <c r="C539" s="251">
        <v>501</v>
      </c>
      <c r="D539" s="10"/>
      <c r="E539" s="10"/>
      <c r="F539" s="252">
        <v>3005297135</v>
      </c>
      <c r="G539" s="250"/>
      <c r="H539" s="250"/>
    </row>
    <row r="540" spans="1:8">
      <c r="A540" s="250" t="s">
        <v>3966</v>
      </c>
      <c r="B540" s="250" t="s">
        <v>3967</v>
      </c>
      <c r="C540" s="251">
        <v>1304</v>
      </c>
      <c r="D540" s="10" t="s">
        <v>2772</v>
      </c>
      <c r="E540" s="10"/>
      <c r="F540" s="252">
        <v>3174873639</v>
      </c>
      <c r="G540" s="250"/>
      <c r="H540" s="250"/>
    </row>
    <row r="541" spans="1:8">
      <c r="A541" s="250" t="s">
        <v>3968</v>
      </c>
      <c r="B541" s="250" t="s">
        <v>3969</v>
      </c>
      <c r="C541" s="251">
        <v>402</v>
      </c>
      <c r="D541" s="10" t="s">
        <v>3622</v>
      </c>
      <c r="E541" s="10"/>
      <c r="F541" s="252">
        <v>3208537665</v>
      </c>
      <c r="G541" s="250"/>
      <c r="H541" s="250"/>
    </row>
    <row r="542" spans="1:8">
      <c r="A542" s="250" t="s">
        <v>3970</v>
      </c>
      <c r="B542" s="250" t="s">
        <v>3971</v>
      </c>
      <c r="C542" s="251">
        <v>404</v>
      </c>
      <c r="D542" s="10" t="s">
        <v>2721</v>
      </c>
      <c r="E542" s="10"/>
      <c r="F542" s="252">
        <v>3125730801</v>
      </c>
      <c r="G542" s="250"/>
      <c r="H542" s="250"/>
    </row>
    <row r="543" spans="1:8">
      <c r="A543" s="250" t="s">
        <v>3972</v>
      </c>
      <c r="B543" s="250" t="s">
        <v>3973</v>
      </c>
      <c r="C543" s="251">
        <v>301</v>
      </c>
      <c r="D543" s="10"/>
      <c r="E543" s="10"/>
      <c r="F543" s="252">
        <v>3115619600</v>
      </c>
      <c r="G543" s="250"/>
      <c r="H543" s="250"/>
    </row>
    <row r="544" spans="1:8">
      <c r="A544" s="250" t="s">
        <v>3974</v>
      </c>
      <c r="B544" s="250" t="s">
        <v>3975</v>
      </c>
      <c r="C544" s="251">
        <v>301</v>
      </c>
      <c r="D544" s="10"/>
      <c r="E544" s="10"/>
      <c r="F544" s="252">
        <v>3167935232</v>
      </c>
      <c r="G544" s="250"/>
      <c r="H544" s="250"/>
    </row>
    <row r="545" spans="1:8">
      <c r="A545" s="250" t="s">
        <v>3976</v>
      </c>
      <c r="B545" s="250" t="s">
        <v>3977</v>
      </c>
      <c r="C545" s="251">
        <v>204</v>
      </c>
      <c r="D545" s="10"/>
      <c r="E545" s="10"/>
      <c r="F545" s="252">
        <v>3176606941</v>
      </c>
      <c r="G545" s="250"/>
      <c r="H545" s="250"/>
    </row>
    <row r="546" spans="1:8">
      <c r="A546" s="250" t="s">
        <v>3978</v>
      </c>
      <c r="B546" s="250" t="s">
        <v>3979</v>
      </c>
      <c r="C546" s="251" t="s">
        <v>3007</v>
      </c>
      <c r="D546" s="10"/>
      <c r="E546" s="10"/>
      <c r="F546" s="252">
        <v>3123780585</v>
      </c>
      <c r="G546" s="250"/>
      <c r="H546" s="250"/>
    </row>
    <row r="547" spans="1:8">
      <c r="A547" s="250" t="s">
        <v>3980</v>
      </c>
      <c r="B547" s="250" t="s">
        <v>3981</v>
      </c>
      <c r="C547" s="251">
        <v>401</v>
      </c>
      <c r="D547" s="10"/>
      <c r="E547" s="10"/>
      <c r="F547" s="252">
        <v>3014453384</v>
      </c>
      <c r="G547" s="250"/>
      <c r="H547" s="250"/>
    </row>
    <row r="548" spans="1:8">
      <c r="A548" s="250" t="s">
        <v>3982</v>
      </c>
      <c r="B548" s="250" t="s">
        <v>3983</v>
      </c>
      <c r="C548" s="251">
        <v>102</v>
      </c>
      <c r="D548" s="10" t="s">
        <v>3984</v>
      </c>
      <c r="E548" s="10" t="s">
        <v>3985</v>
      </c>
      <c r="F548" s="252">
        <v>3153211801</v>
      </c>
      <c r="G548" s="250"/>
      <c r="H548" s="250"/>
    </row>
    <row r="549" spans="1:8">
      <c r="A549" s="250" t="s">
        <v>3986</v>
      </c>
      <c r="B549" s="250" t="s">
        <v>3987</v>
      </c>
      <c r="C549" s="251">
        <v>701</v>
      </c>
      <c r="D549" s="10"/>
      <c r="E549" s="10"/>
      <c r="F549" s="252">
        <v>3133502896</v>
      </c>
      <c r="G549" s="250"/>
      <c r="H549" s="250"/>
    </row>
    <row r="550" spans="1:8">
      <c r="A550" s="250" t="s">
        <v>3988</v>
      </c>
      <c r="B550" s="250" t="s">
        <v>3989</v>
      </c>
      <c r="C550" s="251">
        <v>404</v>
      </c>
      <c r="D550" s="10"/>
      <c r="E550" s="10"/>
      <c r="F550" s="252">
        <v>3115085449</v>
      </c>
      <c r="G550" s="250"/>
      <c r="H550" s="250"/>
    </row>
    <row r="551" spans="1:8">
      <c r="A551" s="250" t="s">
        <v>3990</v>
      </c>
      <c r="B551" s="250"/>
      <c r="C551" s="251"/>
      <c r="D551" s="10"/>
      <c r="E551" s="10"/>
      <c r="F551" s="252">
        <v>3183626983</v>
      </c>
      <c r="G551" s="250"/>
      <c r="H551" s="250"/>
    </row>
    <row r="552" spans="1:8">
      <c r="A552" s="250" t="s">
        <v>3991</v>
      </c>
      <c r="B552" s="250" t="s">
        <v>3992</v>
      </c>
      <c r="C552" s="251">
        <v>203</v>
      </c>
      <c r="D552" s="10" t="s">
        <v>2721</v>
      </c>
      <c r="E552" s="10"/>
      <c r="F552" s="252">
        <v>3106963078</v>
      </c>
      <c r="G552" s="250"/>
      <c r="H552" s="250"/>
    </row>
    <row r="553" spans="1:8">
      <c r="A553" s="250" t="s">
        <v>3993</v>
      </c>
      <c r="B553" s="250" t="s">
        <v>3994</v>
      </c>
      <c r="C553" s="251">
        <v>203</v>
      </c>
      <c r="D553" s="10"/>
      <c r="E553" s="10"/>
      <c r="F553" s="252">
        <v>3195821036</v>
      </c>
      <c r="G553" s="250"/>
      <c r="H553" s="250"/>
    </row>
    <row r="554" spans="1:8">
      <c r="A554" s="250" t="s">
        <v>3995</v>
      </c>
      <c r="B554" s="250" t="s">
        <v>3996</v>
      </c>
      <c r="C554" s="251" t="s">
        <v>3822</v>
      </c>
      <c r="D554" s="10"/>
      <c r="E554" s="10"/>
      <c r="F554" s="252">
        <v>3167436156</v>
      </c>
      <c r="G554" s="250"/>
      <c r="H554" s="250"/>
    </row>
    <row r="555" spans="1:8">
      <c r="A555" s="250" t="s">
        <v>3997</v>
      </c>
      <c r="B555" s="250" t="s">
        <v>3998</v>
      </c>
      <c r="C555" s="251"/>
      <c r="D555" s="10" t="s">
        <v>3999</v>
      </c>
      <c r="E555" s="10"/>
      <c r="F555" s="252">
        <v>3005300852</v>
      </c>
      <c r="G555" s="250"/>
      <c r="H555" s="250"/>
    </row>
    <row r="556" spans="1:8">
      <c r="A556" s="250" t="s">
        <v>4000</v>
      </c>
      <c r="B556" s="250" t="s">
        <v>4001</v>
      </c>
      <c r="C556" s="251">
        <v>509</v>
      </c>
      <c r="D556" s="10"/>
      <c r="E556" s="10"/>
      <c r="F556" s="252">
        <v>3203444823</v>
      </c>
      <c r="G556" s="250"/>
      <c r="H556" s="250"/>
    </row>
    <row r="557" spans="1:8">
      <c r="A557" s="250" t="s">
        <v>4002</v>
      </c>
      <c r="B557" s="250" t="s">
        <v>4003</v>
      </c>
      <c r="C557" s="251">
        <v>906</v>
      </c>
      <c r="D557" s="10" t="s">
        <v>2733</v>
      </c>
      <c r="E557" s="10"/>
      <c r="F557" s="252">
        <v>3012671553</v>
      </c>
      <c r="G557" s="250"/>
      <c r="H557" s="250"/>
    </row>
    <row r="558" spans="1:8">
      <c r="A558" s="250" t="s">
        <v>4004</v>
      </c>
      <c r="B558" s="250" t="s">
        <v>4005</v>
      </c>
      <c r="C558" s="251">
        <v>302</v>
      </c>
      <c r="D558" s="10"/>
      <c r="E558" s="10"/>
      <c r="F558" s="252">
        <v>3005622083</v>
      </c>
      <c r="G558" s="250"/>
      <c r="H558" s="250"/>
    </row>
    <row r="559" spans="1:8">
      <c r="A559" s="250" t="s">
        <v>4006</v>
      </c>
      <c r="B559" s="250" t="s">
        <v>4007</v>
      </c>
      <c r="C559" s="251">
        <v>501</v>
      </c>
      <c r="D559" s="10"/>
      <c r="E559" s="10"/>
      <c r="F559" s="252">
        <v>3103469445</v>
      </c>
      <c r="G559" s="250"/>
      <c r="H559" s="250"/>
    </row>
    <row r="560" spans="1:8">
      <c r="A560" s="250" t="s">
        <v>4008</v>
      </c>
      <c r="B560" s="250" t="s">
        <v>3540</v>
      </c>
      <c r="C560" s="251">
        <v>407</v>
      </c>
      <c r="D560" s="10" t="s">
        <v>2772</v>
      </c>
      <c r="E560" s="10"/>
      <c r="F560" s="252">
        <v>3007914421</v>
      </c>
      <c r="G560" s="250"/>
      <c r="H560" s="250"/>
    </row>
    <row r="561" spans="1:8">
      <c r="A561" s="250" t="s">
        <v>4009</v>
      </c>
      <c r="B561" s="250" t="s">
        <v>4010</v>
      </c>
      <c r="C561" s="251">
        <v>702</v>
      </c>
      <c r="D561" s="10"/>
      <c r="E561" s="10"/>
      <c r="F561" s="252">
        <v>3102945125</v>
      </c>
      <c r="G561" s="250"/>
      <c r="H561" s="250"/>
    </row>
    <row r="562" spans="1:8">
      <c r="A562" s="250" t="s">
        <v>4011</v>
      </c>
      <c r="B562" s="250" t="s">
        <v>4012</v>
      </c>
      <c r="C562" s="251">
        <v>209</v>
      </c>
      <c r="D562" s="10" t="s">
        <v>4013</v>
      </c>
      <c r="E562" s="10"/>
      <c r="F562" s="252">
        <v>3185230264</v>
      </c>
      <c r="G562" s="250"/>
      <c r="H562" s="250"/>
    </row>
    <row r="563" spans="1:8">
      <c r="A563" s="250" t="s">
        <v>4014</v>
      </c>
      <c r="B563" s="250" t="s">
        <v>4015</v>
      </c>
      <c r="C563" s="251" t="s">
        <v>4016</v>
      </c>
      <c r="D563" s="10" t="s">
        <v>4017</v>
      </c>
      <c r="E563" s="10"/>
      <c r="F563" s="252">
        <v>3167415466</v>
      </c>
      <c r="G563" s="250"/>
      <c r="H563" s="250"/>
    </row>
    <row r="564" spans="1:8">
      <c r="A564" s="250" t="s">
        <v>4018</v>
      </c>
      <c r="B564" s="250" t="s">
        <v>4019</v>
      </c>
      <c r="C564" s="251">
        <v>402</v>
      </c>
      <c r="D564" s="10" t="s">
        <v>2772</v>
      </c>
      <c r="E564" s="10"/>
      <c r="F564" s="252">
        <v>3007000016</v>
      </c>
      <c r="G564" s="250"/>
      <c r="H564" s="250"/>
    </row>
    <row r="565" spans="1:8">
      <c r="A565" s="250" t="s">
        <v>4020</v>
      </c>
      <c r="B565" s="250" t="s">
        <v>4021</v>
      </c>
      <c r="C565" s="251">
        <v>1103</v>
      </c>
      <c r="D565" s="10"/>
      <c r="E565" s="10"/>
      <c r="F565" s="252">
        <v>3012908686</v>
      </c>
      <c r="G565" s="250"/>
      <c r="H565" s="250"/>
    </row>
    <row r="566" spans="1:8">
      <c r="A566" s="250" t="s">
        <v>4022</v>
      </c>
      <c r="B566" s="250" t="s">
        <v>4023</v>
      </c>
      <c r="C566" s="251">
        <v>604</v>
      </c>
      <c r="D566" s="10" t="s">
        <v>3463</v>
      </c>
      <c r="E566" s="10"/>
      <c r="F566" s="252">
        <v>3163218407</v>
      </c>
      <c r="G566" s="250"/>
      <c r="H566" s="250"/>
    </row>
    <row r="567" spans="1:8">
      <c r="A567" s="250" t="s">
        <v>4024</v>
      </c>
      <c r="B567" s="250" t="s">
        <v>4025</v>
      </c>
      <c r="C567" s="251">
        <v>402</v>
      </c>
      <c r="D567" s="10"/>
      <c r="E567" s="10"/>
      <c r="F567" s="252">
        <v>3135497529</v>
      </c>
      <c r="G567" s="250"/>
      <c r="H567" s="250"/>
    </row>
    <row r="568" spans="1:8">
      <c r="A568" s="250" t="s">
        <v>4026</v>
      </c>
      <c r="B568" s="250" t="s">
        <v>4027</v>
      </c>
      <c r="C568" s="251">
        <v>801</v>
      </c>
      <c r="D568" s="10"/>
      <c r="E568" s="10"/>
      <c r="F568" s="252">
        <v>3112408048</v>
      </c>
      <c r="G568" s="250"/>
      <c r="H568" s="250"/>
    </row>
    <row r="569" spans="1:8">
      <c r="A569" s="250" t="s">
        <v>4028</v>
      </c>
      <c r="B569" s="250" t="s">
        <v>4029</v>
      </c>
      <c r="C569" s="251">
        <v>810</v>
      </c>
      <c r="D569" s="10"/>
      <c r="E569" s="10"/>
      <c r="F569" s="252">
        <v>3208336649</v>
      </c>
      <c r="G569" s="250"/>
      <c r="H569" s="250"/>
    </row>
    <row r="570" spans="1:8">
      <c r="A570" s="250" t="s">
        <v>4030</v>
      </c>
      <c r="B570" s="250" t="s">
        <v>4031</v>
      </c>
      <c r="C570" s="251">
        <v>202</v>
      </c>
      <c r="D570" s="10"/>
      <c r="E570" s="10"/>
      <c r="F570" s="252">
        <v>3508082883</v>
      </c>
      <c r="G570" s="250"/>
      <c r="H570" s="250"/>
    </row>
    <row r="571" spans="1:8">
      <c r="A571" s="250" t="s">
        <v>4032</v>
      </c>
      <c r="B571" s="250" t="s">
        <v>4033</v>
      </c>
      <c r="C571" s="251">
        <v>202</v>
      </c>
      <c r="D571" s="10"/>
      <c r="E571" s="10"/>
      <c r="F571" s="252">
        <v>3125827099</v>
      </c>
      <c r="G571" s="250"/>
      <c r="H571" s="250"/>
    </row>
    <row r="572" spans="1:8">
      <c r="A572" s="250" t="s">
        <v>4034</v>
      </c>
      <c r="B572" s="250" t="s">
        <v>4035</v>
      </c>
      <c r="C572" s="251">
        <v>502</v>
      </c>
      <c r="D572" s="10" t="s">
        <v>4036</v>
      </c>
      <c r="E572" s="10"/>
      <c r="F572" s="252">
        <v>3002142110</v>
      </c>
      <c r="G572" s="250"/>
      <c r="H572" s="250"/>
    </row>
    <row r="573" spans="1:8">
      <c r="A573" s="250" t="s">
        <v>4037</v>
      </c>
      <c r="B573" s="250" t="s">
        <v>4038</v>
      </c>
      <c r="C573" s="251">
        <v>1309</v>
      </c>
      <c r="D573" s="10" t="s">
        <v>2721</v>
      </c>
      <c r="E573" s="10"/>
      <c r="F573" s="252">
        <v>3134620856</v>
      </c>
      <c r="G573" s="250"/>
      <c r="H573" s="250"/>
    </row>
    <row r="574" spans="1:8">
      <c r="A574" s="250" t="s">
        <v>4039</v>
      </c>
      <c r="B574" s="250" t="s">
        <v>4040</v>
      </c>
      <c r="C574" s="251">
        <v>1006</v>
      </c>
      <c r="D574" s="10" t="s">
        <v>4041</v>
      </c>
      <c r="E574" s="10"/>
      <c r="F574" s="252">
        <v>3103066576</v>
      </c>
      <c r="G574" s="250"/>
      <c r="H574" s="250"/>
    </row>
    <row r="575" spans="1:8">
      <c r="A575" s="250" t="s">
        <v>4042</v>
      </c>
      <c r="B575" s="250" t="s">
        <v>4043</v>
      </c>
      <c r="C575" s="251" t="s">
        <v>4044</v>
      </c>
      <c r="D575" s="10"/>
      <c r="E575" s="10"/>
      <c r="F575" s="252">
        <v>3134180367</v>
      </c>
      <c r="G575" s="250"/>
      <c r="H575" s="250"/>
    </row>
    <row r="576" spans="1:8">
      <c r="A576" s="250" t="s">
        <v>4045</v>
      </c>
      <c r="B576" s="250" t="s">
        <v>4046</v>
      </c>
      <c r="C576" s="251">
        <v>303</v>
      </c>
      <c r="D576" s="10" t="s">
        <v>4047</v>
      </c>
      <c r="E576" s="10"/>
      <c r="F576" s="252">
        <v>4385086114</v>
      </c>
      <c r="G576" s="250"/>
      <c r="H576" s="250"/>
    </row>
    <row r="577" spans="1:8">
      <c r="A577" s="250" t="s">
        <v>4048</v>
      </c>
      <c r="B577" s="250" t="s">
        <v>4049</v>
      </c>
      <c r="C577" s="251"/>
      <c r="D577" s="10" t="s">
        <v>4050</v>
      </c>
      <c r="E577" s="10"/>
      <c r="F577" s="252">
        <v>3133919377</v>
      </c>
      <c r="G577" s="250"/>
      <c r="H577" s="250"/>
    </row>
    <row r="578" spans="1:8">
      <c r="A578" s="250" t="s">
        <v>4051</v>
      </c>
      <c r="B578" s="250" t="s">
        <v>4052</v>
      </c>
      <c r="C578" s="251" t="s">
        <v>3007</v>
      </c>
      <c r="D578" s="10"/>
      <c r="E578" s="10"/>
      <c r="F578" s="252">
        <v>3102199222</v>
      </c>
      <c r="G578" s="250"/>
      <c r="H578" s="250"/>
    </row>
    <row r="579" spans="1:8">
      <c r="A579" s="250" t="s">
        <v>4053</v>
      </c>
      <c r="B579" s="250" t="s">
        <v>4054</v>
      </c>
      <c r="C579" s="251">
        <v>712</v>
      </c>
      <c r="D579" s="10"/>
      <c r="E579" s="10"/>
      <c r="F579" s="252">
        <v>3507504996</v>
      </c>
      <c r="G579" s="250"/>
      <c r="H579" s="250"/>
    </row>
    <row r="580" spans="1:8">
      <c r="A580" s="250" t="s">
        <v>4055</v>
      </c>
      <c r="B580" s="250" t="s">
        <v>4056</v>
      </c>
      <c r="C580" s="251" t="s">
        <v>3070</v>
      </c>
      <c r="D580" s="10" t="s">
        <v>4057</v>
      </c>
      <c r="E580" s="10"/>
      <c r="F580" s="252">
        <v>3103053067</v>
      </c>
      <c r="G580" s="250"/>
      <c r="H580" s="250"/>
    </row>
    <row r="581" spans="1:8">
      <c r="A581" s="250" t="s">
        <v>4058</v>
      </c>
      <c r="B581" s="250" t="s">
        <v>4059</v>
      </c>
      <c r="C581" s="251">
        <v>210</v>
      </c>
      <c r="D581" s="10" t="s">
        <v>4060</v>
      </c>
      <c r="E581" s="10"/>
      <c r="F581" s="252">
        <v>3144141027</v>
      </c>
      <c r="G581" s="250"/>
      <c r="H581" s="250"/>
    </row>
    <row r="582" spans="1:8">
      <c r="A582" s="250" t="s">
        <v>4061</v>
      </c>
      <c r="B582" s="250" t="s">
        <v>4062</v>
      </c>
      <c r="C582" s="251">
        <v>501</v>
      </c>
      <c r="D582" s="10"/>
      <c r="E582" s="10"/>
      <c r="F582" s="252">
        <v>3006769312</v>
      </c>
      <c r="G582" s="250"/>
      <c r="H582" s="250"/>
    </row>
    <row r="583" spans="1:8">
      <c r="A583" s="250" t="s">
        <v>4063</v>
      </c>
      <c r="B583" s="250" t="s">
        <v>4064</v>
      </c>
      <c r="C583" s="251"/>
      <c r="D583" s="10" t="s">
        <v>4065</v>
      </c>
      <c r="E583" s="10"/>
      <c r="F583" s="252">
        <v>3178357878</v>
      </c>
      <c r="G583" s="250"/>
      <c r="H583" s="250"/>
    </row>
    <row r="584" spans="1:8">
      <c r="A584" s="250" t="s">
        <v>4066</v>
      </c>
      <c r="B584" s="250" t="s">
        <v>4067</v>
      </c>
      <c r="C584" s="251">
        <v>201</v>
      </c>
      <c r="D584" s="10" t="s">
        <v>4068</v>
      </c>
      <c r="E584" s="10"/>
      <c r="F584" s="252">
        <v>3138446573</v>
      </c>
      <c r="G584" s="250"/>
      <c r="H584" s="250"/>
    </row>
    <row r="585" spans="1:8">
      <c r="A585" s="250" t="s">
        <v>4069</v>
      </c>
      <c r="B585" s="250" t="s">
        <v>4070</v>
      </c>
      <c r="C585" s="251">
        <v>614</v>
      </c>
      <c r="D585" s="10" t="s">
        <v>4071</v>
      </c>
      <c r="E585" s="10"/>
      <c r="F585" s="252">
        <v>3114431814</v>
      </c>
      <c r="G585" s="250"/>
      <c r="H585" s="250"/>
    </row>
    <row r="586" spans="1:8">
      <c r="A586" s="250" t="s">
        <v>4072</v>
      </c>
      <c r="B586" s="250" t="s">
        <v>4073</v>
      </c>
      <c r="C586" s="251" t="s">
        <v>4074</v>
      </c>
      <c r="D586" s="10"/>
      <c r="E586" s="10"/>
      <c r="F586" s="252">
        <v>3188272539</v>
      </c>
      <c r="G586" s="250"/>
      <c r="H586" s="250"/>
    </row>
    <row r="587" spans="1:8">
      <c r="A587" s="250" t="s">
        <v>4075</v>
      </c>
      <c r="B587" s="250" t="s">
        <v>4076</v>
      </c>
      <c r="C587" s="251">
        <v>304</v>
      </c>
      <c r="D587" s="10" t="s">
        <v>4077</v>
      </c>
      <c r="E587" s="10" t="s">
        <v>4078</v>
      </c>
      <c r="F587" s="252">
        <v>3167454317</v>
      </c>
      <c r="G587" s="250"/>
      <c r="H587" s="250"/>
    </row>
    <row r="588" spans="1:8">
      <c r="A588" s="250" t="s">
        <v>4079</v>
      </c>
      <c r="B588" s="250" t="s">
        <v>4080</v>
      </c>
      <c r="C588" s="251">
        <v>204</v>
      </c>
      <c r="D588" s="10"/>
      <c r="E588" s="10"/>
      <c r="F588" s="252">
        <v>3043761893</v>
      </c>
      <c r="G588" s="250"/>
      <c r="H588" s="250"/>
    </row>
    <row r="589" spans="1:8">
      <c r="A589" s="250" t="s">
        <v>4081</v>
      </c>
      <c r="B589" s="250" t="s">
        <v>4082</v>
      </c>
      <c r="C589" s="251"/>
      <c r="D589" s="10"/>
      <c r="E589" s="10"/>
      <c r="F589" s="252">
        <v>3114605446</v>
      </c>
      <c r="G589" s="250"/>
      <c r="H589" s="250"/>
    </row>
    <row r="590" spans="1:8">
      <c r="A590" s="250" t="s">
        <v>4083</v>
      </c>
      <c r="B590" s="250" t="s">
        <v>4084</v>
      </c>
      <c r="C590" s="251">
        <v>102</v>
      </c>
      <c r="D590" s="10"/>
      <c r="E590" s="10"/>
      <c r="F590" s="252">
        <v>3144292019</v>
      </c>
      <c r="G590" s="250"/>
      <c r="H590" s="250"/>
    </row>
    <row r="591" spans="1:8">
      <c r="A591" s="250" t="s">
        <v>4085</v>
      </c>
      <c r="B591" s="250" t="s">
        <v>4086</v>
      </c>
      <c r="C591" s="251" t="s">
        <v>4087</v>
      </c>
      <c r="D591" s="10"/>
      <c r="E591" s="10"/>
      <c r="F591" s="252">
        <v>3222696851</v>
      </c>
      <c r="G591" s="250"/>
      <c r="H591" s="250"/>
    </row>
    <row r="592" spans="1:8">
      <c r="A592" s="250" t="s">
        <v>4088</v>
      </c>
      <c r="B592" s="250" t="s">
        <v>4089</v>
      </c>
      <c r="C592" s="251" t="s">
        <v>4090</v>
      </c>
      <c r="D592" s="10"/>
      <c r="E592" s="10"/>
      <c r="F592" s="252">
        <v>3164207867</v>
      </c>
      <c r="G592" s="250"/>
      <c r="H592" s="250"/>
    </row>
    <row r="593" spans="1:8">
      <c r="A593" s="250" t="s">
        <v>4091</v>
      </c>
      <c r="B593" s="250" t="s">
        <v>4092</v>
      </c>
      <c r="C593" s="251">
        <v>301</v>
      </c>
      <c r="D593" s="10"/>
      <c r="E593" s="10"/>
      <c r="F593" s="252">
        <v>5215564155643</v>
      </c>
      <c r="G593" s="250"/>
      <c r="H593" s="250"/>
    </row>
    <row r="594" spans="1:8">
      <c r="A594" s="250" t="s">
        <v>4093</v>
      </c>
      <c r="B594" s="250" t="s">
        <v>4094</v>
      </c>
      <c r="C594" s="251">
        <v>401</v>
      </c>
      <c r="D594" s="10"/>
      <c r="E594" s="10"/>
      <c r="F594" s="252">
        <v>3158265003</v>
      </c>
      <c r="G594" s="250"/>
      <c r="H594" s="250"/>
    </row>
    <row r="595" spans="1:8">
      <c r="A595" s="250" t="s">
        <v>4095</v>
      </c>
      <c r="B595" s="250" t="s">
        <v>4096</v>
      </c>
      <c r="C595" s="251">
        <v>1301</v>
      </c>
      <c r="D595" s="10" t="s">
        <v>3814</v>
      </c>
      <c r="E595" s="10"/>
      <c r="F595" s="252">
        <v>3217639867</v>
      </c>
      <c r="G595" s="250"/>
      <c r="H595" s="250"/>
    </row>
    <row r="596" spans="1:8">
      <c r="A596" s="250" t="s">
        <v>4097</v>
      </c>
      <c r="B596" s="250" t="s">
        <v>4098</v>
      </c>
      <c r="C596" s="251">
        <v>302</v>
      </c>
      <c r="D596" s="10" t="s">
        <v>4099</v>
      </c>
      <c r="E596" s="10"/>
      <c r="F596" s="252">
        <v>3163339218</v>
      </c>
      <c r="G596" s="250"/>
      <c r="H596" s="250"/>
    </row>
    <row r="597" spans="1:8">
      <c r="A597" s="250" t="s">
        <v>4100</v>
      </c>
      <c r="B597" s="250" t="s">
        <v>4101</v>
      </c>
      <c r="C597" s="251">
        <v>403</v>
      </c>
      <c r="D597" s="10"/>
      <c r="E597" s="10"/>
      <c r="F597" s="252">
        <v>3115971574</v>
      </c>
      <c r="G597" s="250"/>
      <c r="H597" s="250"/>
    </row>
    <row r="598" spans="1:8">
      <c r="A598" s="250" t="s">
        <v>4102</v>
      </c>
      <c r="B598" s="250" t="s">
        <v>4103</v>
      </c>
      <c r="C598" s="251">
        <v>603</v>
      </c>
      <c r="D598" s="10" t="s">
        <v>3463</v>
      </c>
      <c r="E598" s="10"/>
      <c r="F598" s="252">
        <v>3023207411</v>
      </c>
      <c r="G598" s="250"/>
      <c r="H598" s="250"/>
    </row>
    <row r="599" spans="1:8">
      <c r="A599" s="250" t="s">
        <v>4104</v>
      </c>
      <c r="B599" s="250" t="s">
        <v>4105</v>
      </c>
      <c r="C599" s="251">
        <v>203</v>
      </c>
      <c r="D599" s="10"/>
      <c r="E599" s="10"/>
      <c r="F599" s="252">
        <v>3204171728</v>
      </c>
      <c r="G599" s="250"/>
      <c r="H599" s="250"/>
    </row>
    <row r="600" spans="1:8">
      <c r="A600" s="250" t="s">
        <v>4106</v>
      </c>
      <c r="B600" s="250" t="s">
        <v>4107</v>
      </c>
      <c r="C600" s="251">
        <v>301</v>
      </c>
      <c r="D600" s="10"/>
      <c r="E600" s="10"/>
      <c r="F600" s="252">
        <v>3106602896</v>
      </c>
      <c r="G600" s="250"/>
      <c r="H600" s="250"/>
    </row>
    <row r="601" spans="1:8">
      <c r="A601" s="250" t="s">
        <v>2996</v>
      </c>
      <c r="B601" s="250" t="s">
        <v>4108</v>
      </c>
      <c r="C601" s="251">
        <v>302</v>
      </c>
      <c r="D601" s="10"/>
      <c r="E601" s="10"/>
      <c r="F601" s="252">
        <v>3125880001</v>
      </c>
      <c r="G601" s="250"/>
      <c r="H601" s="250"/>
    </row>
    <row r="602" spans="1:8">
      <c r="A602" s="250" t="s">
        <v>4109</v>
      </c>
      <c r="B602" s="250" t="s">
        <v>4110</v>
      </c>
      <c r="C602" s="251">
        <v>501</v>
      </c>
      <c r="D602" s="10"/>
      <c r="E602" s="10"/>
      <c r="F602" s="252">
        <v>3003383428</v>
      </c>
      <c r="G602" s="250"/>
      <c r="H602" s="250"/>
    </row>
    <row r="603" spans="1:8">
      <c r="A603" s="250" t="s">
        <v>4111</v>
      </c>
      <c r="B603" s="250" t="s">
        <v>4112</v>
      </c>
      <c r="C603" s="251">
        <v>605</v>
      </c>
      <c r="D603" s="10"/>
      <c r="E603" s="10"/>
      <c r="F603" s="252">
        <v>3164721105</v>
      </c>
      <c r="G603" s="250"/>
      <c r="H603" s="250"/>
    </row>
    <row r="604" spans="1:8">
      <c r="A604" s="250" t="s">
        <v>4113</v>
      </c>
      <c r="B604" s="250" t="s">
        <v>4114</v>
      </c>
      <c r="C604" s="251">
        <v>401</v>
      </c>
      <c r="D604" s="10" t="s">
        <v>4115</v>
      </c>
      <c r="E604" s="10"/>
      <c r="F604" s="252">
        <v>3182943138</v>
      </c>
      <c r="G604" s="250"/>
      <c r="H604" s="250"/>
    </row>
    <row r="605" spans="1:8">
      <c r="A605" s="250" t="s">
        <v>4116</v>
      </c>
      <c r="B605" s="250" t="s">
        <v>4117</v>
      </c>
      <c r="C605" s="251">
        <v>801</v>
      </c>
      <c r="D605" s="10"/>
      <c r="E605" s="10"/>
      <c r="F605" s="252">
        <v>3103208221</v>
      </c>
      <c r="G605" s="250"/>
      <c r="H605" s="250"/>
    </row>
    <row r="606" spans="1:8">
      <c r="A606" s="250" t="s">
        <v>4118</v>
      </c>
      <c r="B606" s="250" t="s">
        <v>4119</v>
      </c>
      <c r="C606" s="251">
        <v>301</v>
      </c>
      <c r="D606" s="10"/>
      <c r="E606" s="10"/>
      <c r="F606" s="252">
        <v>3004085143</v>
      </c>
      <c r="G606" s="250"/>
      <c r="H606" s="250"/>
    </row>
    <row r="607" spans="1:8">
      <c r="A607" s="250" t="s">
        <v>4120</v>
      </c>
      <c r="B607" s="250" t="s">
        <v>4121</v>
      </c>
      <c r="C607" s="251"/>
      <c r="D607" s="10" t="s">
        <v>2762</v>
      </c>
      <c r="E607" s="10"/>
      <c r="F607" s="252">
        <v>3058540091</v>
      </c>
      <c r="G607" s="250"/>
      <c r="H607" s="250"/>
    </row>
    <row r="608" spans="1:8">
      <c r="A608" s="250" t="s">
        <v>4122</v>
      </c>
      <c r="B608" s="250" t="s">
        <v>4123</v>
      </c>
      <c r="C608" s="251">
        <v>301</v>
      </c>
      <c r="D608" s="10"/>
      <c r="E608" s="10"/>
      <c r="F608" s="252">
        <v>3002856006</v>
      </c>
      <c r="G608" s="250"/>
      <c r="H608" s="250"/>
    </row>
    <row r="609" spans="1:8">
      <c r="A609" s="250" t="s">
        <v>4124</v>
      </c>
      <c r="B609" s="250" t="s">
        <v>4125</v>
      </c>
      <c r="C609" s="251">
        <v>404</v>
      </c>
      <c r="D609" s="10"/>
      <c r="E609" s="10"/>
      <c r="F609" s="252">
        <v>3102662462</v>
      </c>
      <c r="G609" s="250"/>
      <c r="H609" s="250"/>
    </row>
    <row r="610" spans="1:8">
      <c r="A610" s="250" t="s">
        <v>4126</v>
      </c>
      <c r="B610" s="250" t="s">
        <v>4127</v>
      </c>
      <c r="C610" s="251">
        <v>203</v>
      </c>
      <c r="D610" s="10"/>
      <c r="E610" s="10"/>
      <c r="F610" s="252">
        <v>3102054005</v>
      </c>
      <c r="G610" s="250"/>
      <c r="H610" s="250"/>
    </row>
    <row r="611" spans="1:8">
      <c r="A611" s="250" t="s">
        <v>4128</v>
      </c>
      <c r="B611" s="250" t="s">
        <v>4129</v>
      </c>
      <c r="C611" s="251" t="s">
        <v>3007</v>
      </c>
      <c r="D611" s="10"/>
      <c r="E611" s="10"/>
      <c r="F611" s="252">
        <v>3184979261</v>
      </c>
      <c r="G611" s="250"/>
      <c r="H611" s="250"/>
    </row>
    <row r="612" spans="1:8">
      <c r="A612" s="250" t="s">
        <v>4130</v>
      </c>
      <c r="B612" s="250" t="s">
        <v>4131</v>
      </c>
      <c r="C612" s="251">
        <v>2302</v>
      </c>
      <c r="D612" s="10" t="s">
        <v>2733</v>
      </c>
      <c r="E612" s="10"/>
      <c r="F612" s="252">
        <v>3013276265</v>
      </c>
      <c r="G612" s="250"/>
      <c r="H612" s="250"/>
    </row>
    <row r="613" spans="1:8">
      <c r="A613" s="250" t="s">
        <v>4132</v>
      </c>
      <c r="B613" s="250" t="s">
        <v>4133</v>
      </c>
      <c r="C613" s="251">
        <v>305</v>
      </c>
      <c r="D613" s="10"/>
      <c r="E613" s="10"/>
      <c r="F613" s="252">
        <v>3105631598</v>
      </c>
      <c r="G613" s="250"/>
      <c r="H613" s="250"/>
    </row>
    <row r="614" spans="1:8">
      <c r="A614" s="250" t="s">
        <v>4134</v>
      </c>
      <c r="B614" s="250" t="s">
        <v>4135</v>
      </c>
      <c r="C614" s="251">
        <v>607</v>
      </c>
      <c r="D614" s="10"/>
      <c r="E614" s="10"/>
      <c r="F614" s="252">
        <v>3005774303</v>
      </c>
      <c r="G614" s="250"/>
      <c r="H614" s="250"/>
    </row>
    <row r="615" spans="1:8">
      <c r="A615" s="250" t="s">
        <v>4136</v>
      </c>
      <c r="B615" s="250" t="s">
        <v>4137</v>
      </c>
      <c r="C615" s="251">
        <v>101</v>
      </c>
      <c r="D615" s="10"/>
      <c r="E615" s="10"/>
      <c r="F615" s="252">
        <v>3207584653</v>
      </c>
      <c r="G615" s="250"/>
      <c r="H615" s="250"/>
    </row>
    <row r="616" spans="1:8">
      <c r="A616" s="250" t="s">
        <v>4138</v>
      </c>
      <c r="B616" s="250" t="s">
        <v>4139</v>
      </c>
      <c r="C616" s="251" t="s">
        <v>3007</v>
      </c>
      <c r="D616" s="10"/>
      <c r="E616" s="10"/>
      <c r="F616" s="252">
        <v>3104737599</v>
      </c>
      <c r="G616" s="250"/>
      <c r="H616" s="250"/>
    </row>
    <row r="617" spans="1:8">
      <c r="A617" s="250" t="s">
        <v>4140</v>
      </c>
      <c r="B617" s="250" t="s">
        <v>4141</v>
      </c>
      <c r="C617" s="251">
        <v>138</v>
      </c>
      <c r="D617" s="10" t="s">
        <v>4142</v>
      </c>
      <c r="E617" s="10"/>
      <c r="F617" s="252">
        <v>3188478087</v>
      </c>
      <c r="G617" s="250"/>
      <c r="H617" s="250"/>
    </row>
    <row r="618" spans="1:8">
      <c r="A618" s="250" t="s">
        <v>4143</v>
      </c>
      <c r="B618" s="250" t="s">
        <v>4144</v>
      </c>
      <c r="C618" s="251">
        <v>702</v>
      </c>
      <c r="D618" s="10"/>
      <c r="E618" s="10"/>
      <c r="F618" s="252">
        <v>3163514122</v>
      </c>
      <c r="G618" s="250"/>
      <c r="H618" s="250"/>
    </row>
    <row r="619" spans="1:8">
      <c r="A619" s="250" t="s">
        <v>4145</v>
      </c>
      <c r="B619" s="250" t="s">
        <v>4146</v>
      </c>
      <c r="C619" s="251">
        <v>507</v>
      </c>
      <c r="D619" s="10" t="s">
        <v>4147</v>
      </c>
      <c r="E619" s="10"/>
      <c r="F619" s="252">
        <v>3218365276</v>
      </c>
      <c r="G619" s="250"/>
      <c r="H619" s="250"/>
    </row>
    <row r="620" spans="1:8">
      <c r="A620" s="250" t="s">
        <v>4148</v>
      </c>
      <c r="B620" s="250" t="s">
        <v>4149</v>
      </c>
      <c r="C620" s="251"/>
      <c r="D620" s="10"/>
      <c r="E620" s="10"/>
      <c r="F620" s="252">
        <v>3102606666</v>
      </c>
      <c r="G620" s="250"/>
      <c r="H620" s="250"/>
    </row>
    <row r="621" spans="1:8">
      <c r="A621" s="250" t="s">
        <v>4150</v>
      </c>
      <c r="B621" s="250" t="s">
        <v>3455</v>
      </c>
      <c r="C621" s="251">
        <v>1001</v>
      </c>
      <c r="D621" s="10" t="s">
        <v>2721</v>
      </c>
      <c r="E621" s="10"/>
      <c r="F621" s="252">
        <v>3203339678</v>
      </c>
      <c r="G621" s="250"/>
      <c r="H621" s="250"/>
    </row>
    <row r="622" spans="1:8">
      <c r="A622" s="250" t="s">
        <v>4151</v>
      </c>
      <c r="B622" s="250" t="s">
        <v>3994</v>
      </c>
      <c r="C622" s="251">
        <v>401</v>
      </c>
      <c r="D622" s="10"/>
      <c r="E622" s="10"/>
      <c r="F622" s="252">
        <v>5717740270</v>
      </c>
      <c r="G622" s="250"/>
      <c r="H622" s="250"/>
    </row>
    <row r="623" spans="1:8">
      <c r="A623" s="250" t="s">
        <v>4152</v>
      </c>
      <c r="B623" s="250" t="s">
        <v>4153</v>
      </c>
      <c r="C623" s="251">
        <v>202</v>
      </c>
      <c r="D623" s="10"/>
      <c r="E623" s="10"/>
      <c r="F623" s="252">
        <v>3104612435</v>
      </c>
      <c r="G623" s="250"/>
      <c r="H623" s="250"/>
    </row>
    <row r="624" spans="1:8">
      <c r="A624" s="250" t="s">
        <v>4154</v>
      </c>
      <c r="B624" s="250" t="s">
        <v>4155</v>
      </c>
      <c r="C624" s="251" t="s">
        <v>4156</v>
      </c>
      <c r="D624" s="10"/>
      <c r="E624" s="10"/>
      <c r="F624" s="252">
        <v>3144644588</v>
      </c>
      <c r="G624" s="250"/>
      <c r="H624" s="250"/>
    </row>
    <row r="625" spans="1:8">
      <c r="A625" s="250" t="s">
        <v>4157</v>
      </c>
      <c r="B625" s="250" t="s">
        <v>4158</v>
      </c>
      <c r="C625" s="251">
        <v>304</v>
      </c>
      <c r="D625" s="10"/>
      <c r="E625" s="10"/>
      <c r="F625" s="252">
        <v>3105638861</v>
      </c>
      <c r="G625" s="250"/>
      <c r="H625" s="250"/>
    </row>
    <row r="626" spans="1:8">
      <c r="A626" s="250" t="s">
        <v>4159</v>
      </c>
      <c r="B626" s="250" t="s">
        <v>4160</v>
      </c>
      <c r="C626" s="251">
        <v>502</v>
      </c>
      <c r="D626" s="10"/>
      <c r="E626" s="10"/>
      <c r="F626" s="252">
        <v>3107894911</v>
      </c>
      <c r="G626" s="250"/>
      <c r="H626" s="250"/>
    </row>
    <row r="627" spans="1:8">
      <c r="A627" s="250" t="s">
        <v>4161</v>
      </c>
      <c r="B627" s="250" t="s">
        <v>4162</v>
      </c>
      <c r="C627" s="251">
        <v>404</v>
      </c>
      <c r="D627" s="10"/>
      <c r="E627" s="10"/>
      <c r="F627" s="252">
        <v>3102267047</v>
      </c>
      <c r="G627" s="250"/>
      <c r="H627" s="250"/>
    </row>
    <row r="628" spans="1:8">
      <c r="A628" s="250" t="s">
        <v>4163</v>
      </c>
      <c r="B628" s="250" t="s">
        <v>4164</v>
      </c>
      <c r="C628" s="251">
        <v>501</v>
      </c>
      <c r="D628" s="10"/>
      <c r="E628" s="10"/>
      <c r="F628" s="252">
        <v>3176484935</v>
      </c>
      <c r="G628" s="250"/>
      <c r="H628" s="250"/>
    </row>
    <row r="629" spans="1:8">
      <c r="A629" s="250" t="s">
        <v>4165</v>
      </c>
      <c r="B629" s="250" t="s">
        <v>4121</v>
      </c>
      <c r="C629" s="251">
        <v>402</v>
      </c>
      <c r="D629" s="10" t="s">
        <v>4166</v>
      </c>
      <c r="E629" s="10"/>
      <c r="F629" s="252">
        <v>3004846552</v>
      </c>
      <c r="G629" s="250"/>
      <c r="H629" s="250"/>
    </row>
    <row r="630" spans="1:8">
      <c r="A630" s="250" t="s">
        <v>4167</v>
      </c>
      <c r="B630" s="250" t="s">
        <v>4168</v>
      </c>
      <c r="C630" s="251">
        <v>201</v>
      </c>
      <c r="D630" s="10" t="s">
        <v>4169</v>
      </c>
      <c r="E630" s="10"/>
      <c r="F630" s="252">
        <v>3175041810</v>
      </c>
      <c r="G630" s="250"/>
      <c r="H630" s="250"/>
    </row>
    <row r="631" spans="1:8">
      <c r="A631" s="250" t="s">
        <v>4170</v>
      </c>
      <c r="B631" s="250" t="s">
        <v>4171</v>
      </c>
      <c r="C631" s="251">
        <v>1004</v>
      </c>
      <c r="D631" s="10" t="s">
        <v>4172</v>
      </c>
      <c r="E631" s="10"/>
      <c r="F631" s="252">
        <v>3003478948</v>
      </c>
      <c r="G631" s="250"/>
      <c r="H631" s="250"/>
    </row>
    <row r="632" spans="1:8">
      <c r="A632" s="250" t="s">
        <v>4173</v>
      </c>
      <c r="B632" s="250" t="s">
        <v>4174</v>
      </c>
      <c r="C632" s="251">
        <v>1602</v>
      </c>
      <c r="D632" s="10"/>
      <c r="E632" s="10"/>
      <c r="F632" s="252">
        <v>3015861374</v>
      </c>
      <c r="G632" s="250"/>
      <c r="H632" s="250"/>
    </row>
    <row r="633" spans="1:8">
      <c r="A633" s="250" t="s">
        <v>4175</v>
      </c>
      <c r="B633" s="250" t="s">
        <v>4176</v>
      </c>
      <c r="C633" s="251">
        <v>403</v>
      </c>
      <c r="D633" s="10" t="s">
        <v>2733</v>
      </c>
      <c r="E633" s="10"/>
      <c r="F633" s="252">
        <v>3123731357</v>
      </c>
      <c r="G633" s="250"/>
      <c r="H633" s="250"/>
    </row>
    <row r="634" spans="1:8">
      <c r="A634" s="250" t="s">
        <v>4177</v>
      </c>
      <c r="B634" s="250" t="s">
        <v>4178</v>
      </c>
      <c r="C634" s="251">
        <v>305</v>
      </c>
      <c r="D634" s="10"/>
      <c r="E634" s="10"/>
      <c r="F634" s="252">
        <v>3138323073</v>
      </c>
      <c r="G634" s="250"/>
      <c r="H634" s="250"/>
    </row>
    <row r="635" spans="1:8">
      <c r="A635" s="250" t="s">
        <v>4179</v>
      </c>
      <c r="B635" s="250" t="s">
        <v>4180</v>
      </c>
      <c r="C635" s="251">
        <v>506</v>
      </c>
      <c r="D635" s="10" t="s">
        <v>4181</v>
      </c>
      <c r="E635" s="10"/>
      <c r="F635" s="252">
        <v>3024089732</v>
      </c>
      <c r="G635" s="250"/>
      <c r="H635" s="250"/>
    </row>
    <row r="636" spans="1:8">
      <c r="A636" s="250" t="s">
        <v>4182</v>
      </c>
      <c r="B636" s="250" t="s">
        <v>4183</v>
      </c>
      <c r="C636" s="251" t="s">
        <v>3070</v>
      </c>
      <c r="D636" s="10"/>
      <c r="E636" s="10"/>
      <c r="F636" s="252">
        <v>3124806100</v>
      </c>
      <c r="G636" s="250"/>
      <c r="H636" s="250"/>
    </row>
    <row r="637" spans="1:8">
      <c r="A637" s="250" t="s">
        <v>4184</v>
      </c>
      <c r="B637" s="250" t="s">
        <v>4185</v>
      </c>
      <c r="C637" s="251">
        <v>202</v>
      </c>
      <c r="D637" s="10" t="s">
        <v>4186</v>
      </c>
      <c r="E637" s="10"/>
      <c r="F637" s="252">
        <v>3134597750</v>
      </c>
      <c r="G637" s="250"/>
      <c r="H637" s="250"/>
    </row>
    <row r="638" spans="1:8">
      <c r="A638" s="250" t="s">
        <v>4187</v>
      </c>
      <c r="B638" s="250" t="s">
        <v>4188</v>
      </c>
      <c r="C638" s="251">
        <v>904</v>
      </c>
      <c r="D638" s="10"/>
      <c r="E638" s="10"/>
      <c r="F638" s="252">
        <v>3202261080</v>
      </c>
      <c r="G638" s="250"/>
      <c r="H638" s="250"/>
    </row>
    <row r="639" spans="1:8">
      <c r="A639" s="250" t="s">
        <v>4189</v>
      </c>
      <c r="B639" s="250" t="s">
        <v>4190</v>
      </c>
      <c r="C639" s="251">
        <v>210</v>
      </c>
      <c r="D639" s="10"/>
      <c r="E639" s="10"/>
      <c r="F639" s="252">
        <v>3134941072</v>
      </c>
      <c r="G639" s="250"/>
      <c r="H639" s="250"/>
    </row>
    <row r="640" spans="1:8">
      <c r="A640" s="250" t="s">
        <v>4191</v>
      </c>
      <c r="B640" s="250" t="s">
        <v>4192</v>
      </c>
      <c r="C640" s="251">
        <v>602</v>
      </c>
      <c r="D640" s="10" t="s">
        <v>2815</v>
      </c>
      <c r="E640" s="10"/>
      <c r="F640" s="252">
        <v>3002478768</v>
      </c>
      <c r="G640" s="250"/>
      <c r="H640" s="250"/>
    </row>
    <row r="641" spans="1:8">
      <c r="A641" s="250" t="s">
        <v>4193</v>
      </c>
      <c r="B641" s="250" t="s">
        <v>4194</v>
      </c>
      <c r="C641" s="251">
        <v>1602</v>
      </c>
      <c r="D641" s="10"/>
      <c r="E641" s="10"/>
      <c r="F641" s="252">
        <v>3166212054</v>
      </c>
      <c r="G641" s="250"/>
      <c r="H641" s="250"/>
    </row>
    <row r="642" spans="1:8">
      <c r="A642" s="250" t="s">
        <v>4195</v>
      </c>
      <c r="B642" s="250" t="s">
        <v>4196</v>
      </c>
      <c r="C642" s="251">
        <v>502</v>
      </c>
      <c r="D642" s="10" t="s">
        <v>2865</v>
      </c>
      <c r="E642" s="10"/>
      <c r="F642" s="258">
        <v>3103308672</v>
      </c>
      <c r="G642" s="250"/>
      <c r="H642" s="250"/>
    </row>
    <row r="643" spans="1:8">
      <c r="A643" s="250" t="s">
        <v>4197</v>
      </c>
      <c r="B643" s="250" t="s">
        <v>4198</v>
      </c>
      <c r="C643" s="251">
        <v>301</v>
      </c>
      <c r="D643" s="10"/>
      <c r="E643" s="10"/>
      <c r="F643" s="258">
        <v>3005160873</v>
      </c>
      <c r="G643" s="250"/>
      <c r="H643" s="250"/>
    </row>
    <row r="644" spans="1:8">
      <c r="A644" s="250" t="s">
        <v>4199</v>
      </c>
      <c r="B644" s="250" t="s">
        <v>4200</v>
      </c>
      <c r="C644" s="251">
        <v>607</v>
      </c>
      <c r="D644" s="10"/>
      <c r="E644" s="10"/>
      <c r="F644" s="258">
        <v>3175652379</v>
      </c>
      <c r="G644" s="250"/>
      <c r="H644" s="250"/>
    </row>
    <row r="645" spans="1:8">
      <c r="A645" s="250" t="s">
        <v>4201</v>
      </c>
      <c r="B645" s="250" t="s">
        <v>4202</v>
      </c>
      <c r="C645" s="251">
        <v>402</v>
      </c>
      <c r="D645" s="10"/>
      <c r="E645" s="10"/>
      <c r="F645" s="258">
        <v>3014064495</v>
      </c>
      <c r="G645" s="250"/>
      <c r="H645" s="250"/>
    </row>
    <row r="646" spans="1:8">
      <c r="A646" s="250" t="s">
        <v>4203</v>
      </c>
      <c r="B646" s="250" t="s">
        <v>4204</v>
      </c>
      <c r="C646" s="251">
        <v>504</v>
      </c>
      <c r="D646" s="10" t="s">
        <v>4205</v>
      </c>
      <c r="E646" s="10"/>
      <c r="F646" s="258">
        <v>3213071661</v>
      </c>
      <c r="G646" s="250"/>
      <c r="H646" s="250"/>
    </row>
    <row r="647" spans="1:8">
      <c r="A647" s="250" t="s">
        <v>4206</v>
      </c>
      <c r="B647" s="250" t="s">
        <v>4207</v>
      </c>
      <c r="C647" s="251">
        <v>402</v>
      </c>
      <c r="D647" s="10"/>
      <c r="E647" s="10"/>
      <c r="F647" s="258">
        <v>3137488907</v>
      </c>
      <c r="G647" s="250"/>
      <c r="H647" s="250"/>
    </row>
    <row r="648" spans="1:8">
      <c r="A648" s="250" t="s">
        <v>4208</v>
      </c>
      <c r="B648" s="250" t="s">
        <v>4209</v>
      </c>
      <c r="C648" s="251">
        <v>404</v>
      </c>
      <c r="D648" s="10"/>
      <c r="E648" s="10"/>
      <c r="F648" s="258">
        <v>3224257666</v>
      </c>
      <c r="G648" s="250"/>
      <c r="H648" s="250"/>
    </row>
    <row r="649" spans="1:8">
      <c r="A649" s="250" t="s">
        <v>4210</v>
      </c>
      <c r="B649" s="250" t="s">
        <v>4211</v>
      </c>
      <c r="C649" s="251" t="s">
        <v>4212</v>
      </c>
      <c r="D649" s="10" t="s">
        <v>4213</v>
      </c>
      <c r="E649" s="10"/>
      <c r="F649" s="258">
        <v>3202733821</v>
      </c>
      <c r="G649" s="250"/>
      <c r="H649" s="250"/>
    </row>
    <row r="650" spans="1:8">
      <c r="A650" s="250" t="s">
        <v>4214</v>
      </c>
      <c r="B650" s="250" t="s">
        <v>4215</v>
      </c>
      <c r="C650" s="251">
        <v>402</v>
      </c>
      <c r="D650" s="10"/>
      <c r="E650" s="10"/>
      <c r="F650" s="258">
        <v>3115991228</v>
      </c>
      <c r="G650" s="250"/>
      <c r="H650" s="250"/>
    </row>
    <row r="651" spans="1:8">
      <c r="A651" s="250" t="s">
        <v>4216</v>
      </c>
      <c r="B651" s="250" t="s">
        <v>4217</v>
      </c>
      <c r="C651" s="251">
        <v>401</v>
      </c>
      <c r="D651" s="10"/>
      <c r="E651" s="10"/>
      <c r="F651" s="258">
        <v>3114464386</v>
      </c>
      <c r="G651" s="250"/>
      <c r="H651" s="250"/>
    </row>
    <row r="652" spans="1:8">
      <c r="A652" s="250" t="s">
        <v>4218</v>
      </c>
      <c r="B652" s="250" t="s">
        <v>4219</v>
      </c>
      <c r="C652" s="251">
        <v>201</v>
      </c>
      <c r="D652" s="10"/>
      <c r="E652" s="10"/>
      <c r="F652" s="258">
        <v>3002155254</v>
      </c>
      <c r="G652" s="250"/>
      <c r="H652" s="250"/>
    </row>
    <row r="653" spans="1:8">
      <c r="A653" s="250" t="s">
        <v>4220</v>
      </c>
      <c r="B653" s="250" t="s">
        <v>4221</v>
      </c>
      <c r="C653" s="251">
        <v>301</v>
      </c>
      <c r="D653" s="10"/>
      <c r="E653" s="10"/>
      <c r="F653" s="258">
        <v>3158774400</v>
      </c>
      <c r="G653" s="250"/>
      <c r="H653" s="250"/>
    </row>
    <row r="654" spans="1:8">
      <c r="A654" s="250" t="s">
        <v>4222</v>
      </c>
      <c r="B654" s="250" t="s">
        <v>4223</v>
      </c>
      <c r="C654" s="251">
        <v>1305</v>
      </c>
      <c r="D654" s="10" t="s">
        <v>3808</v>
      </c>
      <c r="E654" s="10"/>
      <c r="F654" s="258">
        <v>3112339032</v>
      </c>
      <c r="G654" s="250"/>
      <c r="H654" s="250"/>
    </row>
    <row r="655" spans="1:8">
      <c r="A655" s="250" t="s">
        <v>4224</v>
      </c>
      <c r="B655" s="250" t="s">
        <v>4225</v>
      </c>
      <c r="C655" s="251">
        <v>603</v>
      </c>
      <c r="D655" s="10" t="s">
        <v>2815</v>
      </c>
      <c r="E655" s="10"/>
      <c r="F655" s="258">
        <v>3142676101</v>
      </c>
      <c r="G655" s="250"/>
      <c r="H655" s="250"/>
    </row>
    <row r="656" spans="1:8">
      <c r="A656" s="250" t="s">
        <v>4226</v>
      </c>
      <c r="B656" s="250" t="s">
        <v>4227</v>
      </c>
      <c r="C656" s="251">
        <v>604</v>
      </c>
      <c r="D656" s="10"/>
      <c r="E656" s="10"/>
      <c r="F656" s="258">
        <v>3157831085</v>
      </c>
      <c r="G656" s="250"/>
      <c r="H656" s="250"/>
    </row>
    <row r="657" spans="1:8">
      <c r="A657" s="250" t="s">
        <v>4228</v>
      </c>
      <c r="B657" s="250" t="s">
        <v>4229</v>
      </c>
      <c r="C657" s="251">
        <v>802</v>
      </c>
      <c r="D657" s="10"/>
      <c r="E657" s="10"/>
      <c r="F657" s="252">
        <v>3174396459</v>
      </c>
      <c r="G657" s="250"/>
      <c r="H657" s="250"/>
    </row>
    <row r="658" spans="1:8">
      <c r="A658" s="250" t="s">
        <v>4230</v>
      </c>
      <c r="B658" s="250" t="s">
        <v>4231</v>
      </c>
      <c r="C658" s="251">
        <v>902</v>
      </c>
      <c r="D658" s="10"/>
      <c r="E658" s="10"/>
      <c r="F658" s="258">
        <v>3207685875</v>
      </c>
      <c r="G658" s="250"/>
      <c r="H658" s="250"/>
    </row>
    <row r="659" spans="1:8">
      <c r="A659" s="250" t="s">
        <v>4232</v>
      </c>
      <c r="B659" s="250" t="s">
        <v>4233</v>
      </c>
      <c r="C659" s="251">
        <v>202</v>
      </c>
      <c r="D659" s="10"/>
      <c r="E659" s="10"/>
      <c r="F659" s="252">
        <v>3012413057</v>
      </c>
      <c r="G659" s="250"/>
      <c r="H659" s="250"/>
    </row>
    <row r="660" spans="1:8">
      <c r="A660" s="250" t="s">
        <v>4234</v>
      </c>
      <c r="B660" s="250" t="s">
        <v>4235</v>
      </c>
      <c r="C660" s="251">
        <v>604</v>
      </c>
      <c r="D660" s="10"/>
      <c r="E660" s="10"/>
      <c r="F660" s="252">
        <v>3115131822</v>
      </c>
      <c r="G660" s="250"/>
      <c r="H660" s="250"/>
    </row>
    <row r="661" spans="1:8">
      <c r="A661" s="250" t="s">
        <v>4236</v>
      </c>
      <c r="B661" s="250" t="s">
        <v>4237</v>
      </c>
      <c r="C661" s="251" t="s">
        <v>4238</v>
      </c>
      <c r="D661" s="10"/>
      <c r="E661" s="10"/>
      <c r="F661" s="252">
        <v>3002732219</v>
      </c>
      <c r="G661" s="250"/>
      <c r="H661" s="250"/>
    </row>
    <row r="662" spans="1:8">
      <c r="A662" s="250" t="s">
        <v>4239</v>
      </c>
      <c r="B662" s="250" t="s">
        <v>4240</v>
      </c>
      <c r="C662" s="251">
        <v>602</v>
      </c>
      <c r="D662" s="10"/>
      <c r="E662" s="10"/>
      <c r="F662" s="252">
        <v>3174024294</v>
      </c>
      <c r="G662" s="250"/>
      <c r="H662" s="250"/>
    </row>
    <row r="663" spans="1:8">
      <c r="A663" s="250" t="s">
        <v>4241</v>
      </c>
      <c r="B663" s="250" t="s">
        <v>4242</v>
      </c>
      <c r="C663" s="251">
        <v>202</v>
      </c>
      <c r="D663" s="10"/>
      <c r="E663" s="10"/>
      <c r="F663" s="252">
        <v>3158529121</v>
      </c>
      <c r="G663" s="250"/>
      <c r="H663" s="250"/>
    </row>
    <row r="664" spans="1:8">
      <c r="A664" s="250" t="s">
        <v>4243</v>
      </c>
      <c r="B664" s="250" t="s">
        <v>3291</v>
      </c>
      <c r="C664" s="251">
        <v>920</v>
      </c>
      <c r="D664" s="10" t="s">
        <v>2733</v>
      </c>
      <c r="E664" s="10"/>
      <c r="F664" s="252">
        <v>3115183693</v>
      </c>
      <c r="G664" s="250"/>
      <c r="H664" s="250"/>
    </row>
    <row r="665" spans="1:8">
      <c r="A665" s="250" t="s">
        <v>4244</v>
      </c>
      <c r="B665" s="250" t="s">
        <v>4245</v>
      </c>
      <c r="C665" s="251">
        <v>307</v>
      </c>
      <c r="D665" s="10"/>
      <c r="E665" s="10"/>
      <c r="F665" s="252">
        <v>3006168614</v>
      </c>
      <c r="G665" s="250"/>
      <c r="H665" s="250"/>
    </row>
    <row r="666" spans="1:8">
      <c r="A666" s="250" t="s">
        <v>4246</v>
      </c>
      <c r="B666" s="250" t="s">
        <v>4247</v>
      </c>
      <c r="C666" s="251">
        <v>222</v>
      </c>
      <c r="D666" s="10"/>
      <c r="E666" s="10"/>
      <c r="F666" s="252">
        <v>3134536133</v>
      </c>
      <c r="G666" s="250"/>
      <c r="H666" s="250"/>
    </row>
    <row r="667" spans="1:8">
      <c r="A667" s="250" t="s">
        <v>4248</v>
      </c>
      <c r="B667" s="250" t="s">
        <v>4249</v>
      </c>
      <c r="C667" s="251" t="s">
        <v>3822</v>
      </c>
      <c r="D667" s="10" t="s">
        <v>4250</v>
      </c>
      <c r="E667" s="10"/>
      <c r="F667" s="252">
        <v>3115266624</v>
      </c>
      <c r="G667" s="250"/>
      <c r="H667" s="250"/>
    </row>
    <row r="668" spans="1:8">
      <c r="A668" s="250" t="s">
        <v>4251</v>
      </c>
      <c r="B668" s="250" t="s">
        <v>4252</v>
      </c>
      <c r="C668" s="251" t="s">
        <v>3007</v>
      </c>
      <c r="D668" s="10"/>
      <c r="E668" s="10"/>
      <c r="F668" s="252">
        <v>3128878605</v>
      </c>
      <c r="G668" s="250"/>
      <c r="H668" s="250"/>
    </row>
    <row r="669" spans="1:8">
      <c r="A669" s="250" t="s">
        <v>4253</v>
      </c>
      <c r="B669" s="250" t="s">
        <v>4254</v>
      </c>
      <c r="C669" s="251">
        <v>103</v>
      </c>
      <c r="D669" s="10"/>
      <c r="E669" s="10"/>
      <c r="F669" s="252">
        <v>3123619711</v>
      </c>
      <c r="G669" s="250"/>
      <c r="H669" s="250"/>
    </row>
    <row r="670" spans="1:8">
      <c r="A670" s="250" t="s">
        <v>4255</v>
      </c>
      <c r="B670" s="250" t="s">
        <v>4256</v>
      </c>
      <c r="C670" s="251">
        <v>1508</v>
      </c>
      <c r="D670" s="10" t="s">
        <v>2721</v>
      </c>
      <c r="E670" s="10"/>
      <c r="F670" s="252">
        <v>3003255181</v>
      </c>
      <c r="G670" s="250"/>
      <c r="H670" s="250"/>
    </row>
    <row r="671" spans="1:8">
      <c r="A671" s="250" t="s">
        <v>4257</v>
      </c>
      <c r="B671" s="250" t="s">
        <v>4258</v>
      </c>
      <c r="C671" s="251">
        <v>501</v>
      </c>
      <c r="D671" s="10"/>
      <c r="E671" s="10"/>
      <c r="F671" s="252">
        <v>3103233789</v>
      </c>
      <c r="G671" s="250"/>
      <c r="H671" s="250"/>
    </row>
    <row r="672" spans="1:8">
      <c r="A672" s="250" t="s">
        <v>4259</v>
      </c>
      <c r="B672" s="250" t="s">
        <v>4260</v>
      </c>
      <c r="C672" s="251">
        <v>309</v>
      </c>
      <c r="D672" s="10"/>
      <c r="E672" s="10"/>
      <c r="F672" s="252">
        <v>3212033808</v>
      </c>
      <c r="G672" s="250"/>
      <c r="H672" s="250"/>
    </row>
    <row r="673" spans="1:8">
      <c r="A673" s="250" t="s">
        <v>4261</v>
      </c>
      <c r="B673" s="250" t="s">
        <v>4262</v>
      </c>
      <c r="C673" s="251"/>
      <c r="D673" s="10" t="s">
        <v>4263</v>
      </c>
      <c r="E673" s="10"/>
      <c r="F673" s="252">
        <v>3209710421</v>
      </c>
      <c r="G673" s="250"/>
      <c r="H673" s="250"/>
    </row>
    <row r="674" spans="1:8">
      <c r="A674" s="250" t="s">
        <v>4264</v>
      </c>
      <c r="B674" s="250" t="s">
        <v>4265</v>
      </c>
      <c r="C674" s="251">
        <v>602</v>
      </c>
      <c r="D674" s="10"/>
      <c r="E674" s="10"/>
      <c r="F674" s="252">
        <v>3112717651</v>
      </c>
      <c r="G674" s="250"/>
      <c r="H674" s="250"/>
    </row>
    <row r="675" spans="1:8">
      <c r="A675" s="250" t="s">
        <v>4266</v>
      </c>
      <c r="B675" s="250" t="s">
        <v>4267</v>
      </c>
      <c r="C675" s="251">
        <v>104</v>
      </c>
      <c r="D675" s="10" t="s">
        <v>3463</v>
      </c>
      <c r="E675" s="10"/>
      <c r="F675" s="252">
        <v>3112085493</v>
      </c>
      <c r="G675" s="250"/>
      <c r="H675" s="250"/>
    </row>
    <row r="676" spans="1:8">
      <c r="A676" s="250" t="s">
        <v>4268</v>
      </c>
      <c r="B676" s="250" t="s">
        <v>4269</v>
      </c>
      <c r="C676" s="251">
        <v>504</v>
      </c>
      <c r="D676" s="10" t="s">
        <v>4270</v>
      </c>
      <c r="E676" s="10"/>
      <c r="F676" s="252">
        <v>3176743658</v>
      </c>
      <c r="G676" s="250"/>
      <c r="H676" s="250"/>
    </row>
    <row r="677" spans="1:8">
      <c r="A677" s="250" t="s">
        <v>4271</v>
      </c>
      <c r="B677" s="250" t="s">
        <v>4272</v>
      </c>
      <c r="C677" s="251">
        <v>301</v>
      </c>
      <c r="D677" s="10"/>
      <c r="E677" s="10"/>
      <c r="F677" s="252">
        <v>3153298251</v>
      </c>
      <c r="G677" s="250"/>
      <c r="H677" s="250"/>
    </row>
    <row r="678" spans="1:8">
      <c r="A678" s="250" t="s">
        <v>4273</v>
      </c>
      <c r="B678" s="250" t="s">
        <v>4274</v>
      </c>
      <c r="C678" s="251">
        <v>316</v>
      </c>
      <c r="D678" s="10" t="s">
        <v>4275</v>
      </c>
      <c r="E678" s="10"/>
      <c r="F678" s="252">
        <v>3002107630</v>
      </c>
      <c r="G678" s="250"/>
      <c r="H678" s="250"/>
    </row>
    <row r="679" spans="1:8">
      <c r="A679" s="250" t="s">
        <v>4276</v>
      </c>
      <c r="B679" s="250" t="s">
        <v>4277</v>
      </c>
      <c r="C679" s="251">
        <v>702</v>
      </c>
      <c r="D679" s="10" t="s">
        <v>2762</v>
      </c>
      <c r="E679" s="10"/>
      <c r="F679" s="252">
        <v>3134246516</v>
      </c>
      <c r="G679" s="250"/>
      <c r="H679" s="250"/>
    </row>
    <row r="680" spans="1:8">
      <c r="A680" s="250" t="s">
        <v>4278</v>
      </c>
      <c r="B680" s="250" t="s">
        <v>4279</v>
      </c>
      <c r="C680" s="251">
        <v>102</v>
      </c>
      <c r="D680" s="10"/>
      <c r="E680" s="10"/>
      <c r="F680" s="252">
        <v>3164331312</v>
      </c>
      <c r="G680" s="250"/>
      <c r="H680" s="250"/>
    </row>
    <row r="681" spans="1:8">
      <c r="A681" s="250" t="s">
        <v>4280</v>
      </c>
      <c r="B681" s="250" t="s">
        <v>4281</v>
      </c>
      <c r="C681" s="251">
        <v>203</v>
      </c>
      <c r="D681" s="10"/>
      <c r="E681" s="10"/>
      <c r="F681" s="252">
        <v>3142463108</v>
      </c>
      <c r="G681" s="252"/>
      <c r="H681" s="252"/>
    </row>
    <row r="682" spans="1:8">
      <c r="A682" s="250" t="s">
        <v>4282</v>
      </c>
      <c r="B682" s="250" t="s">
        <v>4283</v>
      </c>
      <c r="C682" s="251">
        <v>209</v>
      </c>
      <c r="D682" s="10"/>
      <c r="E682" s="10"/>
      <c r="F682" s="252">
        <v>3176388625</v>
      </c>
      <c r="G682" s="250"/>
      <c r="H682" s="250"/>
    </row>
    <row r="683" spans="1:8">
      <c r="A683" s="250" t="s">
        <v>4284</v>
      </c>
      <c r="B683" s="250" t="s">
        <v>4285</v>
      </c>
      <c r="C683" s="251">
        <v>406</v>
      </c>
      <c r="D683" s="10"/>
      <c r="E683" s="10"/>
      <c r="F683" s="252">
        <v>3176443487</v>
      </c>
      <c r="G683" s="267"/>
      <c r="H683" s="267"/>
    </row>
    <row r="684" spans="1:8">
      <c r="A684" s="250" t="s">
        <v>4286</v>
      </c>
      <c r="B684" s="250" t="s">
        <v>4287</v>
      </c>
      <c r="C684" s="251">
        <v>602</v>
      </c>
      <c r="D684" s="10"/>
      <c r="E684" s="10"/>
      <c r="F684" s="252">
        <v>3144792820</v>
      </c>
      <c r="G684" s="250"/>
      <c r="H684" s="250"/>
    </row>
    <row r="685" spans="1:8">
      <c r="A685" s="250" t="s">
        <v>4288</v>
      </c>
      <c r="B685" s="250" t="s">
        <v>4289</v>
      </c>
      <c r="C685" s="251">
        <v>1110</v>
      </c>
      <c r="D685" s="10"/>
      <c r="E685" s="10"/>
      <c r="F685" s="252">
        <v>3115114435</v>
      </c>
      <c r="G685" s="250"/>
      <c r="H685" s="250"/>
    </row>
    <row r="686" spans="1:8">
      <c r="A686" s="250" t="s">
        <v>4290</v>
      </c>
      <c r="B686" s="250" t="s">
        <v>4291</v>
      </c>
      <c r="C686" s="251"/>
      <c r="D686" s="10"/>
      <c r="E686" s="10"/>
      <c r="F686" s="252">
        <v>3163854620</v>
      </c>
      <c r="G686" s="250"/>
      <c r="H686" s="250"/>
    </row>
    <row r="687" spans="1:8">
      <c r="A687" s="250" t="s">
        <v>4292</v>
      </c>
      <c r="B687" s="250" t="s">
        <v>4293</v>
      </c>
      <c r="C687" s="251">
        <v>219</v>
      </c>
      <c r="D687" s="10"/>
      <c r="E687" s="10"/>
      <c r="F687" s="252">
        <v>3203800761</v>
      </c>
      <c r="G687" s="250"/>
      <c r="H687" s="250"/>
    </row>
    <row r="688" spans="1:8">
      <c r="A688" s="250" t="s">
        <v>4294</v>
      </c>
      <c r="B688" s="250" t="s">
        <v>4295</v>
      </c>
      <c r="C688" s="251">
        <v>1308</v>
      </c>
      <c r="D688" s="10"/>
      <c r="E688" s="10"/>
      <c r="F688" s="252">
        <v>3166942672</v>
      </c>
      <c r="G688" s="250"/>
      <c r="H688" s="250"/>
    </row>
    <row r="689" spans="1:8">
      <c r="A689" s="250" t="s">
        <v>4296</v>
      </c>
      <c r="B689" s="250" t="s">
        <v>4297</v>
      </c>
      <c r="C689" s="251">
        <v>103</v>
      </c>
      <c r="D689" s="10"/>
      <c r="E689" s="10"/>
      <c r="F689" s="252">
        <v>3168659984</v>
      </c>
      <c r="G689" s="250"/>
      <c r="H689" s="250"/>
    </row>
    <row r="690" spans="1:8">
      <c r="A690" s="250" t="s">
        <v>4298</v>
      </c>
      <c r="B690" s="250" t="s">
        <v>4299</v>
      </c>
      <c r="C690" s="251">
        <v>203</v>
      </c>
      <c r="D690" s="10"/>
      <c r="E690" s="10"/>
      <c r="F690" s="252">
        <v>3006853954</v>
      </c>
      <c r="G690" s="250"/>
      <c r="H690" s="250"/>
    </row>
    <row r="691" spans="1:8">
      <c r="A691" s="250" t="s">
        <v>4300</v>
      </c>
      <c r="B691" s="250" t="s">
        <v>4301</v>
      </c>
      <c r="C691" s="251">
        <v>205</v>
      </c>
      <c r="D691" s="10"/>
      <c r="E691" s="10"/>
      <c r="F691" s="252">
        <v>3156598428</v>
      </c>
      <c r="G691" s="250"/>
      <c r="H691" s="250"/>
    </row>
    <row r="692" spans="1:8">
      <c r="A692" s="250" t="s">
        <v>4302</v>
      </c>
      <c r="B692" s="250" t="s">
        <v>4303</v>
      </c>
      <c r="C692" s="251">
        <v>403</v>
      </c>
      <c r="D692" s="10"/>
      <c r="E692" s="10"/>
      <c r="F692" s="252">
        <v>3228344675</v>
      </c>
      <c r="G692" s="250"/>
      <c r="H692" s="250"/>
    </row>
    <row r="693" spans="1:8">
      <c r="A693" s="250" t="s">
        <v>4304</v>
      </c>
      <c r="B693" s="250" t="s">
        <v>4305</v>
      </c>
      <c r="C693" s="251">
        <v>1501</v>
      </c>
      <c r="D693" s="10" t="s">
        <v>2721</v>
      </c>
      <c r="E693" s="10"/>
      <c r="F693" s="252">
        <v>3163385561</v>
      </c>
      <c r="G693" s="250"/>
      <c r="H693" s="250"/>
    </row>
    <row r="694" spans="1:8">
      <c r="A694" s="250" t="s">
        <v>4306</v>
      </c>
      <c r="B694" s="250" t="s">
        <v>4307</v>
      </c>
      <c r="C694" s="251">
        <v>702</v>
      </c>
      <c r="D694" s="10"/>
      <c r="E694" s="10"/>
      <c r="F694" s="252">
        <v>3218264461</v>
      </c>
      <c r="G694" s="250"/>
      <c r="H694" s="250"/>
    </row>
    <row r="695" spans="1:8">
      <c r="A695" s="250" t="s">
        <v>4308</v>
      </c>
      <c r="B695" s="250" t="s">
        <v>4309</v>
      </c>
      <c r="C695" s="251">
        <v>202</v>
      </c>
      <c r="D695" s="10"/>
      <c r="E695" s="10"/>
      <c r="F695" s="252">
        <v>3143596822</v>
      </c>
      <c r="G695" s="250"/>
      <c r="H695" s="250"/>
    </row>
    <row r="696" spans="1:8">
      <c r="A696" s="250" t="s">
        <v>4310</v>
      </c>
      <c r="B696" s="250" t="s">
        <v>4311</v>
      </c>
      <c r="C696" s="251">
        <v>901</v>
      </c>
      <c r="D696" s="10"/>
      <c r="E696" s="10"/>
      <c r="F696" s="252">
        <v>3102406528</v>
      </c>
      <c r="G696" s="250"/>
      <c r="H696" s="250"/>
    </row>
    <row r="697" spans="1:8">
      <c r="A697" s="250" t="s">
        <v>4312</v>
      </c>
      <c r="B697" s="250" t="s">
        <v>4313</v>
      </c>
      <c r="C697" s="251">
        <v>103</v>
      </c>
      <c r="D697" s="10"/>
      <c r="E697" s="10"/>
      <c r="F697" s="252">
        <v>3208406570</v>
      </c>
      <c r="G697" s="250"/>
      <c r="H697" s="250"/>
    </row>
    <row r="698" spans="1:8">
      <c r="A698" s="250" t="s">
        <v>4314</v>
      </c>
      <c r="B698" s="250" t="s">
        <v>4315</v>
      </c>
      <c r="C698" s="251">
        <v>301</v>
      </c>
      <c r="D698" s="10"/>
      <c r="E698" s="10"/>
      <c r="F698" s="252" t="s">
        <v>4316</v>
      </c>
      <c r="G698" s="250"/>
      <c r="H698" s="250"/>
    </row>
    <row r="699" spans="1:8">
      <c r="A699" s="250" t="s">
        <v>4317</v>
      </c>
      <c r="B699" s="250" t="s">
        <v>4318</v>
      </c>
      <c r="C699" s="251">
        <v>901</v>
      </c>
      <c r="D699" s="10"/>
      <c r="E699" s="10"/>
      <c r="F699" s="252">
        <v>3114522703</v>
      </c>
      <c r="G699" s="250"/>
      <c r="H699" s="250"/>
    </row>
    <row r="700" spans="1:8">
      <c r="A700" s="250" t="s">
        <v>4319</v>
      </c>
      <c r="B700" s="250" t="s">
        <v>4320</v>
      </c>
      <c r="C700" s="251">
        <v>402</v>
      </c>
      <c r="D700" s="10" t="s">
        <v>4321</v>
      </c>
      <c r="E700" s="10"/>
      <c r="F700" s="252">
        <v>3112376205</v>
      </c>
      <c r="G700" s="250"/>
      <c r="H700" s="250"/>
    </row>
    <row r="701" spans="1:8">
      <c r="A701" s="250" t="s">
        <v>4322</v>
      </c>
      <c r="B701" s="250" t="s">
        <v>4323</v>
      </c>
      <c r="C701" s="251">
        <v>302</v>
      </c>
      <c r="D701" s="10"/>
      <c r="E701" s="10"/>
      <c r="F701" s="252">
        <v>3168326360</v>
      </c>
      <c r="G701" s="250"/>
      <c r="H701" s="250"/>
    </row>
    <row r="702" spans="1:8">
      <c r="A702" s="250" t="s">
        <v>4324</v>
      </c>
      <c r="B702" s="250" t="s">
        <v>4325</v>
      </c>
      <c r="C702" s="251">
        <v>201</v>
      </c>
      <c r="D702" s="10"/>
      <c r="E702" s="10"/>
      <c r="F702" s="252">
        <v>3102042769</v>
      </c>
      <c r="G702" s="250"/>
      <c r="H702" s="250"/>
    </row>
    <row r="703" spans="1:8">
      <c r="A703" s="250" t="s">
        <v>4326</v>
      </c>
      <c r="B703" s="250" t="s">
        <v>4327</v>
      </c>
      <c r="C703" s="251">
        <v>202</v>
      </c>
      <c r="D703" s="10"/>
      <c r="E703" s="10"/>
      <c r="F703" s="252">
        <v>3212426808</v>
      </c>
      <c r="G703" s="250"/>
      <c r="H703" s="250"/>
    </row>
    <row r="704" spans="1:8">
      <c r="A704" s="250" t="s">
        <v>4328</v>
      </c>
      <c r="B704" s="250" t="s">
        <v>4329</v>
      </c>
      <c r="C704" s="251">
        <v>1403</v>
      </c>
      <c r="D704" s="10" t="s">
        <v>4330</v>
      </c>
      <c r="E704" s="10"/>
      <c r="F704" s="252">
        <v>3004090860</v>
      </c>
      <c r="G704" s="250"/>
      <c r="H704" s="250"/>
    </row>
    <row r="705" spans="1:8">
      <c r="A705" s="250" t="s">
        <v>4331</v>
      </c>
      <c r="B705" s="250" t="s">
        <v>4332</v>
      </c>
      <c r="C705" s="251">
        <v>1001</v>
      </c>
      <c r="D705" s="10"/>
      <c r="E705" s="10"/>
      <c r="F705" s="252">
        <v>3134789166</v>
      </c>
      <c r="G705" s="250"/>
      <c r="H705" s="250"/>
    </row>
    <row r="706" spans="1:8">
      <c r="A706" s="250" t="s">
        <v>4333</v>
      </c>
      <c r="B706" s="250" t="s">
        <v>4334</v>
      </c>
      <c r="C706" s="251">
        <v>305</v>
      </c>
      <c r="D706" s="10" t="s">
        <v>2733</v>
      </c>
      <c r="E706" s="10"/>
      <c r="F706" s="252">
        <v>3208576980</v>
      </c>
      <c r="G706" s="250"/>
      <c r="H706" s="250"/>
    </row>
    <row r="707" spans="1:8">
      <c r="A707" s="250" t="s">
        <v>4335</v>
      </c>
      <c r="B707" s="250" t="s">
        <v>4336</v>
      </c>
      <c r="C707" s="251">
        <v>302</v>
      </c>
      <c r="D707" s="10" t="s">
        <v>4337</v>
      </c>
      <c r="E707" s="10"/>
      <c r="F707" s="252">
        <v>3105875568</v>
      </c>
      <c r="G707" s="250"/>
      <c r="H707" s="250"/>
    </row>
    <row r="708" spans="1:8">
      <c r="A708" s="250" t="s">
        <v>4338</v>
      </c>
      <c r="B708" s="250" t="s">
        <v>4339</v>
      </c>
      <c r="C708" s="251"/>
      <c r="D708" s="10"/>
      <c r="E708" s="10"/>
      <c r="F708" s="252">
        <v>3102313060</v>
      </c>
      <c r="G708" s="250"/>
      <c r="H708" s="250"/>
    </row>
    <row r="709" spans="1:8">
      <c r="A709" s="250" t="s">
        <v>4340</v>
      </c>
      <c r="B709" s="250" t="s">
        <v>4341</v>
      </c>
      <c r="C709" s="251">
        <v>602</v>
      </c>
      <c r="D709" s="10" t="s">
        <v>3129</v>
      </c>
      <c r="E709" s="10"/>
      <c r="F709" s="252">
        <v>3105624462</v>
      </c>
      <c r="G709" s="250"/>
      <c r="H709" s="250"/>
    </row>
    <row r="710" spans="1:8">
      <c r="A710" s="250" t="s">
        <v>4342</v>
      </c>
      <c r="B710" s="250" t="s">
        <v>4343</v>
      </c>
      <c r="C710" s="251">
        <v>604</v>
      </c>
      <c r="D710" s="10"/>
      <c r="E710" s="10"/>
      <c r="F710" s="252">
        <v>3023556240</v>
      </c>
      <c r="G710" s="250"/>
      <c r="H710" s="250"/>
    </row>
    <row r="711" spans="1:8">
      <c r="A711" s="250" t="s">
        <v>4344</v>
      </c>
      <c r="B711" s="250" t="s">
        <v>3648</v>
      </c>
      <c r="C711" s="251">
        <v>501</v>
      </c>
      <c r="D711" s="10">
        <v>501</v>
      </c>
      <c r="E711" s="10"/>
      <c r="F711" s="252">
        <v>3133946705</v>
      </c>
      <c r="G711" s="250"/>
      <c r="H711" s="250"/>
    </row>
    <row r="712" spans="1:8">
      <c r="A712" s="250" t="s">
        <v>4345</v>
      </c>
      <c r="B712" s="250" t="s">
        <v>4346</v>
      </c>
      <c r="C712" s="251">
        <v>203</v>
      </c>
      <c r="D712" s="10"/>
      <c r="E712" s="10"/>
      <c r="F712" s="252">
        <v>3158292580</v>
      </c>
      <c r="G712" s="250"/>
      <c r="H712" s="250"/>
    </row>
    <row r="713" spans="1:8">
      <c r="A713" s="250" t="s">
        <v>4347</v>
      </c>
      <c r="B713" s="250" t="s">
        <v>4348</v>
      </c>
      <c r="C713" s="251">
        <v>704</v>
      </c>
      <c r="D713" s="10" t="s">
        <v>3104</v>
      </c>
      <c r="E713" s="10"/>
      <c r="F713" s="252">
        <v>3197306595</v>
      </c>
      <c r="G713" s="250"/>
      <c r="H713" s="250"/>
    </row>
    <row r="714" spans="1:8">
      <c r="A714" s="250" t="s">
        <v>4349</v>
      </c>
      <c r="B714" s="250" t="s">
        <v>4350</v>
      </c>
      <c r="C714" s="251">
        <v>212</v>
      </c>
      <c r="D714" s="10"/>
      <c r="E714" s="10"/>
      <c r="F714" s="252">
        <v>3012948613</v>
      </c>
      <c r="G714" s="250"/>
      <c r="H714" s="250"/>
    </row>
    <row r="715" spans="1:8">
      <c r="A715" s="250" t="s">
        <v>4351</v>
      </c>
      <c r="B715" s="250" t="s">
        <v>4352</v>
      </c>
      <c r="C715" s="251">
        <v>323</v>
      </c>
      <c r="D715" s="10" t="s">
        <v>4353</v>
      </c>
      <c r="E715" s="10"/>
      <c r="F715" s="252">
        <v>9548064952</v>
      </c>
      <c r="G715" s="250"/>
      <c r="H715" s="250"/>
    </row>
    <row r="716" spans="1:8">
      <c r="A716" s="250" t="s">
        <v>4354</v>
      </c>
      <c r="B716" s="250" t="s">
        <v>4355</v>
      </c>
      <c r="C716" s="251">
        <v>402</v>
      </c>
      <c r="D716" s="10"/>
      <c r="E716" s="10"/>
      <c r="F716" s="252">
        <v>3168764521</v>
      </c>
      <c r="G716" s="250"/>
      <c r="H716" s="250"/>
    </row>
    <row r="717" spans="1:8">
      <c r="A717" s="250" t="s">
        <v>4356</v>
      </c>
      <c r="B717" s="250" t="s">
        <v>4357</v>
      </c>
      <c r="C717" s="251">
        <v>101</v>
      </c>
      <c r="D717" s="10"/>
      <c r="E717" s="10"/>
      <c r="F717" s="252">
        <v>3118480557</v>
      </c>
      <c r="G717" s="250"/>
      <c r="H717" s="250"/>
    </row>
    <row r="718" spans="1:8">
      <c r="A718" s="250" t="s">
        <v>4358</v>
      </c>
      <c r="B718" s="250" t="s">
        <v>4359</v>
      </c>
      <c r="C718" s="251">
        <v>201</v>
      </c>
      <c r="D718" s="10"/>
      <c r="E718" s="10"/>
      <c r="F718" s="252">
        <v>3164383266</v>
      </c>
      <c r="G718" s="250"/>
      <c r="H718" s="250"/>
    </row>
    <row r="719" spans="1:8">
      <c r="A719" s="250" t="s">
        <v>4360</v>
      </c>
      <c r="B719" s="250" t="s">
        <v>4361</v>
      </c>
      <c r="C719" s="251">
        <v>205</v>
      </c>
      <c r="D719" s="10"/>
      <c r="E719" s="10"/>
      <c r="F719" s="252">
        <v>3142958276</v>
      </c>
      <c r="G719" s="250"/>
      <c r="H719" s="250"/>
    </row>
    <row r="720" spans="1:8">
      <c r="A720" s="250" t="s">
        <v>4362</v>
      </c>
      <c r="B720" s="250" t="s">
        <v>4363</v>
      </c>
      <c r="C720" s="251"/>
      <c r="D720" s="10"/>
      <c r="E720" s="10"/>
      <c r="F720" s="252">
        <v>3105744508</v>
      </c>
      <c r="G720" s="250"/>
      <c r="H720" s="250"/>
    </row>
    <row r="721" spans="1:8">
      <c r="A721" s="250" t="s">
        <v>4364</v>
      </c>
      <c r="B721" s="250" t="s">
        <v>4365</v>
      </c>
      <c r="C721" s="251">
        <v>401</v>
      </c>
      <c r="D721" s="10" t="s">
        <v>4366</v>
      </c>
      <c r="E721" s="10"/>
      <c r="F721" s="252">
        <v>3114514540</v>
      </c>
      <c r="G721" s="250"/>
      <c r="H721" s="250"/>
    </row>
    <row r="722" spans="1:8">
      <c r="A722" s="250" t="s">
        <v>4367</v>
      </c>
      <c r="B722" s="250" t="s">
        <v>4368</v>
      </c>
      <c r="C722" s="251">
        <v>1206</v>
      </c>
      <c r="D722" s="10"/>
      <c r="E722" s="10"/>
      <c r="F722" s="252">
        <v>3108164562</v>
      </c>
      <c r="G722" s="250"/>
      <c r="H722" s="250"/>
    </row>
    <row r="723" spans="1:8">
      <c r="A723" s="250" t="s">
        <v>4369</v>
      </c>
      <c r="B723" s="250" t="s">
        <v>4370</v>
      </c>
      <c r="C723" s="251">
        <v>303</v>
      </c>
      <c r="D723" s="10"/>
      <c r="E723" s="10"/>
      <c r="F723" s="252">
        <v>3002094260</v>
      </c>
      <c r="G723" s="250"/>
      <c r="H723" s="250"/>
    </row>
    <row r="724" spans="1:8">
      <c r="A724" s="250" t="s">
        <v>4371</v>
      </c>
      <c r="B724" s="250" t="s">
        <v>4372</v>
      </c>
      <c r="C724" s="251">
        <v>507</v>
      </c>
      <c r="D724" s="10"/>
      <c r="E724" s="10"/>
      <c r="F724" s="252">
        <v>3222690841</v>
      </c>
      <c r="G724" s="250"/>
      <c r="H724" s="250"/>
    </row>
    <row r="725" spans="1:8">
      <c r="A725" s="250" t="s">
        <v>4373</v>
      </c>
      <c r="B725" s="250" t="s">
        <v>4374</v>
      </c>
      <c r="C725" s="251">
        <v>810</v>
      </c>
      <c r="D725" s="10"/>
      <c r="E725" s="10"/>
      <c r="F725" s="252">
        <v>3102124512</v>
      </c>
      <c r="G725" s="250"/>
      <c r="H725" s="250"/>
    </row>
    <row r="726" spans="1:8">
      <c r="A726" s="250" t="s">
        <v>4375</v>
      </c>
      <c r="B726" s="250" t="s">
        <v>4376</v>
      </c>
      <c r="C726" s="251"/>
      <c r="D726" s="10"/>
      <c r="E726" s="10"/>
      <c r="F726" s="252">
        <v>3152441072</v>
      </c>
      <c r="G726" s="250"/>
      <c r="H726" s="250"/>
    </row>
    <row r="727" spans="1:8">
      <c r="A727" s="250" t="s">
        <v>4377</v>
      </c>
      <c r="B727" s="250" t="s">
        <v>4378</v>
      </c>
      <c r="C727" s="251">
        <v>1101</v>
      </c>
      <c r="D727" s="10"/>
      <c r="E727" s="10"/>
      <c r="F727" s="252">
        <v>3006224935</v>
      </c>
      <c r="G727" s="250"/>
      <c r="H727" s="250"/>
    </row>
    <row r="728" spans="1:8">
      <c r="A728" s="250" t="s">
        <v>4379</v>
      </c>
      <c r="B728" s="250" t="s">
        <v>4380</v>
      </c>
      <c r="C728" s="251">
        <v>802</v>
      </c>
      <c r="D728" s="10" t="s">
        <v>2865</v>
      </c>
      <c r="E728" s="10"/>
      <c r="F728" s="252">
        <v>3174735850</v>
      </c>
      <c r="G728" s="250"/>
      <c r="H728" s="250"/>
    </row>
    <row r="729" spans="1:8">
      <c r="A729" s="250" t="s">
        <v>4381</v>
      </c>
      <c r="B729" s="250" t="s">
        <v>4382</v>
      </c>
      <c r="C729" s="251">
        <v>603</v>
      </c>
      <c r="D729" s="10"/>
      <c r="E729" s="10"/>
      <c r="F729" s="252">
        <v>3204105145</v>
      </c>
      <c r="G729" s="250"/>
      <c r="H729" s="250"/>
    </row>
    <row r="730" spans="1:8">
      <c r="A730" s="250" t="s">
        <v>4383</v>
      </c>
      <c r="B730" s="250" t="s">
        <v>4384</v>
      </c>
      <c r="C730" s="251">
        <v>304</v>
      </c>
      <c r="D730" s="10"/>
      <c r="E730" s="10"/>
      <c r="F730" s="252">
        <v>3107671906</v>
      </c>
      <c r="G730" s="250"/>
      <c r="H730" s="250"/>
    </row>
    <row r="731" spans="1:8">
      <c r="A731" s="250" t="s">
        <v>81</v>
      </c>
      <c r="B731" s="250" t="s">
        <v>4385</v>
      </c>
      <c r="C731" s="251">
        <v>808</v>
      </c>
      <c r="D731" s="10" t="s">
        <v>3808</v>
      </c>
      <c r="E731" s="10" t="s">
        <v>4386</v>
      </c>
      <c r="F731" s="252">
        <v>3159282148</v>
      </c>
      <c r="G731" s="250"/>
      <c r="H731" s="250"/>
    </row>
    <row r="732" spans="1:8">
      <c r="A732" s="250" t="s">
        <v>4387</v>
      </c>
      <c r="B732" s="250"/>
      <c r="C732" s="251">
        <v>808</v>
      </c>
      <c r="D732" s="10" t="s">
        <v>2733</v>
      </c>
      <c r="E732" s="10"/>
      <c r="F732" s="252">
        <v>3159282148</v>
      </c>
      <c r="G732" s="250"/>
      <c r="H732" s="250"/>
    </row>
    <row r="733" spans="1:8">
      <c r="A733" s="250" t="s">
        <v>4388</v>
      </c>
      <c r="B733" s="250" t="s">
        <v>4389</v>
      </c>
      <c r="C733" s="251">
        <v>202</v>
      </c>
      <c r="D733" s="10"/>
      <c r="E733" s="10"/>
      <c r="F733" s="252">
        <v>3138915670</v>
      </c>
      <c r="G733" s="250"/>
      <c r="H733" s="250"/>
    </row>
    <row r="734" spans="1:8">
      <c r="A734" s="250" t="s">
        <v>4390</v>
      </c>
      <c r="B734" s="250" t="s">
        <v>4391</v>
      </c>
      <c r="C734" s="251">
        <v>309</v>
      </c>
      <c r="D734" s="10"/>
      <c r="E734" s="10"/>
      <c r="F734" s="252">
        <v>3156694934</v>
      </c>
      <c r="G734" s="250"/>
      <c r="H734" s="250"/>
    </row>
    <row r="735" spans="1:8">
      <c r="A735" s="250" t="s">
        <v>4392</v>
      </c>
      <c r="B735" s="250" t="s">
        <v>4393</v>
      </c>
      <c r="C735" s="251">
        <v>206</v>
      </c>
      <c r="D735" s="10"/>
      <c r="E735" s="10"/>
      <c r="F735" s="252">
        <v>3155336533</v>
      </c>
      <c r="G735" s="250"/>
      <c r="H735" s="250"/>
    </row>
    <row r="736" spans="1:8">
      <c r="A736" s="250" t="s">
        <v>4394</v>
      </c>
      <c r="B736" s="250" t="s">
        <v>4395</v>
      </c>
      <c r="C736" s="251" t="s">
        <v>3007</v>
      </c>
      <c r="D736" s="10"/>
      <c r="E736" s="10"/>
      <c r="F736" s="252">
        <v>3214358809</v>
      </c>
      <c r="G736" s="250"/>
      <c r="H736" s="250"/>
    </row>
    <row r="737" spans="1:8">
      <c r="A737" s="250" t="s">
        <v>4396</v>
      </c>
      <c r="B737" s="250" t="s">
        <v>4397</v>
      </c>
      <c r="C737" s="251">
        <v>201</v>
      </c>
      <c r="D737" s="10"/>
      <c r="E737" s="10"/>
      <c r="F737" s="252">
        <v>3102311815</v>
      </c>
      <c r="G737" s="250"/>
      <c r="H737" s="250"/>
    </row>
    <row r="738" spans="1:8">
      <c r="A738" s="250" t="s">
        <v>4398</v>
      </c>
      <c r="B738" s="250" t="s">
        <v>4399</v>
      </c>
      <c r="C738" s="251">
        <v>811</v>
      </c>
      <c r="D738" s="10" t="s">
        <v>2721</v>
      </c>
      <c r="E738" s="10"/>
      <c r="F738" s="252">
        <v>3107632787</v>
      </c>
      <c r="G738" s="250"/>
      <c r="H738" s="250"/>
    </row>
    <row r="739" spans="1:8">
      <c r="A739" s="250" t="s">
        <v>4400</v>
      </c>
      <c r="B739" s="250" t="s">
        <v>4401</v>
      </c>
      <c r="C739" s="251">
        <v>403</v>
      </c>
      <c r="D739" s="10" t="s">
        <v>4402</v>
      </c>
      <c r="E739" s="10"/>
      <c r="F739" s="252">
        <v>3505449342</v>
      </c>
      <c r="G739" s="250"/>
      <c r="H739" s="250"/>
    </row>
    <row r="740" spans="1:8">
      <c r="A740" s="250" t="s">
        <v>4403</v>
      </c>
      <c r="B740" s="250" t="s">
        <v>4404</v>
      </c>
      <c r="C740" s="251">
        <v>405</v>
      </c>
      <c r="D740" s="10"/>
      <c r="E740" s="10"/>
      <c r="F740" s="252">
        <v>3202103463</v>
      </c>
      <c r="G740" s="250"/>
      <c r="H740" s="250"/>
    </row>
    <row r="741" spans="1:8">
      <c r="A741" s="250" t="s">
        <v>4405</v>
      </c>
      <c r="B741" s="250" t="s">
        <v>4406</v>
      </c>
      <c r="C741" s="251">
        <v>801</v>
      </c>
      <c r="D741" s="10" t="s">
        <v>4407</v>
      </c>
      <c r="E741" s="10"/>
      <c r="F741" s="252">
        <v>3142711145</v>
      </c>
      <c r="G741" s="250"/>
      <c r="H741" s="250"/>
    </row>
    <row r="742" spans="1:8">
      <c r="A742" s="250" t="s">
        <v>4408</v>
      </c>
      <c r="B742" s="250" t="s">
        <v>4409</v>
      </c>
      <c r="C742" s="251">
        <v>401</v>
      </c>
      <c r="D742" s="10"/>
      <c r="E742" s="10"/>
      <c r="F742" s="252">
        <v>3204974718</v>
      </c>
      <c r="G742" s="250"/>
      <c r="H742" s="250"/>
    </row>
    <row r="743" spans="1:8">
      <c r="A743" s="250" t="s">
        <v>4410</v>
      </c>
      <c r="B743" s="250" t="s">
        <v>4411</v>
      </c>
      <c r="C743" s="251" t="s">
        <v>2982</v>
      </c>
      <c r="D743" s="10"/>
      <c r="E743" s="10"/>
      <c r="F743" s="252">
        <v>3223351667</v>
      </c>
      <c r="G743" s="250"/>
      <c r="H743" s="250"/>
    </row>
    <row r="744" spans="1:8">
      <c r="A744" s="250" t="s">
        <v>4412</v>
      </c>
      <c r="B744" s="250" t="s">
        <v>4413</v>
      </c>
      <c r="C744" s="251">
        <v>302</v>
      </c>
      <c r="D744" s="10"/>
      <c r="E744" s="10"/>
      <c r="F744" s="252">
        <v>3188135307</v>
      </c>
      <c r="G744" s="250"/>
      <c r="H744" s="250"/>
    </row>
    <row r="745" spans="1:8">
      <c r="A745" s="250" t="s">
        <v>4414</v>
      </c>
      <c r="B745" s="250" t="s">
        <v>4415</v>
      </c>
      <c r="C745" s="251">
        <v>208</v>
      </c>
      <c r="D745" s="10"/>
      <c r="E745" s="10"/>
      <c r="F745" s="252">
        <v>3043472448</v>
      </c>
      <c r="G745" s="250"/>
      <c r="H745" s="250"/>
    </row>
    <row r="746" spans="1:8">
      <c r="A746" s="250" t="s">
        <v>4416</v>
      </c>
      <c r="B746" s="250" t="s">
        <v>4417</v>
      </c>
      <c r="C746" s="251">
        <v>103</v>
      </c>
      <c r="D746" s="10" t="s">
        <v>2733</v>
      </c>
      <c r="E746" s="10"/>
      <c r="F746" s="252">
        <v>3208659690</v>
      </c>
      <c r="G746" s="250"/>
      <c r="H746" s="250"/>
    </row>
    <row r="747" spans="1:8">
      <c r="A747" s="250" t="s">
        <v>4418</v>
      </c>
      <c r="B747" s="250" t="s">
        <v>4419</v>
      </c>
      <c r="C747" s="251">
        <v>701</v>
      </c>
      <c r="D747" s="10"/>
      <c r="E747" s="10"/>
      <c r="F747" s="252">
        <v>3194610368</v>
      </c>
      <c r="G747" s="250"/>
      <c r="H747" s="250"/>
    </row>
    <row r="748" spans="1:8">
      <c r="A748" s="250" t="s">
        <v>4420</v>
      </c>
      <c r="B748" s="250" t="s">
        <v>4421</v>
      </c>
      <c r="C748" s="251">
        <v>402</v>
      </c>
      <c r="D748" s="10"/>
      <c r="E748" s="10"/>
      <c r="F748" s="252">
        <v>3006513155</v>
      </c>
      <c r="G748" s="250"/>
      <c r="H748" s="250"/>
    </row>
    <row r="749" spans="1:8">
      <c r="A749" s="250" t="s">
        <v>4422</v>
      </c>
      <c r="B749" s="250" t="s">
        <v>4423</v>
      </c>
      <c r="C749" s="251">
        <v>1502</v>
      </c>
      <c r="D749" s="10" t="s">
        <v>2721</v>
      </c>
      <c r="E749" s="10"/>
      <c r="F749" s="252">
        <v>3183236341</v>
      </c>
      <c r="G749" s="250"/>
      <c r="H749" s="250"/>
    </row>
    <row r="750" spans="1:8">
      <c r="A750" s="250" t="s">
        <v>4424</v>
      </c>
      <c r="B750" s="250" t="s">
        <v>4425</v>
      </c>
      <c r="C750" s="251">
        <v>603</v>
      </c>
      <c r="D750" s="10"/>
      <c r="E750" s="10"/>
      <c r="F750" s="252">
        <v>3108469984</v>
      </c>
      <c r="G750" s="250"/>
      <c r="H750" s="250"/>
    </row>
    <row r="751" spans="1:8">
      <c r="A751" s="250" t="s">
        <v>4426</v>
      </c>
      <c r="B751" s="250" t="s">
        <v>4427</v>
      </c>
      <c r="C751" s="251">
        <v>505</v>
      </c>
      <c r="D751" s="10"/>
      <c r="E751" s="10"/>
      <c r="F751" s="252">
        <v>3153445043</v>
      </c>
      <c r="G751" s="250"/>
      <c r="H751" s="250"/>
    </row>
    <row r="752" spans="1:8">
      <c r="A752" s="256" t="s">
        <v>4428</v>
      </c>
      <c r="B752" s="250" t="s">
        <v>4429</v>
      </c>
      <c r="C752" s="251">
        <v>502</v>
      </c>
      <c r="D752" s="10" t="s">
        <v>4430</v>
      </c>
      <c r="E752" s="10"/>
      <c r="F752" s="252">
        <v>3157971660</v>
      </c>
      <c r="G752" s="250"/>
      <c r="H752" s="250"/>
    </row>
    <row r="753" spans="1:8">
      <c r="A753" s="250" t="s">
        <v>4431</v>
      </c>
      <c r="B753" s="250" t="s">
        <v>4432</v>
      </c>
      <c r="C753" s="251">
        <v>510</v>
      </c>
      <c r="D753" s="10"/>
      <c r="E753" s="10"/>
      <c r="F753" s="252">
        <v>3102499519</v>
      </c>
      <c r="G753" s="250"/>
      <c r="H753" s="250"/>
    </row>
    <row r="754" spans="1:8">
      <c r="A754" s="250" t="s">
        <v>4433</v>
      </c>
      <c r="B754" s="250" t="s">
        <v>4434</v>
      </c>
      <c r="C754" s="251">
        <v>222</v>
      </c>
      <c r="D754" s="10"/>
      <c r="E754" s="10"/>
      <c r="F754" s="252">
        <v>3214516510</v>
      </c>
      <c r="G754" s="250"/>
      <c r="H754" s="250"/>
    </row>
    <row r="755" spans="1:8">
      <c r="A755" s="250" t="s">
        <v>4435</v>
      </c>
      <c r="B755" s="250" t="s">
        <v>4436</v>
      </c>
      <c r="C755" s="251">
        <v>503</v>
      </c>
      <c r="D755" s="10" t="s">
        <v>2789</v>
      </c>
      <c r="E755" s="10"/>
      <c r="F755" s="252">
        <v>3012600650</v>
      </c>
      <c r="G755" s="250"/>
      <c r="H755" s="250"/>
    </row>
    <row r="756" spans="1:8">
      <c r="A756" s="250" t="s">
        <v>4437</v>
      </c>
      <c r="B756" s="250" t="s">
        <v>4438</v>
      </c>
      <c r="C756" s="251">
        <v>102</v>
      </c>
      <c r="D756" s="10" t="s">
        <v>4439</v>
      </c>
      <c r="E756" s="10"/>
      <c r="F756" s="252">
        <v>3014405783</v>
      </c>
      <c r="G756" s="250"/>
      <c r="H756" s="250"/>
    </row>
    <row r="757" spans="1:8">
      <c r="A757" s="250" t="s">
        <v>4440</v>
      </c>
      <c r="B757" s="250" t="s">
        <v>4441</v>
      </c>
      <c r="C757" s="251">
        <v>801</v>
      </c>
      <c r="D757" s="10"/>
      <c r="E757" s="10"/>
      <c r="F757" s="252">
        <v>3183983621</v>
      </c>
      <c r="G757" s="250"/>
      <c r="H757" s="250"/>
    </row>
    <row r="758" spans="1:8">
      <c r="A758" s="250" t="s">
        <v>4442</v>
      </c>
      <c r="B758" s="250" t="s">
        <v>4443</v>
      </c>
      <c r="C758" s="251">
        <v>1002</v>
      </c>
      <c r="D758" s="10"/>
      <c r="E758" s="10"/>
      <c r="F758" s="252">
        <v>3002750301</v>
      </c>
      <c r="G758" s="250"/>
      <c r="H758" s="250"/>
    </row>
    <row r="759" spans="1:8">
      <c r="A759" s="250" t="s">
        <v>4444</v>
      </c>
      <c r="B759" s="250" t="s">
        <v>4445</v>
      </c>
      <c r="C759" s="251" t="s">
        <v>3398</v>
      </c>
      <c r="D759" s="10"/>
      <c r="E759" s="10"/>
      <c r="F759" s="252">
        <v>3204642415</v>
      </c>
      <c r="G759" s="250"/>
      <c r="H759" s="250"/>
    </row>
    <row r="760" spans="1:8">
      <c r="A760" s="250" t="s">
        <v>4446</v>
      </c>
      <c r="B760" s="250" t="s">
        <v>3760</v>
      </c>
      <c r="C760" s="251">
        <v>1405</v>
      </c>
      <c r="D760" s="10" t="s">
        <v>4447</v>
      </c>
      <c r="E760" s="10"/>
      <c r="F760" s="252">
        <v>3204902967</v>
      </c>
      <c r="G760" s="250"/>
      <c r="H760" s="250"/>
    </row>
    <row r="761" spans="1:8">
      <c r="A761" s="250" t="s">
        <v>4448</v>
      </c>
      <c r="B761" s="250" t="s">
        <v>4449</v>
      </c>
      <c r="C761" s="251" t="s">
        <v>3822</v>
      </c>
      <c r="D761" s="10"/>
      <c r="E761" s="10"/>
      <c r="F761" s="252">
        <v>3159251354</v>
      </c>
      <c r="G761" s="250"/>
      <c r="H761" s="250"/>
    </row>
    <row r="762" spans="1:8">
      <c r="A762" s="250" t="s">
        <v>413</v>
      </c>
      <c r="B762" s="250" t="s">
        <v>4450</v>
      </c>
      <c r="C762" s="251">
        <v>401</v>
      </c>
      <c r="D762" s="10" t="s">
        <v>3811</v>
      </c>
      <c r="E762" s="10"/>
      <c r="F762" s="252">
        <v>3102144368</v>
      </c>
      <c r="G762" s="250"/>
      <c r="H762" s="250"/>
    </row>
    <row r="763" spans="1:8">
      <c r="A763" s="250" t="s">
        <v>4451</v>
      </c>
      <c r="B763" s="250" t="s">
        <v>4452</v>
      </c>
      <c r="C763" s="251">
        <v>402</v>
      </c>
      <c r="D763" s="10"/>
      <c r="E763" s="10"/>
      <c r="F763" s="252">
        <v>3104233404</v>
      </c>
      <c r="G763" s="250"/>
      <c r="H763" s="250"/>
    </row>
    <row r="764" spans="1:8">
      <c r="A764" s="250" t="s">
        <v>4453</v>
      </c>
      <c r="B764" s="250" t="s">
        <v>4454</v>
      </c>
      <c r="C764" s="251">
        <v>313</v>
      </c>
      <c r="D764" s="10" t="s">
        <v>2767</v>
      </c>
      <c r="E764" s="10"/>
      <c r="F764" s="252">
        <v>3106967796</v>
      </c>
      <c r="G764" s="250"/>
      <c r="H764" s="250"/>
    </row>
    <row r="765" spans="1:8">
      <c r="A765" s="250" t="s">
        <v>4455</v>
      </c>
      <c r="B765" s="250" t="s">
        <v>4456</v>
      </c>
      <c r="C765" s="251">
        <v>302</v>
      </c>
      <c r="D765" s="10"/>
      <c r="E765" s="10"/>
      <c r="F765" s="252">
        <v>3148616968</v>
      </c>
      <c r="G765" s="250"/>
      <c r="H765" s="250"/>
    </row>
    <row r="766" spans="1:8">
      <c r="A766" s="250" t="s">
        <v>4457</v>
      </c>
      <c r="B766" s="250" t="s">
        <v>4458</v>
      </c>
      <c r="C766" s="251">
        <v>503</v>
      </c>
      <c r="D766" s="10"/>
      <c r="E766" s="10"/>
      <c r="F766" s="252">
        <v>3134392713</v>
      </c>
      <c r="G766" s="250"/>
      <c r="H766" s="250"/>
    </row>
    <row r="767" spans="1:8">
      <c r="A767" s="250" t="s">
        <v>4459</v>
      </c>
      <c r="B767" s="250" t="s">
        <v>4460</v>
      </c>
      <c r="C767" s="251">
        <v>303</v>
      </c>
      <c r="D767" s="10"/>
      <c r="E767" s="10"/>
      <c r="F767" s="252">
        <v>3012812645</v>
      </c>
      <c r="G767" s="250"/>
      <c r="H767" s="250"/>
    </row>
    <row r="768" spans="1:8">
      <c r="A768" s="250" t="s">
        <v>4461</v>
      </c>
      <c r="B768" s="250" t="s">
        <v>4462</v>
      </c>
      <c r="C768" s="251">
        <v>302</v>
      </c>
      <c r="D768" s="10"/>
      <c r="E768" s="10"/>
      <c r="F768" s="252">
        <v>3123513005</v>
      </c>
      <c r="G768" s="250"/>
      <c r="H768" s="250"/>
    </row>
    <row r="769" spans="1:8">
      <c r="A769" s="250" t="s">
        <v>4463</v>
      </c>
      <c r="B769" s="250" t="s">
        <v>4464</v>
      </c>
      <c r="C769" s="251">
        <v>402</v>
      </c>
      <c r="D769" s="10" t="s">
        <v>2733</v>
      </c>
      <c r="E769" s="10"/>
      <c r="F769" s="252">
        <v>3188707214</v>
      </c>
      <c r="G769" s="250"/>
      <c r="H769" s="250"/>
    </row>
    <row r="770" spans="1:8">
      <c r="A770" s="250" t="s">
        <v>4465</v>
      </c>
      <c r="B770" s="250" t="s">
        <v>3324</v>
      </c>
      <c r="C770" s="251">
        <v>706</v>
      </c>
      <c r="D770" s="10"/>
      <c r="E770" s="10"/>
      <c r="F770" s="252">
        <v>3118129563</v>
      </c>
      <c r="G770" s="250"/>
      <c r="H770" s="250"/>
    </row>
    <row r="771" spans="1:8">
      <c r="A771" s="250" t="s">
        <v>4466</v>
      </c>
      <c r="B771" s="250" t="s">
        <v>4467</v>
      </c>
      <c r="C771" s="251">
        <v>202</v>
      </c>
      <c r="D771" s="10"/>
      <c r="E771" s="10"/>
      <c r="F771" s="252">
        <v>3187353505</v>
      </c>
      <c r="G771" s="250"/>
      <c r="H771" s="250"/>
    </row>
    <row r="772" spans="1:8">
      <c r="A772" s="250" t="s">
        <v>4468</v>
      </c>
      <c r="B772" s="250" t="s">
        <v>4469</v>
      </c>
      <c r="C772" s="251"/>
      <c r="D772" s="10"/>
      <c r="E772" s="10"/>
      <c r="F772" s="252">
        <v>3167580577</v>
      </c>
      <c r="G772" s="250"/>
      <c r="H772" s="250"/>
    </row>
    <row r="773" spans="1:8">
      <c r="A773" s="250" t="s">
        <v>4470</v>
      </c>
      <c r="B773" s="250" t="s">
        <v>4471</v>
      </c>
      <c r="C773" s="251">
        <v>307</v>
      </c>
      <c r="D773" s="10"/>
      <c r="E773" s="10"/>
      <c r="F773" s="252">
        <v>3137356372</v>
      </c>
      <c r="G773" s="250"/>
      <c r="H773" s="250"/>
    </row>
    <row r="774" spans="1:8">
      <c r="A774" s="250" t="s">
        <v>4472</v>
      </c>
      <c r="B774" s="250" t="s">
        <v>4473</v>
      </c>
      <c r="C774" s="251">
        <v>1107</v>
      </c>
      <c r="D774" s="10"/>
      <c r="E774" s="10"/>
      <c r="F774" s="252">
        <v>3107512730</v>
      </c>
      <c r="G774" s="250"/>
      <c r="H774" s="250"/>
    </row>
    <row r="775" spans="1:8">
      <c r="A775" s="250" t="s">
        <v>4474</v>
      </c>
      <c r="B775" s="250" t="s">
        <v>4475</v>
      </c>
      <c r="C775" s="251">
        <v>201</v>
      </c>
      <c r="D775" s="10" t="s">
        <v>4476</v>
      </c>
      <c r="E775" s="10"/>
      <c r="F775" s="252">
        <v>3115385062</v>
      </c>
      <c r="G775" s="250"/>
      <c r="H775" s="250"/>
    </row>
    <row r="776" spans="1:8">
      <c r="A776" s="250" t="s">
        <v>4477</v>
      </c>
      <c r="B776" s="250" t="s">
        <v>4478</v>
      </c>
      <c r="C776" s="251">
        <v>401</v>
      </c>
      <c r="D776" s="10"/>
      <c r="E776" s="10"/>
      <c r="F776" s="252">
        <v>3103495208</v>
      </c>
      <c r="G776" s="250"/>
      <c r="H776" s="250"/>
    </row>
    <row r="777" spans="1:8">
      <c r="A777" s="256" t="s">
        <v>4479</v>
      </c>
      <c r="B777" s="250" t="s">
        <v>4480</v>
      </c>
      <c r="C777" s="251">
        <v>404</v>
      </c>
      <c r="D777" s="265" t="s">
        <v>4481</v>
      </c>
      <c r="E777" s="10"/>
      <c r="F777" s="252">
        <v>3105513366</v>
      </c>
      <c r="G777" s="250"/>
      <c r="H777" s="250"/>
    </row>
    <row r="778" spans="1:8">
      <c r="A778" s="250" t="s">
        <v>4482</v>
      </c>
      <c r="B778" s="250" t="s">
        <v>4483</v>
      </c>
      <c r="C778" s="251">
        <v>302</v>
      </c>
      <c r="D778" s="10"/>
      <c r="E778" s="10"/>
      <c r="F778" s="252">
        <v>3137467427</v>
      </c>
      <c r="G778" s="250"/>
      <c r="H778" s="250"/>
    </row>
    <row r="779" spans="1:8">
      <c r="A779" s="250" t="s">
        <v>4484</v>
      </c>
      <c r="B779" s="250" t="s">
        <v>4485</v>
      </c>
      <c r="C779" s="251">
        <v>202</v>
      </c>
      <c r="D779" s="10"/>
      <c r="E779" s="10"/>
      <c r="F779" s="252">
        <v>3505135013</v>
      </c>
      <c r="G779" s="250"/>
      <c r="H779" s="250"/>
    </row>
    <row r="780" spans="1:8">
      <c r="A780" s="250" t="s">
        <v>4486</v>
      </c>
      <c r="B780" s="250" t="s">
        <v>4487</v>
      </c>
      <c r="C780" s="251">
        <v>507</v>
      </c>
      <c r="D780" s="10" t="s">
        <v>4488</v>
      </c>
      <c r="E780" s="10"/>
      <c r="F780" s="252">
        <v>3105613299</v>
      </c>
      <c r="G780" s="250"/>
      <c r="H780" s="250"/>
    </row>
    <row r="781" spans="1:8">
      <c r="A781" s="250" t="s">
        <v>4489</v>
      </c>
      <c r="B781" s="250" t="s">
        <v>4490</v>
      </c>
      <c r="C781" s="251">
        <v>602</v>
      </c>
      <c r="D781" s="10"/>
      <c r="E781" s="10"/>
      <c r="F781" s="252">
        <v>3116091814</v>
      </c>
      <c r="G781" s="250"/>
      <c r="H781" s="250"/>
    </row>
    <row r="782" spans="1:8">
      <c r="A782" s="250" t="s">
        <v>4491</v>
      </c>
      <c r="B782" s="250" t="s">
        <v>4492</v>
      </c>
      <c r="C782" s="251">
        <v>403</v>
      </c>
      <c r="D782" s="10"/>
      <c r="E782" s="10"/>
      <c r="F782" s="252">
        <v>3104809007</v>
      </c>
      <c r="G782" s="250"/>
      <c r="H782" s="250"/>
    </row>
    <row r="783" spans="1:8">
      <c r="A783" s="250" t="s">
        <v>4493</v>
      </c>
      <c r="B783" s="250" t="s">
        <v>4494</v>
      </c>
      <c r="C783" s="251"/>
      <c r="D783" s="10" t="s">
        <v>4495</v>
      </c>
      <c r="E783" s="10"/>
      <c r="F783" s="252">
        <v>3196257466</v>
      </c>
      <c r="G783" s="250"/>
      <c r="H783" s="250"/>
    </row>
    <row r="784" spans="1:8">
      <c r="A784" s="250" t="s">
        <v>4496</v>
      </c>
      <c r="B784" s="250" t="s">
        <v>4497</v>
      </c>
      <c r="C784" s="251">
        <v>103</v>
      </c>
      <c r="D784" s="10" t="s">
        <v>4498</v>
      </c>
      <c r="E784" s="10"/>
      <c r="F784" s="252">
        <v>3166273116</v>
      </c>
      <c r="G784" s="250"/>
      <c r="H784" s="250"/>
    </row>
    <row r="785" spans="1:8">
      <c r="A785" s="250" t="s">
        <v>4499</v>
      </c>
      <c r="B785" s="250" t="s">
        <v>4500</v>
      </c>
      <c r="C785" s="251">
        <v>107</v>
      </c>
      <c r="D785" s="10" t="s">
        <v>4501</v>
      </c>
      <c r="E785" s="10"/>
      <c r="F785" s="252">
        <v>3103237699</v>
      </c>
      <c r="G785" s="250"/>
      <c r="H785" s="250"/>
    </row>
    <row r="786" spans="1:8">
      <c r="A786" s="250" t="s">
        <v>4502</v>
      </c>
      <c r="B786" s="250" t="s">
        <v>4503</v>
      </c>
      <c r="C786" s="251">
        <v>601</v>
      </c>
      <c r="D786" s="10"/>
      <c r="E786" s="10"/>
      <c r="F786" s="252">
        <v>3194017867</v>
      </c>
      <c r="G786" s="250"/>
      <c r="H786" s="250"/>
    </row>
    <row r="787" spans="1:8">
      <c r="A787" s="256" t="s">
        <v>4504</v>
      </c>
      <c r="B787" s="250" t="s">
        <v>4505</v>
      </c>
      <c r="C787" s="251">
        <v>201</v>
      </c>
      <c r="D787" s="10"/>
      <c r="E787" s="10"/>
      <c r="F787" s="252">
        <v>3208448620</v>
      </c>
      <c r="G787" s="250"/>
      <c r="H787" s="250"/>
    </row>
    <row r="788" spans="1:8">
      <c r="A788" s="250" t="s">
        <v>4506</v>
      </c>
      <c r="B788" s="250" t="s">
        <v>4507</v>
      </c>
      <c r="C788" s="251" t="s">
        <v>3007</v>
      </c>
      <c r="D788" s="10"/>
      <c r="E788" s="10"/>
      <c r="F788" s="252">
        <v>3138787701</v>
      </c>
      <c r="G788" s="250"/>
      <c r="H788" s="250"/>
    </row>
    <row r="789" spans="1:8">
      <c r="A789" s="250" t="s">
        <v>4508</v>
      </c>
      <c r="B789" s="250" t="s">
        <v>4509</v>
      </c>
      <c r="C789" s="251">
        <v>602</v>
      </c>
      <c r="D789" s="10"/>
      <c r="E789" s="10"/>
      <c r="F789" s="252">
        <v>3112046538</v>
      </c>
      <c r="G789" s="250"/>
      <c r="H789" s="250"/>
    </row>
    <row r="790" spans="1:8">
      <c r="A790" s="250" t="s">
        <v>4510</v>
      </c>
      <c r="B790" s="250" t="s">
        <v>4511</v>
      </c>
      <c r="C790" s="251">
        <v>303</v>
      </c>
      <c r="D790" s="10"/>
      <c r="E790" s="10"/>
      <c r="F790" s="252">
        <v>3205845481</v>
      </c>
      <c r="G790" s="250"/>
      <c r="H790" s="250"/>
    </row>
    <row r="791" spans="1:8">
      <c r="A791" s="250" t="s">
        <v>4512</v>
      </c>
      <c r="B791" s="250" t="s">
        <v>4513</v>
      </c>
      <c r="C791" s="251">
        <v>401</v>
      </c>
      <c r="D791" s="10"/>
      <c r="E791" s="10"/>
      <c r="F791" s="252">
        <v>3132079566</v>
      </c>
      <c r="G791" s="250"/>
      <c r="H791" s="266"/>
    </row>
    <row r="792" spans="1:8">
      <c r="A792" s="267" t="s">
        <v>4514</v>
      </c>
      <c r="B792" s="250" t="s">
        <v>4372</v>
      </c>
      <c r="C792" s="251">
        <v>905</v>
      </c>
      <c r="D792" s="10" t="s">
        <v>4515</v>
      </c>
      <c r="E792" s="10"/>
      <c r="F792" s="252">
        <v>3212154562</v>
      </c>
      <c r="G792" s="250"/>
      <c r="H792" s="266"/>
    </row>
    <row r="793" spans="1:8">
      <c r="A793" s="250" t="s">
        <v>4516</v>
      </c>
      <c r="B793" s="250" t="s">
        <v>4517</v>
      </c>
      <c r="C793" s="251">
        <v>601</v>
      </c>
      <c r="D793" s="10" t="s">
        <v>2767</v>
      </c>
      <c r="E793" s="10"/>
      <c r="F793" s="252">
        <v>3153548583</v>
      </c>
      <c r="G793" s="250"/>
      <c r="H793" s="250"/>
    </row>
    <row r="794" spans="1:8">
      <c r="A794" s="250" t="s">
        <v>4518</v>
      </c>
      <c r="B794" s="250" t="s">
        <v>4519</v>
      </c>
      <c r="C794" s="251">
        <v>201</v>
      </c>
      <c r="D794" s="10" t="s">
        <v>4520</v>
      </c>
      <c r="E794" s="10"/>
      <c r="F794" s="252">
        <v>3202311592</v>
      </c>
      <c r="G794" s="250"/>
      <c r="H794" s="250"/>
    </row>
    <row r="795" spans="1:8">
      <c r="A795" s="250" t="s">
        <v>4521</v>
      </c>
      <c r="B795" s="250" t="s">
        <v>4522</v>
      </c>
      <c r="C795" s="251">
        <v>302</v>
      </c>
      <c r="D795" s="10"/>
      <c r="E795" s="10"/>
      <c r="F795" s="252">
        <v>3144434215</v>
      </c>
      <c r="G795" s="250"/>
      <c r="H795" s="250"/>
    </row>
    <row r="796" spans="1:8">
      <c r="A796" s="250" t="s">
        <v>4523</v>
      </c>
      <c r="B796" s="250" t="s">
        <v>4524</v>
      </c>
      <c r="C796" s="251">
        <v>102</v>
      </c>
      <c r="D796" s="10" t="s">
        <v>4525</v>
      </c>
      <c r="E796" s="10"/>
      <c r="F796" s="252">
        <v>3167598189</v>
      </c>
      <c r="G796" s="250"/>
      <c r="H796" s="250"/>
    </row>
    <row r="797" spans="1:8">
      <c r="A797" s="250" t="s">
        <v>4526</v>
      </c>
      <c r="B797" s="250" t="s">
        <v>4527</v>
      </c>
      <c r="C797" s="251">
        <v>404</v>
      </c>
      <c r="D797" s="10" t="s">
        <v>4528</v>
      </c>
      <c r="E797" s="10"/>
      <c r="F797" s="252">
        <v>3153436864</v>
      </c>
      <c r="G797" s="250"/>
      <c r="H797" s="250"/>
    </row>
    <row r="798" spans="1:8">
      <c r="A798" s="250" t="s">
        <v>4529</v>
      </c>
      <c r="B798" s="250" t="s">
        <v>4530</v>
      </c>
      <c r="C798" s="251">
        <v>702</v>
      </c>
      <c r="D798" s="10"/>
      <c r="E798" s="10"/>
      <c r="F798" s="252">
        <v>3203365145</v>
      </c>
      <c r="G798" s="250"/>
      <c r="H798" s="250"/>
    </row>
    <row r="799" spans="1:8">
      <c r="A799" s="250" t="s">
        <v>4531</v>
      </c>
      <c r="B799" s="250" t="s">
        <v>4532</v>
      </c>
      <c r="C799" s="251">
        <v>808</v>
      </c>
      <c r="D799" s="10" t="s">
        <v>4533</v>
      </c>
      <c r="E799" s="10"/>
      <c r="F799" s="252">
        <v>3132960609</v>
      </c>
      <c r="G799" s="250"/>
      <c r="H799" s="250"/>
    </row>
    <row r="800" spans="1:8">
      <c r="A800" s="250" t="s">
        <v>4534</v>
      </c>
      <c r="B800" s="250" t="s">
        <v>4535</v>
      </c>
      <c r="C800" s="251">
        <v>304</v>
      </c>
      <c r="D800" s="10" t="s">
        <v>3391</v>
      </c>
      <c r="E800" s="10"/>
      <c r="F800" s="252">
        <v>3188422850</v>
      </c>
      <c r="G800" s="250"/>
      <c r="H800" s="250"/>
    </row>
    <row r="801" spans="1:8">
      <c r="A801" s="250" t="s">
        <v>4536</v>
      </c>
      <c r="B801" s="250" t="s">
        <v>4537</v>
      </c>
      <c r="C801" s="251">
        <v>404</v>
      </c>
      <c r="D801" s="10"/>
      <c r="E801" s="10"/>
      <c r="F801" s="252">
        <v>3008701452</v>
      </c>
      <c r="G801" s="250"/>
      <c r="H801" s="250"/>
    </row>
    <row r="802" spans="1:8">
      <c r="A802" s="250" t="s">
        <v>4538</v>
      </c>
      <c r="B802" s="250" t="s">
        <v>4539</v>
      </c>
      <c r="C802" s="251" t="s">
        <v>4540</v>
      </c>
      <c r="D802" s="10"/>
      <c r="E802" s="10"/>
      <c r="F802" s="252">
        <v>3115325948</v>
      </c>
      <c r="G802" s="250"/>
      <c r="H802" s="250"/>
    </row>
    <row r="803" spans="1:8">
      <c r="A803" s="250" t="s">
        <v>4541</v>
      </c>
      <c r="B803" s="250" t="s">
        <v>4542</v>
      </c>
      <c r="C803" s="251">
        <v>504</v>
      </c>
      <c r="D803" s="10"/>
      <c r="E803" s="10"/>
      <c r="F803" s="252">
        <v>3106665674</v>
      </c>
      <c r="G803" s="250"/>
      <c r="H803" s="250"/>
    </row>
    <row r="804" spans="1:8">
      <c r="A804" s="250" t="s">
        <v>4543</v>
      </c>
      <c r="B804" s="250" t="s">
        <v>4544</v>
      </c>
      <c r="C804" s="251"/>
      <c r="D804" s="10" t="s">
        <v>4545</v>
      </c>
      <c r="E804" s="10"/>
      <c r="F804" s="252">
        <v>3223083219</v>
      </c>
      <c r="G804" s="250"/>
      <c r="H804" s="250"/>
    </row>
    <row r="805" spans="1:8">
      <c r="A805" s="250" t="s">
        <v>4546</v>
      </c>
      <c r="B805" s="250" t="s">
        <v>4547</v>
      </c>
      <c r="C805" s="251"/>
      <c r="D805" s="10"/>
      <c r="E805" s="10"/>
      <c r="F805" s="252">
        <v>3124331040</v>
      </c>
      <c r="G805" s="250"/>
      <c r="H805" s="250"/>
    </row>
    <row r="806" spans="1:8">
      <c r="A806" s="250" t="s">
        <v>4548</v>
      </c>
      <c r="B806" s="250" t="s">
        <v>4549</v>
      </c>
      <c r="C806" s="251">
        <v>1110</v>
      </c>
      <c r="D806" s="10"/>
      <c r="E806" s="10"/>
      <c r="F806" s="252">
        <v>3015148604</v>
      </c>
      <c r="G806" s="250"/>
      <c r="H806" s="250"/>
    </row>
    <row r="807" spans="1:8">
      <c r="A807" s="250" t="s">
        <v>4550</v>
      </c>
      <c r="B807" s="250"/>
      <c r="C807" s="251"/>
      <c r="D807" s="10"/>
      <c r="E807" s="10"/>
      <c r="F807" s="252">
        <v>3208558975</v>
      </c>
      <c r="G807" s="250"/>
      <c r="H807" s="250"/>
    </row>
    <row r="808" spans="1:8">
      <c r="A808" s="250" t="s">
        <v>4551</v>
      </c>
      <c r="B808" s="250"/>
      <c r="C808" s="251"/>
      <c r="D808" s="10"/>
      <c r="E808" s="10"/>
      <c r="F808" s="252">
        <v>3195515068</v>
      </c>
      <c r="G808" s="250"/>
      <c r="H808" s="250"/>
    </row>
    <row r="809" spans="1:8">
      <c r="A809" s="250" t="s">
        <v>4552</v>
      </c>
      <c r="B809" s="250"/>
      <c r="C809" s="251"/>
      <c r="D809" s="10"/>
      <c r="E809" s="10"/>
      <c r="F809" s="252">
        <v>3143304948</v>
      </c>
      <c r="G809" s="250"/>
      <c r="H809" s="250"/>
    </row>
    <row r="810" spans="1:8">
      <c r="A810" s="250" t="s">
        <v>4553</v>
      </c>
      <c r="B810" s="250" t="s">
        <v>4554</v>
      </c>
      <c r="C810" s="251">
        <v>401</v>
      </c>
      <c r="D810" s="10" t="s">
        <v>4555</v>
      </c>
      <c r="E810" s="10"/>
      <c r="F810" s="252">
        <v>3108407988</v>
      </c>
      <c r="G810" s="250"/>
      <c r="H810" s="250"/>
    </row>
    <row r="811" spans="1:8">
      <c r="A811" s="250" t="s">
        <v>4556</v>
      </c>
      <c r="B811" s="250" t="s">
        <v>4557</v>
      </c>
      <c r="C811" s="251"/>
      <c r="D811" s="10" t="s">
        <v>4558</v>
      </c>
      <c r="E811" s="10"/>
      <c r="F811" s="252">
        <v>3123333268</v>
      </c>
      <c r="G811" s="250"/>
      <c r="H811" s="250"/>
    </row>
    <row r="812" spans="1:8">
      <c r="A812" s="250" t="s">
        <v>4559</v>
      </c>
      <c r="B812" s="250" t="s">
        <v>4560</v>
      </c>
      <c r="C812" s="251">
        <v>501</v>
      </c>
      <c r="D812" s="10" t="s">
        <v>4561</v>
      </c>
      <c r="E812" s="10"/>
      <c r="F812" s="252">
        <v>3045236304</v>
      </c>
      <c r="G812" s="250"/>
      <c r="H812" s="250"/>
    </row>
    <row r="813" spans="1:8">
      <c r="A813" s="250" t="s">
        <v>369</v>
      </c>
      <c r="B813" s="250" t="s">
        <v>4562</v>
      </c>
      <c r="C813" s="251">
        <v>401</v>
      </c>
      <c r="D813" s="10" t="s">
        <v>3808</v>
      </c>
      <c r="E813" s="10"/>
      <c r="F813" s="252">
        <v>3012897474</v>
      </c>
      <c r="G813" s="250"/>
      <c r="H813" s="250"/>
    </row>
    <row r="814" spans="1:8">
      <c r="A814" s="250" t="s">
        <v>4563</v>
      </c>
      <c r="B814" s="250" t="s">
        <v>4564</v>
      </c>
      <c r="C814" s="251"/>
      <c r="D814" s="10" t="s">
        <v>4565</v>
      </c>
      <c r="E814" s="10"/>
      <c r="F814" s="252">
        <v>3103411192</v>
      </c>
      <c r="G814" s="250"/>
      <c r="H814" s="250"/>
    </row>
    <row r="815" spans="1:8">
      <c r="A815" s="250" t="s">
        <v>4566</v>
      </c>
      <c r="B815" s="250" t="s">
        <v>4567</v>
      </c>
      <c r="C815" s="251">
        <v>303</v>
      </c>
      <c r="D815" s="10" t="s">
        <v>4568</v>
      </c>
      <c r="E815" s="10"/>
      <c r="F815" s="252">
        <v>3102274011</v>
      </c>
      <c r="G815" s="250"/>
      <c r="H815" s="250"/>
    </row>
    <row r="816" spans="1:8">
      <c r="A816" s="250" t="s">
        <v>4569</v>
      </c>
      <c r="B816" s="250" t="s">
        <v>4570</v>
      </c>
      <c r="C816" s="251">
        <v>501</v>
      </c>
      <c r="D816" s="10"/>
      <c r="E816" s="10"/>
      <c r="F816" s="252">
        <v>3214923612</v>
      </c>
      <c r="G816" s="250"/>
      <c r="H816" s="250"/>
    </row>
    <row r="817" spans="1:8">
      <c r="A817" s="250" t="s">
        <v>4571</v>
      </c>
      <c r="B817" s="250" t="s">
        <v>4572</v>
      </c>
      <c r="C817" s="251">
        <v>301</v>
      </c>
      <c r="D817" s="10" t="s">
        <v>4573</v>
      </c>
      <c r="E817" s="10"/>
      <c r="F817" s="252">
        <v>3103020690</v>
      </c>
      <c r="G817" s="250"/>
      <c r="H817" s="250"/>
    </row>
    <row r="818" spans="1:8">
      <c r="A818" s="250" t="s">
        <v>4574</v>
      </c>
      <c r="B818" s="250" t="s">
        <v>4575</v>
      </c>
      <c r="C818" s="251">
        <v>602</v>
      </c>
      <c r="D818" s="10"/>
      <c r="E818" s="10"/>
      <c r="F818" s="252">
        <v>3103234965</v>
      </c>
      <c r="G818" s="250"/>
      <c r="H818" s="250"/>
    </row>
    <row r="819" spans="1:8">
      <c r="A819" s="250" t="s">
        <v>4576</v>
      </c>
      <c r="B819" s="250" t="s">
        <v>4577</v>
      </c>
      <c r="C819" s="251">
        <v>403</v>
      </c>
      <c r="D819" s="10"/>
      <c r="E819" s="10"/>
      <c r="F819" s="252">
        <v>3112372201</v>
      </c>
      <c r="G819" s="250"/>
      <c r="H819" s="250"/>
    </row>
    <row r="820" spans="1:8">
      <c r="A820" s="250" t="s">
        <v>4578</v>
      </c>
      <c r="B820" s="250" t="s">
        <v>4579</v>
      </c>
      <c r="C820" s="251">
        <v>901</v>
      </c>
      <c r="D820" s="10" t="s">
        <v>4580</v>
      </c>
      <c r="E820" s="10"/>
      <c r="F820" s="252">
        <v>3183119350</v>
      </c>
      <c r="G820" s="250"/>
      <c r="H820" s="250"/>
    </row>
    <row r="821" spans="1:8">
      <c r="A821" s="250" t="s">
        <v>4581</v>
      </c>
      <c r="B821" s="250" t="s">
        <v>4582</v>
      </c>
      <c r="C821" s="251" t="s">
        <v>4583</v>
      </c>
      <c r="D821" s="10"/>
      <c r="E821" s="10"/>
      <c r="F821" s="252">
        <v>3104882277</v>
      </c>
      <c r="G821" s="250"/>
      <c r="H821" s="250"/>
    </row>
    <row r="822" spans="1:8">
      <c r="A822" s="250" t="s">
        <v>4584</v>
      </c>
      <c r="B822" s="250" t="s">
        <v>4585</v>
      </c>
      <c r="C822" s="251">
        <v>1401</v>
      </c>
      <c r="D822" s="10" t="s">
        <v>3808</v>
      </c>
      <c r="E822" s="10"/>
      <c r="F822" s="252">
        <v>3168738832</v>
      </c>
      <c r="G822" s="250"/>
      <c r="H822" s="250"/>
    </row>
    <row r="823" spans="1:8">
      <c r="A823" s="250" t="s">
        <v>4586</v>
      </c>
      <c r="B823" s="250" t="s">
        <v>4587</v>
      </c>
      <c r="C823" s="251">
        <v>203</v>
      </c>
      <c r="D823" s="10"/>
      <c r="E823" s="10"/>
      <c r="F823" s="252">
        <v>3124988822</v>
      </c>
      <c r="G823" s="250"/>
      <c r="H823" s="250"/>
    </row>
    <row r="824" spans="1:8">
      <c r="A824" s="250" t="s">
        <v>4588</v>
      </c>
      <c r="B824" s="250" t="s">
        <v>4589</v>
      </c>
      <c r="C824" s="251">
        <v>304</v>
      </c>
      <c r="D824" s="10" t="s">
        <v>4590</v>
      </c>
      <c r="E824" s="10"/>
      <c r="F824" s="252">
        <v>3005752118</v>
      </c>
      <c r="G824" s="250"/>
      <c r="H824" s="250"/>
    </row>
    <row r="825" spans="1:8">
      <c r="A825" s="250" t="s">
        <v>4591</v>
      </c>
      <c r="B825" s="250" t="s">
        <v>4592</v>
      </c>
      <c r="C825" s="251">
        <v>215</v>
      </c>
      <c r="D825" s="10" t="s">
        <v>4593</v>
      </c>
      <c r="E825" s="10"/>
      <c r="F825" s="252">
        <v>3023248739</v>
      </c>
      <c r="G825" s="250"/>
      <c r="H825" s="250"/>
    </row>
    <row r="826" spans="1:8">
      <c r="A826" s="250" t="s">
        <v>4594</v>
      </c>
      <c r="B826" s="250" t="s">
        <v>4595</v>
      </c>
      <c r="C826" s="251">
        <v>602</v>
      </c>
      <c r="D826" s="10"/>
      <c r="E826" s="10"/>
      <c r="F826" s="252">
        <v>3185605515</v>
      </c>
      <c r="G826" s="250"/>
      <c r="H826" s="250"/>
    </row>
    <row r="827" spans="1:8">
      <c r="A827" s="250" t="s">
        <v>4596</v>
      </c>
      <c r="B827" s="250" t="s">
        <v>4597</v>
      </c>
      <c r="C827" s="251"/>
      <c r="D827" s="10" t="s">
        <v>4598</v>
      </c>
      <c r="E827" s="10"/>
      <c r="F827" s="252">
        <v>3106664089</v>
      </c>
      <c r="G827" s="250"/>
      <c r="H827" s="250"/>
    </row>
    <row r="828" spans="1:8">
      <c r="A828" s="250" t="s">
        <v>4599</v>
      </c>
      <c r="B828" s="250" t="s">
        <v>4600</v>
      </c>
      <c r="C828" s="251">
        <v>205</v>
      </c>
      <c r="D828" s="10" t="s">
        <v>2721</v>
      </c>
      <c r="E828" s="10"/>
      <c r="F828" s="252">
        <v>3143313535</v>
      </c>
      <c r="G828" s="250"/>
      <c r="H828" s="250"/>
    </row>
    <row r="829" spans="1:8">
      <c r="A829" s="250" t="s">
        <v>4601</v>
      </c>
      <c r="B829" s="250" t="s">
        <v>4602</v>
      </c>
      <c r="C829" s="251">
        <v>205</v>
      </c>
      <c r="D829" s="10" t="s">
        <v>4603</v>
      </c>
      <c r="E829" s="10"/>
      <c r="F829" s="252">
        <v>3118095161</v>
      </c>
      <c r="G829" s="250"/>
      <c r="H829" s="250"/>
    </row>
    <row r="830" spans="1:8">
      <c r="A830" s="250" t="s">
        <v>4604</v>
      </c>
      <c r="B830" s="250" t="s">
        <v>4605</v>
      </c>
      <c r="C830" s="251" t="s">
        <v>3026</v>
      </c>
      <c r="D830" s="10"/>
      <c r="E830" s="10"/>
      <c r="F830" s="252">
        <v>3046190164</v>
      </c>
      <c r="G830" s="250"/>
      <c r="H830" s="250"/>
    </row>
    <row r="831" spans="1:8">
      <c r="A831" s="250" t="s">
        <v>4606</v>
      </c>
      <c r="B831" s="250" t="s">
        <v>4607</v>
      </c>
      <c r="C831" s="251" t="s">
        <v>3070</v>
      </c>
      <c r="D831" s="10"/>
      <c r="E831" s="10"/>
      <c r="F831" s="252">
        <v>3203079914</v>
      </c>
      <c r="G831" s="250"/>
      <c r="H831" s="250"/>
    </row>
    <row r="832" spans="1:8">
      <c r="A832" s="250" t="s">
        <v>4608</v>
      </c>
      <c r="B832" s="250" t="s">
        <v>4609</v>
      </c>
      <c r="C832" s="251">
        <v>201</v>
      </c>
      <c r="D832" s="10"/>
      <c r="E832" s="10"/>
      <c r="F832" s="252">
        <v>3115583413</v>
      </c>
      <c r="G832" s="250"/>
      <c r="H832" s="250"/>
    </row>
    <row r="833" spans="1:8">
      <c r="A833" s="250" t="s">
        <v>4610</v>
      </c>
      <c r="B833" s="250" t="s">
        <v>4611</v>
      </c>
      <c r="C833" s="251">
        <v>206</v>
      </c>
      <c r="D833" s="10"/>
      <c r="E833" s="10"/>
      <c r="F833" s="252">
        <v>3113332266</v>
      </c>
      <c r="G833" s="250"/>
      <c r="H833" s="250"/>
    </row>
    <row r="834" spans="1:8">
      <c r="A834" s="250" t="s">
        <v>4612</v>
      </c>
      <c r="B834" s="250" t="s">
        <v>4613</v>
      </c>
      <c r="C834" s="251">
        <v>401</v>
      </c>
      <c r="D834" s="10"/>
      <c r="E834" s="10"/>
      <c r="F834" s="252">
        <v>3117196130</v>
      </c>
      <c r="G834" s="250"/>
      <c r="H834" s="250"/>
    </row>
    <row r="835" spans="1:8">
      <c r="A835" s="250" t="s">
        <v>4614</v>
      </c>
      <c r="B835" s="250" t="s">
        <v>4615</v>
      </c>
      <c r="C835" s="251">
        <v>605</v>
      </c>
      <c r="D835" s="10"/>
      <c r="E835" s="10"/>
      <c r="F835" s="252">
        <v>3138530465</v>
      </c>
      <c r="G835" s="250"/>
      <c r="H835" s="250"/>
    </row>
    <row r="836" spans="1:8">
      <c r="A836" s="250" t="s">
        <v>4616</v>
      </c>
      <c r="B836" s="250" t="s">
        <v>4617</v>
      </c>
      <c r="C836" s="251">
        <v>603</v>
      </c>
      <c r="D836" s="10" t="s">
        <v>4618</v>
      </c>
      <c r="E836" s="10"/>
      <c r="F836" s="252">
        <v>3144056966</v>
      </c>
      <c r="G836" s="250"/>
      <c r="H836" s="250"/>
    </row>
    <row r="837" spans="1:8">
      <c r="A837" s="250" t="s">
        <v>4619</v>
      </c>
      <c r="B837" s="250" t="s">
        <v>4620</v>
      </c>
      <c r="C837" s="251"/>
      <c r="D837" s="10"/>
      <c r="E837" s="10"/>
      <c r="F837" s="252">
        <v>3168310609</v>
      </c>
      <c r="G837" s="250"/>
      <c r="H837" s="250"/>
    </row>
    <row r="838" spans="1:8">
      <c r="A838" s="250" t="s">
        <v>4621</v>
      </c>
      <c r="B838" s="250" t="s">
        <v>4622</v>
      </c>
      <c r="C838" s="251">
        <v>502</v>
      </c>
      <c r="D838" s="10" t="s">
        <v>2721</v>
      </c>
      <c r="E838" s="10"/>
      <c r="F838" s="252">
        <v>3102034545</v>
      </c>
      <c r="G838" s="250"/>
      <c r="H838" s="250"/>
    </row>
    <row r="839" spans="1:8">
      <c r="A839" s="250" t="s">
        <v>4623</v>
      </c>
      <c r="B839" s="250" t="s">
        <v>4624</v>
      </c>
      <c r="C839" s="251">
        <v>202</v>
      </c>
      <c r="D839" s="10"/>
      <c r="E839" s="10"/>
      <c r="F839" s="252">
        <v>3152832385</v>
      </c>
      <c r="G839" s="250"/>
      <c r="H839" s="250"/>
    </row>
    <row r="840" spans="1:8">
      <c r="A840" s="250" t="s">
        <v>4625</v>
      </c>
      <c r="B840" s="250" t="s">
        <v>4626</v>
      </c>
      <c r="C840" s="251">
        <v>308</v>
      </c>
      <c r="D840" s="10" t="s">
        <v>4627</v>
      </c>
      <c r="E840" s="10"/>
      <c r="F840" s="252">
        <v>3104237893</v>
      </c>
      <c r="G840" s="250"/>
      <c r="H840" s="250"/>
    </row>
    <row r="841" spans="1:8">
      <c r="A841" s="250" t="s">
        <v>4628</v>
      </c>
      <c r="B841" s="250" t="s">
        <v>4629</v>
      </c>
      <c r="C841" s="251">
        <v>204</v>
      </c>
      <c r="D841" s="10" t="s">
        <v>2721</v>
      </c>
      <c r="E841" s="10"/>
      <c r="F841" s="252">
        <v>351968914280</v>
      </c>
      <c r="G841" s="250"/>
      <c r="H841" s="250"/>
    </row>
    <row r="842" spans="1:8">
      <c r="A842" s="250" t="s">
        <v>4630</v>
      </c>
      <c r="B842" s="250" t="s">
        <v>4631</v>
      </c>
      <c r="C842" s="251">
        <v>404</v>
      </c>
      <c r="D842" s="10" t="s">
        <v>4632</v>
      </c>
      <c r="E842" s="10"/>
      <c r="F842" s="252">
        <v>3223649476</v>
      </c>
      <c r="G842" s="250"/>
      <c r="H842" s="250"/>
    </row>
    <row r="843" spans="1:8">
      <c r="A843" s="250" t="s">
        <v>4633</v>
      </c>
      <c r="B843" s="250" t="s">
        <v>4634</v>
      </c>
      <c r="C843" s="251">
        <v>701</v>
      </c>
      <c r="D843" s="10"/>
      <c r="E843" s="10"/>
      <c r="F843" s="252">
        <v>3165374327</v>
      </c>
      <c r="G843" s="250"/>
      <c r="H843" s="250"/>
    </row>
    <row r="844" spans="1:8">
      <c r="A844" s="250" t="s">
        <v>4635</v>
      </c>
      <c r="B844" s="250" t="s">
        <v>4636</v>
      </c>
      <c r="C844" s="251">
        <v>303</v>
      </c>
      <c r="D844" s="10"/>
      <c r="E844" s="10"/>
      <c r="F844" s="252">
        <v>3013955893</v>
      </c>
      <c r="G844" s="250"/>
      <c r="H844" s="250"/>
    </row>
    <row r="845" spans="1:8">
      <c r="A845" s="250" t="s">
        <v>4637</v>
      </c>
      <c r="B845" s="250" t="s">
        <v>4638</v>
      </c>
      <c r="C845" s="251">
        <v>502</v>
      </c>
      <c r="D845" s="10"/>
      <c r="E845" s="10"/>
      <c r="F845" s="252">
        <v>3016953041</v>
      </c>
      <c r="G845" s="250"/>
      <c r="H845" s="250"/>
    </row>
    <row r="846" spans="1:8">
      <c r="A846" s="250" t="s">
        <v>4639</v>
      </c>
      <c r="B846" s="250" t="s">
        <v>4640</v>
      </c>
      <c r="C846" s="251">
        <v>503</v>
      </c>
      <c r="D846" s="10"/>
      <c r="E846" s="10"/>
      <c r="F846" s="252">
        <v>3158514350</v>
      </c>
      <c r="G846" s="250"/>
      <c r="H846" s="250"/>
    </row>
    <row r="847" spans="1:8">
      <c r="A847" s="250" t="s">
        <v>4641</v>
      </c>
      <c r="B847" s="250" t="s">
        <v>4642</v>
      </c>
      <c r="C847" s="251">
        <v>701</v>
      </c>
      <c r="D847" s="10"/>
      <c r="E847" s="10"/>
      <c r="F847" s="252">
        <v>3143742167</v>
      </c>
      <c r="G847" s="250"/>
      <c r="H847" s="250"/>
    </row>
    <row r="848" spans="1:8">
      <c r="A848" s="250" t="s">
        <v>4643</v>
      </c>
      <c r="B848" s="250" t="s">
        <v>4644</v>
      </c>
      <c r="C848" s="251">
        <v>103</v>
      </c>
      <c r="D848" s="10" t="s">
        <v>2733</v>
      </c>
      <c r="E848" s="10"/>
      <c r="F848" s="252">
        <v>3016390615</v>
      </c>
      <c r="G848" s="250"/>
      <c r="H848" s="250"/>
    </row>
    <row r="849" spans="1:8">
      <c r="A849" s="250" t="s">
        <v>4645</v>
      </c>
      <c r="B849" s="250" t="s">
        <v>2801</v>
      </c>
      <c r="C849" s="251">
        <v>1504</v>
      </c>
      <c r="D849" s="10" t="s">
        <v>2721</v>
      </c>
      <c r="E849" s="10"/>
      <c r="F849" s="252">
        <v>3163828908</v>
      </c>
      <c r="G849" s="250"/>
      <c r="H849" s="250"/>
    </row>
    <row r="850" spans="1:8">
      <c r="A850" s="250" t="s">
        <v>4646</v>
      </c>
      <c r="B850" s="250" t="s">
        <v>4647</v>
      </c>
      <c r="C850" s="251">
        <v>408</v>
      </c>
      <c r="D850" s="10" t="s">
        <v>4648</v>
      </c>
      <c r="E850" s="10"/>
      <c r="F850" s="252">
        <v>3173005275</v>
      </c>
      <c r="G850" s="250"/>
      <c r="H850" s="250"/>
    </row>
    <row r="851" spans="1:8">
      <c r="A851" s="250" t="s">
        <v>4649</v>
      </c>
      <c r="B851" s="250" t="s">
        <v>4274</v>
      </c>
      <c r="C851" s="251">
        <v>201</v>
      </c>
      <c r="D851" s="10" t="s">
        <v>2733</v>
      </c>
      <c r="E851" s="10"/>
      <c r="F851" s="252">
        <v>3143596799</v>
      </c>
      <c r="G851" s="250"/>
      <c r="H851" s="250"/>
    </row>
    <row r="852" spans="1:8">
      <c r="A852" s="250" t="s">
        <v>4650</v>
      </c>
      <c r="B852" s="250" t="s">
        <v>4651</v>
      </c>
      <c r="C852" s="251">
        <v>505</v>
      </c>
      <c r="D852" s="10"/>
      <c r="E852" s="10"/>
      <c r="F852" s="252">
        <v>3017137053</v>
      </c>
      <c r="G852" s="250"/>
      <c r="H852" s="250"/>
    </row>
    <row r="853" spans="1:8">
      <c r="A853" s="250" t="s">
        <v>4652</v>
      </c>
      <c r="B853" s="250" t="s">
        <v>4653</v>
      </c>
      <c r="C853" s="251">
        <v>402</v>
      </c>
      <c r="D853" s="10"/>
      <c r="E853" s="10"/>
      <c r="F853" s="252">
        <v>3108598986</v>
      </c>
      <c r="G853" s="250"/>
      <c r="H853" s="250"/>
    </row>
    <row r="854" spans="1:8">
      <c r="A854" s="250" t="s">
        <v>4654</v>
      </c>
      <c r="B854" s="250" t="s">
        <v>4655</v>
      </c>
      <c r="C854" s="251">
        <v>1201</v>
      </c>
      <c r="D854" s="10"/>
      <c r="E854" s="10"/>
      <c r="F854" s="252">
        <v>3143552087</v>
      </c>
      <c r="G854" s="250"/>
      <c r="H854" s="250"/>
    </row>
    <row r="855" spans="1:8">
      <c r="A855" s="250" t="s">
        <v>4656</v>
      </c>
      <c r="B855" s="250" t="s">
        <v>4657</v>
      </c>
      <c r="C855" s="251">
        <v>705</v>
      </c>
      <c r="D855" s="10"/>
      <c r="E855" s="10"/>
      <c r="F855" s="252">
        <v>3506117289</v>
      </c>
      <c r="G855" s="250"/>
      <c r="H855" s="250"/>
    </row>
    <row r="856" spans="1:8">
      <c r="A856" s="250" t="s">
        <v>4658</v>
      </c>
      <c r="B856" s="250" t="s">
        <v>4659</v>
      </c>
      <c r="C856" s="251">
        <v>401</v>
      </c>
      <c r="D856" s="10"/>
      <c r="E856" s="10"/>
      <c r="F856" s="252">
        <v>3124452059</v>
      </c>
      <c r="G856" s="250"/>
      <c r="H856" s="250"/>
    </row>
    <row r="857" spans="1:8">
      <c r="A857" s="250" t="s">
        <v>4660</v>
      </c>
      <c r="B857" s="250" t="s">
        <v>4661</v>
      </c>
      <c r="C857" s="251">
        <v>101</v>
      </c>
      <c r="D857" s="10"/>
      <c r="E857" s="10" t="s">
        <v>2914</v>
      </c>
      <c r="F857" s="252">
        <v>3164461924</v>
      </c>
      <c r="G857" s="250"/>
      <c r="H857" s="250"/>
    </row>
    <row r="858" spans="1:8">
      <c r="A858" s="250" t="s">
        <v>4662</v>
      </c>
      <c r="B858" s="250" t="s">
        <v>4663</v>
      </c>
      <c r="C858" s="251">
        <v>202</v>
      </c>
      <c r="D858" s="10" t="s">
        <v>4664</v>
      </c>
      <c r="E858" s="10"/>
      <c r="F858" s="252">
        <v>3138810347</v>
      </c>
      <c r="G858" s="250"/>
      <c r="H858" s="250"/>
    </row>
    <row r="859" spans="1:8">
      <c r="A859" s="250" t="s">
        <v>4665</v>
      </c>
      <c r="B859" s="250" t="s">
        <v>4666</v>
      </c>
      <c r="C859" s="251">
        <v>404</v>
      </c>
      <c r="D859" s="10" t="s">
        <v>4667</v>
      </c>
      <c r="E859" s="10"/>
      <c r="F859" s="252">
        <v>3173674507</v>
      </c>
      <c r="G859" s="250"/>
      <c r="H859" s="250"/>
    </row>
    <row r="860" spans="1:8">
      <c r="A860" s="250" t="s">
        <v>4668</v>
      </c>
      <c r="B860" s="250" t="s">
        <v>4669</v>
      </c>
      <c r="C860" s="251">
        <v>1310</v>
      </c>
      <c r="D860" s="10" t="s">
        <v>3808</v>
      </c>
      <c r="E860" s="10"/>
      <c r="F860" s="252">
        <v>3177488247</v>
      </c>
      <c r="G860" s="250"/>
      <c r="H860" s="250"/>
    </row>
    <row r="861" spans="1:8">
      <c r="A861" s="250" t="s">
        <v>4670</v>
      </c>
      <c r="B861" s="250" t="s">
        <v>4671</v>
      </c>
      <c r="C861" s="251">
        <v>406</v>
      </c>
      <c r="D861" s="10"/>
      <c r="E861" s="10"/>
      <c r="F861" s="252">
        <v>3102050296</v>
      </c>
      <c r="G861" s="250"/>
      <c r="H861" s="250"/>
    </row>
    <row r="862" spans="1:8">
      <c r="A862" s="250" t="s">
        <v>4672</v>
      </c>
      <c r="B862" s="250" t="s">
        <v>4673</v>
      </c>
      <c r="C862" s="251" t="s">
        <v>4674</v>
      </c>
      <c r="D862" s="10" t="s">
        <v>4675</v>
      </c>
      <c r="E862" s="10"/>
      <c r="F862" s="252">
        <v>3143457938</v>
      </c>
      <c r="G862" s="250"/>
      <c r="H862" s="250"/>
    </row>
    <row r="863" spans="1:8">
      <c r="A863" s="250" t="s">
        <v>4676</v>
      </c>
      <c r="B863" s="250" t="s">
        <v>4677</v>
      </c>
      <c r="C863" s="251" t="s">
        <v>3007</v>
      </c>
      <c r="D863" s="10"/>
      <c r="E863" s="10"/>
      <c r="F863" s="252">
        <v>3186908673</v>
      </c>
      <c r="G863" s="250"/>
      <c r="H863" s="250"/>
    </row>
    <row r="864" spans="1:8">
      <c r="A864" s="250" t="s">
        <v>4678</v>
      </c>
      <c r="B864" s="250" t="s">
        <v>4679</v>
      </c>
      <c r="C864" s="251">
        <v>414</v>
      </c>
      <c r="D864" s="10" t="s">
        <v>4680</v>
      </c>
      <c r="E864" s="10"/>
      <c r="F864" s="252">
        <v>3102347247</v>
      </c>
      <c r="G864" s="250"/>
      <c r="H864" s="250"/>
    </row>
    <row r="865" spans="1:8">
      <c r="A865" s="250" t="s">
        <v>4681</v>
      </c>
      <c r="B865" s="250" t="s">
        <v>4682</v>
      </c>
      <c r="C865" s="251">
        <v>301</v>
      </c>
      <c r="D865" s="10" t="s">
        <v>4683</v>
      </c>
      <c r="E865" s="10"/>
      <c r="F865" s="252">
        <v>3165270536</v>
      </c>
      <c r="G865" s="250"/>
      <c r="H865" s="250"/>
    </row>
    <row r="866" spans="1:8">
      <c r="A866" s="250" t="s">
        <v>4684</v>
      </c>
      <c r="B866" s="250" t="s">
        <v>4454</v>
      </c>
      <c r="C866" s="251">
        <v>346</v>
      </c>
      <c r="D866" s="10" t="s">
        <v>4685</v>
      </c>
      <c r="E866" s="10"/>
      <c r="F866" s="252">
        <v>3005724215</v>
      </c>
      <c r="G866" s="250">
        <v>52835753</v>
      </c>
      <c r="H866" s="250" t="s">
        <v>4686</v>
      </c>
    </row>
    <row r="867" spans="1:8">
      <c r="A867" s="250" t="s">
        <v>4687</v>
      </c>
      <c r="B867" s="250" t="s">
        <v>4688</v>
      </c>
      <c r="C867" s="251">
        <v>604</v>
      </c>
      <c r="D867" s="10"/>
      <c r="E867" s="10"/>
      <c r="F867" s="252">
        <v>3178901994</v>
      </c>
      <c r="G867" s="250"/>
      <c r="H867" s="250"/>
    </row>
    <row r="868" spans="1:8">
      <c r="A868" s="250" t="s">
        <v>4689</v>
      </c>
      <c r="B868" s="250" t="s">
        <v>4690</v>
      </c>
      <c r="C868" s="251">
        <v>406</v>
      </c>
      <c r="D868" s="10" t="s">
        <v>4691</v>
      </c>
      <c r="E868" s="10"/>
      <c r="F868" s="252">
        <v>3144496396</v>
      </c>
      <c r="G868" s="250"/>
      <c r="H868" s="250"/>
    </row>
    <row r="869" spans="1:8">
      <c r="A869" s="250" t="s">
        <v>4692</v>
      </c>
      <c r="B869" s="250" t="s">
        <v>4693</v>
      </c>
      <c r="C869" s="251">
        <v>203</v>
      </c>
      <c r="D869" s="10" t="s">
        <v>4694</v>
      </c>
      <c r="E869" s="10"/>
      <c r="F869" s="252">
        <v>3102395389</v>
      </c>
      <c r="G869" s="250"/>
      <c r="H869" s="250"/>
    </row>
    <row r="870" spans="1:8">
      <c r="A870" s="250" t="s">
        <v>4695</v>
      </c>
      <c r="B870" s="250" t="s">
        <v>4696</v>
      </c>
      <c r="C870" s="251">
        <v>1003</v>
      </c>
      <c r="D870" s="10" t="s">
        <v>4697</v>
      </c>
      <c r="E870" s="10"/>
      <c r="F870" s="252">
        <v>3108630931</v>
      </c>
      <c r="G870" s="250"/>
      <c r="H870" s="250"/>
    </row>
    <row r="871" spans="1:8">
      <c r="A871" s="250" t="s">
        <v>4698</v>
      </c>
      <c r="B871" s="250" t="s">
        <v>4699</v>
      </c>
      <c r="C871" s="251">
        <v>402</v>
      </c>
      <c r="D871" s="10" t="s">
        <v>4700</v>
      </c>
      <c r="E871" s="10"/>
      <c r="F871" s="252">
        <v>3153823868</v>
      </c>
      <c r="G871" s="250"/>
      <c r="H871" s="250"/>
    </row>
    <row r="872" spans="1:8">
      <c r="A872" s="250" t="s">
        <v>4701</v>
      </c>
      <c r="B872" s="250" t="s">
        <v>4702</v>
      </c>
      <c r="C872" s="251">
        <v>502</v>
      </c>
      <c r="D872" s="10" t="s">
        <v>4703</v>
      </c>
      <c r="E872" s="10"/>
      <c r="F872" s="252">
        <v>3043862085</v>
      </c>
      <c r="G872" s="250"/>
      <c r="H872" s="250"/>
    </row>
    <row r="873" spans="1:8">
      <c r="A873" s="250" t="s">
        <v>4704</v>
      </c>
      <c r="B873" s="250" t="s">
        <v>4705</v>
      </c>
      <c r="C873" s="251">
        <v>603</v>
      </c>
      <c r="D873" s="10" t="s">
        <v>4706</v>
      </c>
      <c r="E873" s="10"/>
      <c r="F873" s="252">
        <v>3214709090</v>
      </c>
      <c r="G873" s="250"/>
      <c r="H873" s="250"/>
    </row>
    <row r="874" spans="1:8">
      <c r="A874" s="250" t="s">
        <v>4707</v>
      </c>
      <c r="B874" s="250" t="s">
        <v>4708</v>
      </c>
      <c r="C874" s="251">
        <v>201</v>
      </c>
      <c r="D874" s="10" t="s">
        <v>4709</v>
      </c>
      <c r="E874" s="10"/>
      <c r="F874" s="252">
        <v>3146496591</v>
      </c>
      <c r="G874" s="250"/>
      <c r="H874" s="250"/>
    </row>
    <row r="875" spans="1:8">
      <c r="A875" s="250" t="s">
        <v>4710</v>
      </c>
      <c r="B875" s="250" t="s">
        <v>4711</v>
      </c>
      <c r="C875" s="251">
        <v>1004</v>
      </c>
      <c r="D875" s="10" t="s">
        <v>4172</v>
      </c>
      <c r="E875" s="10"/>
      <c r="F875" s="252">
        <v>3012791905</v>
      </c>
      <c r="G875" s="250"/>
      <c r="H875" s="250"/>
    </row>
    <row r="876" spans="1:8">
      <c r="A876" s="250" t="s">
        <v>4712</v>
      </c>
      <c r="B876" s="250" t="s">
        <v>4713</v>
      </c>
      <c r="C876" s="251">
        <v>402</v>
      </c>
      <c r="D876" s="10"/>
      <c r="E876" s="10"/>
      <c r="F876" s="252">
        <v>3132529568</v>
      </c>
      <c r="G876" s="250"/>
      <c r="H876" s="250"/>
    </row>
    <row r="877" spans="1:8">
      <c r="A877" s="250" t="s">
        <v>4714</v>
      </c>
      <c r="B877" s="250" t="s">
        <v>4715</v>
      </c>
      <c r="C877" s="251">
        <v>503</v>
      </c>
      <c r="D877" s="10" t="s">
        <v>4407</v>
      </c>
      <c r="E877" s="10"/>
      <c r="F877" s="252">
        <v>3138275039</v>
      </c>
      <c r="G877" s="250"/>
      <c r="H877" s="250"/>
    </row>
    <row r="878" spans="1:8">
      <c r="A878" s="250" t="s">
        <v>4716</v>
      </c>
      <c r="B878" s="250" t="s">
        <v>4717</v>
      </c>
      <c r="C878" s="251">
        <v>207</v>
      </c>
      <c r="D878" s="10"/>
      <c r="E878" s="10"/>
      <c r="F878" s="252">
        <v>3015880329</v>
      </c>
      <c r="G878" s="250"/>
      <c r="H878" s="250"/>
    </row>
    <row r="879" spans="1:8">
      <c r="A879" s="250" t="s">
        <v>4718</v>
      </c>
      <c r="B879" s="250" t="s">
        <v>4719</v>
      </c>
      <c r="C879" s="251">
        <v>2202</v>
      </c>
      <c r="D879" s="10" t="s">
        <v>3931</v>
      </c>
      <c r="E879" s="10"/>
      <c r="F879" s="252">
        <v>3187130135</v>
      </c>
      <c r="G879" s="250"/>
      <c r="H879" s="250"/>
    </row>
    <row r="880" spans="1:8">
      <c r="A880" s="250" t="s">
        <v>4720</v>
      </c>
      <c r="B880" s="250" t="s">
        <v>4721</v>
      </c>
      <c r="C880" s="251">
        <v>402</v>
      </c>
      <c r="D880" s="10"/>
      <c r="E880" s="10"/>
      <c r="F880" s="252">
        <v>3005553108</v>
      </c>
      <c r="G880" s="250"/>
      <c r="H880" s="250"/>
    </row>
    <row r="881" spans="1:8">
      <c r="A881" s="250" t="s">
        <v>4722</v>
      </c>
      <c r="B881" s="250" t="s">
        <v>4723</v>
      </c>
      <c r="C881" s="251">
        <v>305</v>
      </c>
      <c r="D881" s="10" t="s">
        <v>4724</v>
      </c>
      <c r="E881" s="10"/>
      <c r="F881" s="252">
        <v>3145954182</v>
      </c>
      <c r="G881" s="250"/>
      <c r="H881" s="250"/>
    </row>
    <row r="882" spans="1:8">
      <c r="A882" s="250" t="s">
        <v>4725</v>
      </c>
      <c r="B882" s="250" t="s">
        <v>4726</v>
      </c>
      <c r="C882" s="251">
        <v>704</v>
      </c>
      <c r="D882" s="10"/>
      <c r="E882" s="10"/>
      <c r="F882" s="252">
        <v>3153582158</v>
      </c>
      <c r="G882" s="250"/>
      <c r="H882" s="250"/>
    </row>
    <row r="883" spans="1:8">
      <c r="A883" s="250" t="s">
        <v>4727</v>
      </c>
      <c r="B883" s="250" t="s">
        <v>4728</v>
      </c>
      <c r="C883" s="251" t="s">
        <v>4729</v>
      </c>
      <c r="D883" s="10" t="s">
        <v>4730</v>
      </c>
      <c r="E883" s="10"/>
      <c r="F883" s="252">
        <v>3102675212</v>
      </c>
      <c r="G883" s="250"/>
      <c r="H883" s="250"/>
    </row>
    <row r="884" spans="1:8">
      <c r="A884" s="250" t="s">
        <v>4731</v>
      </c>
      <c r="B884" s="250" t="s">
        <v>4732</v>
      </c>
      <c r="C884" s="251">
        <v>812</v>
      </c>
      <c r="D884" s="10"/>
      <c r="E884" s="10"/>
      <c r="F884" s="252">
        <v>3159251829</v>
      </c>
      <c r="G884" s="250"/>
      <c r="H884" s="250"/>
    </row>
    <row r="885" spans="1:8">
      <c r="A885" s="250" t="s">
        <v>4733</v>
      </c>
      <c r="B885" s="250" t="s">
        <v>4734</v>
      </c>
      <c r="C885" s="251">
        <v>102</v>
      </c>
      <c r="D885" s="10" t="s">
        <v>3833</v>
      </c>
      <c r="E885" s="10"/>
      <c r="F885" s="252">
        <v>3003796911</v>
      </c>
      <c r="G885" s="250"/>
      <c r="H885" s="250"/>
    </row>
    <row r="886" spans="1:8">
      <c r="A886" s="250" t="s">
        <v>4735</v>
      </c>
      <c r="B886" s="250" t="s">
        <v>4736</v>
      </c>
      <c r="C886" s="251" t="s">
        <v>3070</v>
      </c>
      <c r="D886" s="10"/>
      <c r="E886" s="10"/>
      <c r="F886" s="252">
        <v>3162337889</v>
      </c>
      <c r="G886" s="250"/>
      <c r="H886" s="250"/>
    </row>
    <row r="887" spans="1:8">
      <c r="A887" s="250" t="s">
        <v>4737</v>
      </c>
      <c r="B887" s="250" t="s">
        <v>4738</v>
      </c>
      <c r="C887" s="251">
        <v>303</v>
      </c>
      <c r="D887" s="10" t="s">
        <v>4739</v>
      </c>
      <c r="E887" s="10"/>
      <c r="F887" s="252">
        <v>3185865819</v>
      </c>
      <c r="G887" s="250"/>
      <c r="H887" s="250"/>
    </row>
    <row r="888" spans="1:8">
      <c r="A888" s="250" t="s">
        <v>4740</v>
      </c>
      <c r="B888" s="250" t="s">
        <v>4741</v>
      </c>
      <c r="C888" s="251">
        <v>501</v>
      </c>
      <c r="D888" s="10"/>
      <c r="E888" s="10"/>
      <c r="F888" s="252">
        <v>3138889404</v>
      </c>
      <c r="G888" s="250"/>
      <c r="H888" s="250"/>
    </row>
    <row r="889" spans="1:8">
      <c r="A889" s="250" t="s">
        <v>4742</v>
      </c>
      <c r="B889" s="250" t="s">
        <v>4743</v>
      </c>
      <c r="C889" s="251"/>
      <c r="D889" s="10"/>
      <c r="E889" s="10"/>
      <c r="F889" s="252">
        <v>3212702074</v>
      </c>
      <c r="G889" s="250"/>
      <c r="H889" s="250"/>
    </row>
    <row r="890" spans="1:8">
      <c r="A890" s="250" t="s">
        <v>4744</v>
      </c>
      <c r="B890" s="250" t="s">
        <v>4745</v>
      </c>
      <c r="C890" s="251">
        <v>502</v>
      </c>
      <c r="D890" s="10"/>
      <c r="E890" s="10"/>
      <c r="F890" s="252">
        <v>3132840513</v>
      </c>
      <c r="G890" s="250"/>
      <c r="H890" s="250"/>
    </row>
    <row r="891" spans="1:8">
      <c r="A891" s="250" t="s">
        <v>4746</v>
      </c>
      <c r="B891" s="250" t="s">
        <v>4747</v>
      </c>
      <c r="C891" s="251">
        <v>701</v>
      </c>
      <c r="D891" s="10" t="s">
        <v>4748</v>
      </c>
      <c r="E891" s="10"/>
      <c r="F891" s="252">
        <v>3134881570</v>
      </c>
      <c r="G891" s="250"/>
      <c r="H891" s="250"/>
    </row>
    <row r="892" spans="1:8">
      <c r="A892" s="250" t="s">
        <v>4749</v>
      </c>
      <c r="B892" s="250" t="s">
        <v>4750</v>
      </c>
      <c r="C892" s="251">
        <v>614</v>
      </c>
      <c r="D892" s="10" t="s">
        <v>4751</v>
      </c>
      <c r="E892" s="10"/>
      <c r="F892" s="252">
        <v>3125828081</v>
      </c>
      <c r="G892" s="250"/>
      <c r="H892" s="250"/>
    </row>
    <row r="893" spans="1:8">
      <c r="A893" s="250" t="s">
        <v>4752</v>
      </c>
      <c r="B893" s="250" t="s">
        <v>4753</v>
      </c>
      <c r="C893" s="251">
        <v>201</v>
      </c>
      <c r="D893" s="10"/>
      <c r="E893" s="10"/>
      <c r="F893" s="252">
        <v>3008506793</v>
      </c>
      <c r="G893" s="250"/>
      <c r="H893" s="250"/>
    </row>
    <row r="894" spans="1:8">
      <c r="A894" s="250" t="s">
        <v>4754</v>
      </c>
      <c r="B894" s="250" t="s">
        <v>4755</v>
      </c>
      <c r="C894" s="251">
        <v>206</v>
      </c>
      <c r="D894" s="10" t="s">
        <v>4756</v>
      </c>
      <c r="E894" s="10"/>
      <c r="F894" s="252">
        <v>3192573640</v>
      </c>
      <c r="G894" s="250"/>
      <c r="H894" s="250"/>
    </row>
    <row r="895" spans="1:8">
      <c r="A895" s="250" t="s">
        <v>4757</v>
      </c>
      <c r="B895" s="250" t="s">
        <v>4758</v>
      </c>
      <c r="C895" s="251">
        <v>701</v>
      </c>
      <c r="D895" s="10" t="s">
        <v>2789</v>
      </c>
      <c r="E895" s="10"/>
      <c r="F895" s="252">
        <v>3183876830</v>
      </c>
      <c r="G895" s="250"/>
      <c r="H895" s="250"/>
    </row>
    <row r="896" spans="1:8">
      <c r="A896" s="250" t="s">
        <v>4759</v>
      </c>
      <c r="B896" s="250" t="s">
        <v>4760</v>
      </c>
      <c r="C896" s="251">
        <v>302</v>
      </c>
      <c r="D896" s="10"/>
      <c r="E896" s="10"/>
      <c r="F896" s="252">
        <v>3202549494</v>
      </c>
      <c r="G896" s="250"/>
      <c r="H896" s="250"/>
    </row>
    <row r="897" spans="1:8">
      <c r="A897" s="250" t="s">
        <v>4761</v>
      </c>
      <c r="B897" s="250" t="s">
        <v>4762</v>
      </c>
      <c r="C897" s="251">
        <v>302</v>
      </c>
      <c r="D897" s="10" t="s">
        <v>4763</v>
      </c>
      <c r="E897" s="10"/>
      <c r="F897" s="252">
        <v>3103243270</v>
      </c>
      <c r="G897" s="250"/>
      <c r="H897" s="250"/>
    </row>
    <row r="898" spans="1:8">
      <c r="A898" s="250" t="s">
        <v>4764</v>
      </c>
      <c r="B898" s="250" t="s">
        <v>4765</v>
      </c>
      <c r="C898" s="251">
        <v>401</v>
      </c>
      <c r="D898" s="10" t="s">
        <v>4766</v>
      </c>
      <c r="E898" s="10"/>
      <c r="F898" s="252">
        <v>3102409774</v>
      </c>
      <c r="G898" s="250"/>
      <c r="H898" s="250"/>
    </row>
    <row r="899" spans="1:8">
      <c r="A899" s="250" t="s">
        <v>4767</v>
      </c>
      <c r="B899" s="250" t="s">
        <v>4768</v>
      </c>
      <c r="C899" s="251">
        <v>402</v>
      </c>
      <c r="D899" s="10"/>
      <c r="E899" s="10"/>
      <c r="F899" s="252">
        <v>3125924216</v>
      </c>
      <c r="G899" s="250"/>
      <c r="H899" s="250"/>
    </row>
    <row r="900" spans="1:8">
      <c r="A900" s="250" t="s">
        <v>4769</v>
      </c>
      <c r="B900" s="250" t="s">
        <v>4770</v>
      </c>
      <c r="C900" s="251">
        <v>403</v>
      </c>
      <c r="D900" s="10" t="s">
        <v>4771</v>
      </c>
      <c r="E900" s="10"/>
      <c r="F900" s="252">
        <v>3153199660</v>
      </c>
      <c r="G900" s="250"/>
      <c r="H900" s="250"/>
    </row>
    <row r="901" spans="1:8">
      <c r="A901" s="250" t="s">
        <v>4772</v>
      </c>
      <c r="B901" s="250" t="s">
        <v>4773</v>
      </c>
      <c r="C901" s="251">
        <v>301</v>
      </c>
      <c r="D901" s="10"/>
      <c r="E901" s="10"/>
      <c r="F901" s="252">
        <v>3214629250</v>
      </c>
      <c r="G901" s="250"/>
      <c r="H901" s="250"/>
    </row>
    <row r="902" spans="1:8">
      <c r="A902" s="250" t="s">
        <v>4774</v>
      </c>
      <c r="B902" s="250" t="s">
        <v>4775</v>
      </c>
      <c r="C902" s="251">
        <v>402</v>
      </c>
      <c r="D902" s="10" t="s">
        <v>4776</v>
      </c>
      <c r="E902" s="10"/>
      <c r="F902" s="252">
        <v>3138019785</v>
      </c>
      <c r="G902" s="250"/>
      <c r="H902" s="250"/>
    </row>
    <row r="903" spans="1:8">
      <c r="A903" s="250" t="s">
        <v>4777</v>
      </c>
      <c r="B903" s="250" t="s">
        <v>4778</v>
      </c>
      <c r="C903" s="251">
        <v>307</v>
      </c>
      <c r="D903" s="10"/>
      <c r="E903" s="10"/>
      <c r="F903" s="252">
        <v>3213066312</v>
      </c>
      <c r="G903" s="250"/>
      <c r="H903" s="250"/>
    </row>
    <row r="904" spans="1:8">
      <c r="A904" s="250" t="s">
        <v>4779</v>
      </c>
      <c r="B904" s="250" t="s">
        <v>4780</v>
      </c>
      <c r="C904" s="251"/>
      <c r="D904" s="10" t="s">
        <v>3007</v>
      </c>
      <c r="E904" s="10"/>
      <c r="F904" s="252">
        <v>3102429222</v>
      </c>
      <c r="G904" s="250"/>
      <c r="H904" s="250"/>
    </row>
    <row r="905" spans="1:8">
      <c r="A905" s="250" t="s">
        <v>4781</v>
      </c>
      <c r="B905" s="250" t="s">
        <v>4782</v>
      </c>
      <c r="C905" s="251">
        <v>104</v>
      </c>
      <c r="D905" s="10"/>
      <c r="E905" s="10"/>
      <c r="F905" s="252">
        <v>3114482412</v>
      </c>
      <c r="G905" s="250"/>
      <c r="H905" s="250"/>
    </row>
    <row r="906" spans="1:8">
      <c r="A906" s="250" t="s">
        <v>4783</v>
      </c>
      <c r="B906" s="250" t="s">
        <v>4784</v>
      </c>
      <c r="C906" s="251">
        <v>403</v>
      </c>
      <c r="D906" s="10"/>
      <c r="E906" s="10"/>
      <c r="F906" s="252">
        <v>3167852281</v>
      </c>
      <c r="G906" s="250"/>
      <c r="H906" s="250"/>
    </row>
    <row r="907" spans="1:8">
      <c r="A907" s="250" t="s">
        <v>4785</v>
      </c>
      <c r="B907" s="250" t="s">
        <v>4786</v>
      </c>
      <c r="C907" s="251">
        <v>602</v>
      </c>
      <c r="D907" s="10" t="s">
        <v>4787</v>
      </c>
      <c r="E907" s="10"/>
      <c r="F907" s="252">
        <v>3123369769</v>
      </c>
      <c r="G907" s="250"/>
      <c r="H907" s="250"/>
    </row>
    <row r="908" spans="1:8">
      <c r="A908" s="250" t="s">
        <v>4788</v>
      </c>
      <c r="B908" s="250" t="s">
        <v>4789</v>
      </c>
      <c r="C908" s="251">
        <v>301</v>
      </c>
      <c r="D908" s="10"/>
      <c r="E908" s="10"/>
      <c r="F908" s="252">
        <v>3154595119</v>
      </c>
      <c r="G908" s="250"/>
      <c r="H908" s="250"/>
    </row>
    <row r="909" spans="1:8">
      <c r="A909" s="250" t="s">
        <v>4790</v>
      </c>
      <c r="B909" s="250" t="s">
        <v>4791</v>
      </c>
      <c r="C909" s="251">
        <v>612</v>
      </c>
      <c r="D909" s="10" t="s">
        <v>4792</v>
      </c>
      <c r="E909" s="10"/>
      <c r="F909" s="252">
        <v>3219388544</v>
      </c>
      <c r="G909" s="250"/>
      <c r="H909" s="250"/>
    </row>
    <row r="910" spans="1:8">
      <c r="A910" s="250" t="s">
        <v>4793</v>
      </c>
      <c r="B910" s="250" t="s">
        <v>4794</v>
      </c>
      <c r="C910" s="251" t="s">
        <v>4795</v>
      </c>
      <c r="D910" s="10"/>
      <c r="E910" s="10"/>
      <c r="F910" s="252">
        <v>3144708969</v>
      </c>
      <c r="G910" s="250"/>
      <c r="H910" s="250"/>
    </row>
    <row r="911" spans="1:8">
      <c r="A911" s="250" t="s">
        <v>4796</v>
      </c>
      <c r="B911" s="250" t="s">
        <v>4797</v>
      </c>
      <c r="C911" s="251">
        <v>602</v>
      </c>
      <c r="D911" s="10" t="s">
        <v>4798</v>
      </c>
      <c r="E911" s="10"/>
      <c r="F911" s="252">
        <v>3205669313</v>
      </c>
      <c r="G911" s="267"/>
      <c r="H911" s="267"/>
    </row>
    <row r="912" spans="1:8">
      <c r="A912" s="250" t="s">
        <v>4799</v>
      </c>
      <c r="B912" s="250" t="s">
        <v>4800</v>
      </c>
      <c r="C912" s="251" t="s">
        <v>3007</v>
      </c>
      <c r="D912" s="10" t="s">
        <v>4801</v>
      </c>
      <c r="E912" s="10"/>
      <c r="F912" s="252">
        <v>3107770842</v>
      </c>
      <c r="G912" s="250"/>
      <c r="H912" s="250"/>
    </row>
    <row r="913" spans="1:8">
      <c r="A913" s="250" t="s">
        <v>4802</v>
      </c>
      <c r="B913" s="250" t="s">
        <v>4803</v>
      </c>
      <c r="C913" s="251">
        <v>205</v>
      </c>
      <c r="D913" s="10" t="s">
        <v>4804</v>
      </c>
      <c r="E913" s="10"/>
      <c r="F913" s="252">
        <v>3108295876</v>
      </c>
      <c r="G913" s="250"/>
      <c r="H913" s="250"/>
    </row>
    <row r="914" spans="1:8">
      <c r="A914" s="250" t="s">
        <v>4805</v>
      </c>
      <c r="B914" s="250" t="s">
        <v>4806</v>
      </c>
      <c r="C914" s="251">
        <v>301</v>
      </c>
      <c r="D914" s="10" t="s">
        <v>4807</v>
      </c>
      <c r="E914" s="10"/>
      <c r="F914" s="252">
        <v>3114751423</v>
      </c>
      <c r="G914" s="250"/>
      <c r="H914" s="250"/>
    </row>
    <row r="915" spans="1:8">
      <c r="A915" s="250" t="s">
        <v>4808</v>
      </c>
      <c r="B915" s="250" t="s">
        <v>4809</v>
      </c>
      <c r="C915" s="251" t="s">
        <v>4810</v>
      </c>
      <c r="D915" s="10" t="s">
        <v>4811</v>
      </c>
      <c r="E915" s="10"/>
      <c r="F915" s="252">
        <v>3208637820</v>
      </c>
      <c r="G915" s="250"/>
      <c r="H915" s="250"/>
    </row>
    <row r="916" spans="1:8">
      <c r="A916" s="250" t="s">
        <v>4812</v>
      </c>
      <c r="B916" s="250" t="s">
        <v>4813</v>
      </c>
      <c r="C916" s="251">
        <v>303</v>
      </c>
      <c r="D916" s="10" t="s">
        <v>4814</v>
      </c>
      <c r="E916" s="10"/>
      <c r="F916" s="252">
        <v>3144208954</v>
      </c>
      <c r="G916" s="250"/>
      <c r="H916" s="250"/>
    </row>
    <row r="917" spans="1:8">
      <c r="A917" s="250" t="s">
        <v>4815</v>
      </c>
      <c r="B917" s="250" t="s">
        <v>4816</v>
      </c>
      <c r="C917" s="251">
        <v>808</v>
      </c>
      <c r="D917" s="10" t="s">
        <v>4817</v>
      </c>
      <c r="E917" s="10"/>
      <c r="F917" s="252">
        <v>3133133613</v>
      </c>
      <c r="G917" s="250"/>
      <c r="H917" s="250"/>
    </row>
    <row r="918" spans="1:8">
      <c r="A918" s="250" t="s">
        <v>4818</v>
      </c>
      <c r="B918" s="250" t="s">
        <v>4819</v>
      </c>
      <c r="C918" s="251">
        <v>601</v>
      </c>
      <c r="D918" s="10" t="s">
        <v>4820</v>
      </c>
      <c r="E918" s="10"/>
      <c r="F918" s="252">
        <v>3123693866</v>
      </c>
      <c r="G918" s="250"/>
      <c r="H918" s="250"/>
    </row>
    <row r="919" spans="1:8">
      <c r="A919" s="250" t="s">
        <v>4821</v>
      </c>
      <c r="B919" s="250" t="s">
        <v>4822</v>
      </c>
      <c r="C919" s="251">
        <v>304</v>
      </c>
      <c r="D919" s="10"/>
      <c r="E919" s="10"/>
      <c r="F919" s="252">
        <v>3156707584</v>
      </c>
      <c r="G919" s="250"/>
      <c r="H919" s="250"/>
    </row>
    <row r="920" spans="1:8">
      <c r="A920" s="250" t="s">
        <v>4823</v>
      </c>
      <c r="B920" s="250" t="s">
        <v>4824</v>
      </c>
      <c r="C920" s="251">
        <v>1903</v>
      </c>
      <c r="D920" s="10"/>
      <c r="E920" s="10"/>
      <c r="F920" s="252">
        <v>3202661599</v>
      </c>
      <c r="G920" s="250"/>
      <c r="H920" s="250"/>
    </row>
    <row r="921" spans="1:8">
      <c r="A921" s="250" t="s">
        <v>4825</v>
      </c>
      <c r="B921" s="250" t="s">
        <v>4826</v>
      </c>
      <c r="C921" s="251">
        <v>502</v>
      </c>
      <c r="D921" s="10" t="s">
        <v>4827</v>
      </c>
      <c r="E921" s="10"/>
      <c r="F921" s="252">
        <v>3108139038</v>
      </c>
      <c r="G921" s="250"/>
      <c r="H921" s="250"/>
    </row>
    <row r="922" spans="1:8">
      <c r="A922" s="250" t="s">
        <v>4828</v>
      </c>
      <c r="B922" s="250" t="s">
        <v>4829</v>
      </c>
      <c r="C922" s="251" t="s">
        <v>3007</v>
      </c>
      <c r="D922" s="10" t="s">
        <v>4830</v>
      </c>
      <c r="E922" s="10"/>
      <c r="F922" s="252">
        <v>3223943632</v>
      </c>
      <c r="G922" s="250"/>
      <c r="H922" s="250"/>
    </row>
    <row r="923" spans="1:8">
      <c r="A923" s="250" t="s">
        <v>4831</v>
      </c>
      <c r="B923" s="250" t="s">
        <v>4832</v>
      </c>
      <c r="C923" s="251">
        <v>504</v>
      </c>
      <c r="D923" s="10" t="s">
        <v>4833</v>
      </c>
      <c r="E923" s="10"/>
      <c r="F923" s="252">
        <v>3207259139</v>
      </c>
      <c r="G923" s="250"/>
      <c r="H923" s="250"/>
    </row>
    <row r="924" spans="1:8">
      <c r="A924" s="250" t="s">
        <v>4834</v>
      </c>
      <c r="B924" s="250" t="s">
        <v>4835</v>
      </c>
      <c r="C924" s="251">
        <v>502</v>
      </c>
      <c r="D924" s="10"/>
      <c r="E924" s="10"/>
      <c r="F924" s="252">
        <v>3103502985</v>
      </c>
      <c r="G924" s="250"/>
      <c r="H924" s="250"/>
    </row>
    <row r="925" spans="1:8">
      <c r="A925" s="250" t="s">
        <v>4836</v>
      </c>
      <c r="B925" s="250" t="s">
        <v>4837</v>
      </c>
      <c r="C925" s="251">
        <v>1604</v>
      </c>
      <c r="D925" s="10" t="s">
        <v>4838</v>
      </c>
      <c r="E925" s="10"/>
      <c r="F925" s="252">
        <v>3004394475</v>
      </c>
      <c r="G925" s="250"/>
      <c r="H925" s="250"/>
    </row>
    <row r="926" spans="1:8">
      <c r="A926" s="250" t="s">
        <v>4839</v>
      </c>
      <c r="B926" s="250" t="s">
        <v>4840</v>
      </c>
      <c r="C926" s="251">
        <v>402</v>
      </c>
      <c r="D926" s="10" t="s">
        <v>4841</v>
      </c>
      <c r="E926" s="10"/>
      <c r="F926" s="252">
        <v>3245034932</v>
      </c>
      <c r="G926" s="250"/>
      <c r="H926" s="250"/>
    </row>
    <row r="927" spans="1:8">
      <c r="A927" s="250" t="s">
        <v>4842</v>
      </c>
      <c r="B927" s="250" t="s">
        <v>4843</v>
      </c>
      <c r="C927" s="251">
        <v>401</v>
      </c>
      <c r="D927" s="10"/>
      <c r="E927" s="10"/>
      <c r="F927" s="252">
        <v>3134871034</v>
      </c>
      <c r="G927" s="250"/>
      <c r="H927" s="250"/>
    </row>
    <row r="928" spans="1:8">
      <c r="A928" s="250" t="s">
        <v>4844</v>
      </c>
      <c r="B928" s="250" t="s">
        <v>4845</v>
      </c>
      <c r="C928" s="251">
        <v>203</v>
      </c>
      <c r="D928" s="10" t="s">
        <v>4846</v>
      </c>
      <c r="E928" s="10"/>
      <c r="F928" s="252">
        <v>3203970517</v>
      </c>
      <c r="G928" s="250"/>
      <c r="H928" s="250"/>
    </row>
    <row r="929" spans="1:8">
      <c r="A929" s="250" t="s">
        <v>4847</v>
      </c>
      <c r="B929" s="250" t="s">
        <v>4848</v>
      </c>
      <c r="C929" s="251">
        <v>608</v>
      </c>
      <c r="D929" s="10" t="s">
        <v>4849</v>
      </c>
      <c r="E929" s="10"/>
      <c r="F929" s="252">
        <v>3103155201</v>
      </c>
      <c r="G929" s="250"/>
      <c r="H929" s="250"/>
    </row>
    <row r="930" spans="1:8">
      <c r="A930" s="250" t="s">
        <v>4850</v>
      </c>
      <c r="B930" s="250" t="s">
        <v>4851</v>
      </c>
      <c r="C930" s="251">
        <v>304</v>
      </c>
      <c r="D930" s="10"/>
      <c r="E930" s="10"/>
      <c r="F930" s="252">
        <v>3143460279</v>
      </c>
      <c r="G930" s="250"/>
      <c r="H930" s="250"/>
    </row>
    <row r="931" spans="1:8">
      <c r="A931" s="250" t="s">
        <v>4852</v>
      </c>
      <c r="B931" s="250" t="s">
        <v>4853</v>
      </c>
      <c r="C931" s="251"/>
      <c r="D931" s="10" t="s">
        <v>4854</v>
      </c>
      <c r="E931" s="10"/>
      <c r="F931" s="252">
        <v>3112209187</v>
      </c>
      <c r="G931" s="250"/>
      <c r="H931" s="250"/>
    </row>
    <row r="932" spans="1:8">
      <c r="A932" s="250" t="s">
        <v>4855</v>
      </c>
      <c r="B932" s="250" t="s">
        <v>4856</v>
      </c>
      <c r="C932" s="251">
        <v>504</v>
      </c>
      <c r="D932" s="10" t="s">
        <v>2865</v>
      </c>
      <c r="E932" s="10"/>
      <c r="F932" s="252">
        <v>3014615610</v>
      </c>
      <c r="G932" s="250"/>
      <c r="H932" s="250"/>
    </row>
    <row r="933" spans="1:8">
      <c r="A933" s="250" t="s">
        <v>4857</v>
      </c>
      <c r="B933" s="250" t="s">
        <v>4858</v>
      </c>
      <c r="C933" s="251">
        <v>901</v>
      </c>
      <c r="D933" s="10" t="s">
        <v>2721</v>
      </c>
      <c r="E933" s="10"/>
      <c r="F933" s="252">
        <v>3228928928</v>
      </c>
      <c r="G933" s="250"/>
      <c r="H933" s="250"/>
    </row>
    <row r="934" spans="1:8">
      <c r="A934" s="250" t="s">
        <v>4859</v>
      </c>
      <c r="B934" s="10" t="s">
        <v>4860</v>
      </c>
      <c r="C934" s="251">
        <v>218</v>
      </c>
      <c r="D934" s="10" t="s">
        <v>2772</v>
      </c>
      <c r="E934" s="250" t="s">
        <v>4861</v>
      </c>
      <c r="F934" s="252">
        <v>3103342942</v>
      </c>
      <c r="G934" s="250"/>
      <c r="H934" s="250"/>
    </row>
    <row r="935" spans="1:8">
      <c r="A935" s="250" t="s">
        <v>4862</v>
      </c>
      <c r="B935" s="250" t="s">
        <v>4863</v>
      </c>
      <c r="C935" s="251">
        <v>201</v>
      </c>
      <c r="D935" s="10" t="s">
        <v>4864</v>
      </c>
      <c r="E935" s="10"/>
      <c r="F935" s="252">
        <v>3185570314</v>
      </c>
      <c r="G935" s="250"/>
      <c r="H935" s="250"/>
    </row>
    <row r="936" spans="1:8">
      <c r="A936" s="250" t="s">
        <v>4865</v>
      </c>
      <c r="B936" s="250" t="s">
        <v>4866</v>
      </c>
      <c r="C936" s="251">
        <v>403</v>
      </c>
      <c r="D936" s="10"/>
      <c r="E936" s="10"/>
      <c r="F936" s="252">
        <v>3158326627</v>
      </c>
      <c r="G936" s="250"/>
      <c r="H936" s="250"/>
    </row>
    <row r="937" spans="1:8">
      <c r="A937" s="250" t="s">
        <v>4867</v>
      </c>
      <c r="B937" s="250" t="s">
        <v>4868</v>
      </c>
      <c r="C937" s="251">
        <v>1403</v>
      </c>
      <c r="D937" s="10" t="s">
        <v>2772</v>
      </c>
      <c r="E937" s="10"/>
      <c r="F937" s="252">
        <v>3183508073</v>
      </c>
      <c r="G937" s="250"/>
      <c r="H937" s="250"/>
    </row>
    <row r="938" spans="1:8">
      <c r="A938" s="250" t="s">
        <v>4869</v>
      </c>
      <c r="B938" s="250" t="s">
        <v>4870</v>
      </c>
      <c r="C938" s="251">
        <v>201</v>
      </c>
      <c r="D938" s="10" t="s">
        <v>4871</v>
      </c>
      <c r="E938" s="10" t="s">
        <v>4872</v>
      </c>
      <c r="F938" s="252">
        <v>3138383563</v>
      </c>
      <c r="G938" s="250"/>
      <c r="H938" s="250"/>
    </row>
    <row r="939" spans="1:8">
      <c r="A939" s="250" t="s">
        <v>4873</v>
      </c>
      <c r="B939" s="250" t="s">
        <v>4874</v>
      </c>
      <c r="C939" s="251">
        <v>1003</v>
      </c>
      <c r="D939" s="10" t="s">
        <v>2733</v>
      </c>
      <c r="E939" s="10"/>
      <c r="F939" s="252">
        <v>3013645740</v>
      </c>
      <c r="G939" s="250"/>
      <c r="H939" s="250"/>
    </row>
    <row r="940" spans="1:8">
      <c r="A940" s="250" t="s">
        <v>4875</v>
      </c>
      <c r="B940" s="250" t="s">
        <v>4876</v>
      </c>
      <c r="C940" s="251">
        <v>901</v>
      </c>
      <c r="D940" s="10" t="s">
        <v>4849</v>
      </c>
      <c r="E940" s="10"/>
      <c r="F940" s="252">
        <v>3176682481</v>
      </c>
      <c r="G940" s="250"/>
      <c r="H940" s="250"/>
    </row>
    <row r="941" spans="1:8">
      <c r="A941" s="250" t="s">
        <v>4877</v>
      </c>
      <c r="B941" s="250" t="s">
        <v>4878</v>
      </c>
      <c r="C941" s="251">
        <v>402</v>
      </c>
      <c r="D941" s="10" t="s">
        <v>4879</v>
      </c>
      <c r="E941" s="10"/>
      <c r="F941" s="252">
        <v>3176750452</v>
      </c>
      <c r="G941" s="250"/>
      <c r="H941" s="250"/>
    </row>
    <row r="942" spans="1:8">
      <c r="A942" s="250" t="s">
        <v>4880</v>
      </c>
      <c r="B942" s="250" t="s">
        <v>4881</v>
      </c>
      <c r="C942" s="251">
        <v>207</v>
      </c>
      <c r="D942" s="10"/>
      <c r="E942" s="10"/>
      <c r="F942" s="252">
        <v>3132941694</v>
      </c>
      <c r="G942" s="250"/>
      <c r="H942" s="250"/>
    </row>
    <row r="943" spans="1:8">
      <c r="A943" s="250" t="s">
        <v>4882</v>
      </c>
      <c r="B943" s="250" t="s">
        <v>2821</v>
      </c>
      <c r="C943" s="251">
        <v>308</v>
      </c>
      <c r="D943" s="10" t="s">
        <v>3803</v>
      </c>
      <c r="E943" s="10"/>
      <c r="F943" s="252">
        <v>3144767001</v>
      </c>
      <c r="G943" s="250"/>
      <c r="H943" s="250"/>
    </row>
    <row r="944" spans="1:8">
      <c r="A944" s="250" t="s">
        <v>4883</v>
      </c>
      <c r="B944" s="250" t="s">
        <v>4884</v>
      </c>
      <c r="C944" s="251" t="s">
        <v>4885</v>
      </c>
      <c r="D944" s="10" t="s">
        <v>4886</v>
      </c>
      <c r="E944" s="10"/>
      <c r="F944" s="252">
        <v>3195896711</v>
      </c>
      <c r="G944" s="250"/>
      <c r="H944" s="250"/>
    </row>
    <row r="945" spans="1:8">
      <c r="A945" s="250" t="s">
        <v>4887</v>
      </c>
      <c r="B945" s="250" t="s">
        <v>4888</v>
      </c>
      <c r="C945" s="251" t="s">
        <v>4889</v>
      </c>
      <c r="D945" s="10"/>
      <c r="E945" s="10"/>
      <c r="F945" s="252">
        <v>3164691058</v>
      </c>
      <c r="G945" s="250"/>
      <c r="H945" s="250"/>
    </row>
    <row r="946" spans="1:8">
      <c r="A946" s="250" t="s">
        <v>4890</v>
      </c>
      <c r="B946" s="250" t="s">
        <v>4891</v>
      </c>
      <c r="C946" s="251">
        <v>512</v>
      </c>
      <c r="D946" s="10" t="s">
        <v>4892</v>
      </c>
      <c r="E946" s="10"/>
      <c r="F946" s="252">
        <v>3135026944</v>
      </c>
      <c r="G946" s="250"/>
      <c r="H946" s="250"/>
    </row>
    <row r="947" spans="1:8">
      <c r="A947" s="250" t="s">
        <v>4893</v>
      </c>
      <c r="B947" s="250" t="s">
        <v>4894</v>
      </c>
      <c r="C947" s="251">
        <v>1009</v>
      </c>
      <c r="D947" s="10" t="s">
        <v>4895</v>
      </c>
      <c r="E947" s="10"/>
      <c r="F947" s="252">
        <v>3103345797</v>
      </c>
      <c r="G947" s="250"/>
      <c r="H947" s="250"/>
    </row>
    <row r="948" spans="1:8">
      <c r="A948" s="250" t="s">
        <v>4896</v>
      </c>
      <c r="B948" s="250" t="s">
        <v>4897</v>
      </c>
      <c r="C948" s="251">
        <v>304</v>
      </c>
      <c r="D948" s="10" t="s">
        <v>4898</v>
      </c>
      <c r="E948" s="10"/>
      <c r="F948" s="252">
        <v>3017167775</v>
      </c>
      <c r="G948" s="250"/>
      <c r="H948" s="250"/>
    </row>
    <row r="949" spans="1:8">
      <c r="A949" s="250" t="s">
        <v>4899</v>
      </c>
      <c r="B949" s="250" t="s">
        <v>4900</v>
      </c>
      <c r="C949" s="251">
        <v>308</v>
      </c>
      <c r="D949" s="10" t="s">
        <v>4901</v>
      </c>
      <c r="E949" s="10"/>
      <c r="F949" s="252">
        <v>3167418835</v>
      </c>
      <c r="G949" s="250"/>
      <c r="H949" s="250"/>
    </row>
    <row r="950" spans="1:8">
      <c r="A950" s="250" t="s">
        <v>4902</v>
      </c>
      <c r="B950" s="250" t="s">
        <v>4903</v>
      </c>
      <c r="C950" s="251">
        <v>410</v>
      </c>
      <c r="D950" s="10" t="s">
        <v>3808</v>
      </c>
      <c r="E950" s="10"/>
      <c r="F950" s="252">
        <v>3213969251</v>
      </c>
      <c r="G950" s="250"/>
      <c r="H950" s="250"/>
    </row>
    <row r="951" spans="1:8">
      <c r="A951" s="250" t="s">
        <v>4904</v>
      </c>
      <c r="B951" s="250" t="s">
        <v>4905</v>
      </c>
      <c r="C951" s="251">
        <v>201</v>
      </c>
      <c r="D951" s="250" t="s">
        <v>4906</v>
      </c>
      <c r="E951" s="10"/>
      <c r="F951" s="252">
        <v>3102260589</v>
      </c>
      <c r="G951" s="250"/>
      <c r="H951" s="250"/>
    </row>
    <row r="952" spans="1:8">
      <c r="A952" s="250" t="s">
        <v>4907</v>
      </c>
      <c r="B952" s="250" t="s">
        <v>4908</v>
      </c>
      <c r="C952" s="251">
        <v>304</v>
      </c>
      <c r="D952" s="10" t="s">
        <v>4909</v>
      </c>
      <c r="E952" s="10"/>
      <c r="F952" s="252">
        <v>3208733376</v>
      </c>
      <c r="G952" s="250"/>
      <c r="H952" s="250"/>
    </row>
    <row r="953" spans="1:8">
      <c r="A953" s="250" t="s">
        <v>4910</v>
      </c>
      <c r="B953" s="250" t="s">
        <v>4911</v>
      </c>
      <c r="C953" s="251">
        <v>302</v>
      </c>
      <c r="D953" s="10" t="s">
        <v>4912</v>
      </c>
      <c r="E953" s="10"/>
      <c r="F953" s="252">
        <v>3008159629</v>
      </c>
      <c r="G953" s="250"/>
      <c r="H953" s="250"/>
    </row>
    <row r="954" spans="1:8">
      <c r="A954" s="250" t="s">
        <v>4913</v>
      </c>
      <c r="B954" s="250" t="s">
        <v>4914</v>
      </c>
      <c r="C954" s="251" t="s">
        <v>3007</v>
      </c>
      <c r="D954" s="10"/>
      <c r="E954" s="10"/>
      <c r="F954" s="252">
        <v>3143597322</v>
      </c>
      <c r="G954" s="250"/>
      <c r="H954" s="250"/>
    </row>
    <row r="955" spans="1:8">
      <c r="A955" s="250" t="s">
        <v>4915</v>
      </c>
      <c r="B955" s="250" t="s">
        <v>4916</v>
      </c>
      <c r="C955" s="251">
        <v>1602</v>
      </c>
      <c r="D955" s="10" t="s">
        <v>4917</v>
      </c>
      <c r="E955" s="10"/>
      <c r="F955" s="252">
        <v>3057166610</v>
      </c>
      <c r="G955" s="250"/>
      <c r="H955" s="250"/>
    </row>
    <row r="956" spans="1:8">
      <c r="A956" s="250" t="s">
        <v>4918</v>
      </c>
      <c r="B956" s="250" t="s">
        <v>4919</v>
      </c>
      <c r="C956" s="251" t="s">
        <v>4920</v>
      </c>
      <c r="D956" s="10"/>
      <c r="E956" s="10"/>
      <c r="F956" s="252">
        <v>3204299712</v>
      </c>
      <c r="G956" s="250"/>
      <c r="H956" s="250"/>
    </row>
    <row r="957" spans="1:8">
      <c r="A957" s="250" t="s">
        <v>4921</v>
      </c>
      <c r="B957" s="250" t="s">
        <v>4922</v>
      </c>
      <c r="C957" s="251">
        <v>301</v>
      </c>
      <c r="D957" s="10" t="s">
        <v>4923</v>
      </c>
      <c r="E957" s="10"/>
      <c r="F957" s="252">
        <v>3005247442</v>
      </c>
      <c r="G957" s="250"/>
      <c r="H957" s="250"/>
    </row>
    <row r="958" spans="1:8">
      <c r="A958" s="250" t="s">
        <v>4924</v>
      </c>
      <c r="B958" s="250" t="s">
        <v>4925</v>
      </c>
      <c r="C958" s="251">
        <v>503</v>
      </c>
      <c r="D958" s="10"/>
      <c r="E958" s="10"/>
      <c r="F958" s="252">
        <v>3102479811</v>
      </c>
      <c r="G958" s="250"/>
      <c r="H958" s="250"/>
    </row>
    <row r="959" spans="1:8">
      <c r="A959" s="250" t="s">
        <v>4926</v>
      </c>
      <c r="B959" s="250" t="s">
        <v>4927</v>
      </c>
      <c r="C959" s="251">
        <v>502</v>
      </c>
      <c r="D959" s="10"/>
      <c r="E959" s="10"/>
      <c r="F959" s="252">
        <v>3102337454</v>
      </c>
      <c r="G959" s="250"/>
      <c r="H959" s="250"/>
    </row>
    <row r="960" spans="1:8">
      <c r="A960" s="250" t="s">
        <v>4928</v>
      </c>
      <c r="B960" s="250" t="s">
        <v>4929</v>
      </c>
      <c r="C960" s="251">
        <v>203</v>
      </c>
      <c r="D960" s="10" t="s">
        <v>4930</v>
      </c>
      <c r="E960" s="10"/>
      <c r="F960" s="252">
        <v>3164468276</v>
      </c>
      <c r="G960" s="250"/>
      <c r="H960" s="250"/>
    </row>
    <row r="961" spans="1:8">
      <c r="A961" s="250" t="s">
        <v>4931</v>
      </c>
      <c r="B961" s="250" t="s">
        <v>4932</v>
      </c>
      <c r="C961" s="251">
        <v>301</v>
      </c>
      <c r="D961" s="10" t="s">
        <v>4933</v>
      </c>
      <c r="E961" s="10"/>
      <c r="F961" s="252">
        <v>3158762470</v>
      </c>
      <c r="G961" s="250"/>
      <c r="H961" s="250"/>
    </row>
    <row r="962" spans="1:8">
      <c r="A962" s="250" t="s">
        <v>4934</v>
      </c>
      <c r="B962" s="250" t="s">
        <v>4935</v>
      </c>
      <c r="C962" s="251"/>
      <c r="D962" s="10" t="s">
        <v>4936</v>
      </c>
      <c r="E962" s="10"/>
      <c r="F962" s="252">
        <v>3153310820</v>
      </c>
      <c r="G962" s="250"/>
      <c r="H962" s="250"/>
    </row>
    <row r="963" spans="1:8">
      <c r="A963" s="250" t="s">
        <v>4937</v>
      </c>
      <c r="B963" s="250" t="s">
        <v>4938</v>
      </c>
      <c r="C963" s="251" t="s">
        <v>4939</v>
      </c>
      <c r="D963" s="10" t="s">
        <v>4940</v>
      </c>
      <c r="E963" s="10"/>
      <c r="F963" s="252">
        <v>3213896958</v>
      </c>
      <c r="G963" s="250"/>
      <c r="H963" s="250"/>
    </row>
    <row r="964" spans="1:8">
      <c r="A964" s="250" t="s">
        <v>4941</v>
      </c>
      <c r="B964" s="250" t="s">
        <v>4942</v>
      </c>
      <c r="C964" s="251">
        <v>402</v>
      </c>
      <c r="D964" s="10"/>
      <c r="E964" s="10"/>
      <c r="F964" s="252">
        <v>3162461640</v>
      </c>
      <c r="G964" s="250"/>
      <c r="H964" s="250"/>
    </row>
    <row r="965" spans="1:8">
      <c r="A965" s="250" t="s">
        <v>4943</v>
      </c>
      <c r="B965" s="250" t="s">
        <v>3492</v>
      </c>
      <c r="C965" s="251">
        <v>408</v>
      </c>
      <c r="D965" s="10" t="s">
        <v>4944</v>
      </c>
      <c r="E965" s="10"/>
      <c r="F965" s="252">
        <v>3158903856</v>
      </c>
      <c r="G965" s="250"/>
      <c r="H965" s="250"/>
    </row>
    <row r="966" spans="1:8">
      <c r="A966" s="250" t="s">
        <v>4945</v>
      </c>
      <c r="B966" s="250" t="s">
        <v>4946</v>
      </c>
      <c r="C966" s="251" t="s">
        <v>3007</v>
      </c>
      <c r="D966" s="10"/>
      <c r="E966" s="10"/>
      <c r="F966" s="252">
        <v>3005573511</v>
      </c>
      <c r="G966" s="250"/>
      <c r="H966" s="250"/>
    </row>
    <row r="967" spans="1:8">
      <c r="A967" s="250" t="s">
        <v>4947</v>
      </c>
      <c r="B967" s="250" t="s">
        <v>4948</v>
      </c>
      <c r="C967" s="251">
        <v>202</v>
      </c>
      <c r="D967" s="10" t="s">
        <v>4949</v>
      </c>
      <c r="E967" s="10"/>
      <c r="F967" s="252">
        <v>3138528611</v>
      </c>
      <c r="G967" s="250"/>
      <c r="H967" s="250"/>
    </row>
    <row r="968" spans="1:8">
      <c r="A968" s="250" t="s">
        <v>4950</v>
      </c>
      <c r="B968" s="250" t="s">
        <v>4951</v>
      </c>
      <c r="C968" s="251" t="s">
        <v>4952</v>
      </c>
      <c r="D968" s="10" t="s">
        <v>4953</v>
      </c>
      <c r="E968" s="10"/>
      <c r="F968" s="252">
        <v>3203395437</v>
      </c>
      <c r="G968" s="250"/>
      <c r="H968" s="250"/>
    </row>
    <row r="969" spans="1:8">
      <c r="A969" s="250" t="s">
        <v>4954</v>
      </c>
      <c r="B969" s="250" t="s">
        <v>4955</v>
      </c>
      <c r="C969" s="251">
        <v>402</v>
      </c>
      <c r="D969" s="10"/>
      <c r="E969" s="10"/>
      <c r="F969" s="252">
        <v>3153332615</v>
      </c>
      <c r="G969" s="250"/>
      <c r="H969" s="250"/>
    </row>
    <row r="970" spans="1:8">
      <c r="A970" s="250" t="s">
        <v>4956</v>
      </c>
      <c r="B970" s="250" t="s">
        <v>4957</v>
      </c>
      <c r="C970" s="251" t="s">
        <v>4958</v>
      </c>
      <c r="D970" s="10"/>
      <c r="E970" s="10"/>
      <c r="F970" s="252">
        <f>34699184160</f>
        <v>34699184160</v>
      </c>
      <c r="G970" s="250"/>
      <c r="H970" s="250"/>
    </row>
    <row r="971" spans="1:8">
      <c r="A971" s="250" t="s">
        <v>4959</v>
      </c>
      <c r="B971" s="250" t="s">
        <v>3655</v>
      </c>
      <c r="C971" s="251">
        <v>912</v>
      </c>
      <c r="D971" s="10" t="s">
        <v>4960</v>
      </c>
      <c r="E971" s="10"/>
      <c r="F971" s="252">
        <v>3142909560</v>
      </c>
      <c r="G971" s="250"/>
      <c r="H971" s="250"/>
    </row>
    <row r="972" spans="1:8">
      <c r="A972" s="250" t="s">
        <v>4961</v>
      </c>
      <c r="B972" s="250" t="s">
        <v>4962</v>
      </c>
      <c r="C972" s="251">
        <v>901</v>
      </c>
      <c r="D972" s="10" t="s">
        <v>4963</v>
      </c>
      <c r="E972" s="10"/>
      <c r="F972" s="252">
        <v>3168225057</v>
      </c>
      <c r="G972" s="250"/>
      <c r="H972" s="250"/>
    </row>
    <row r="973" spans="1:8">
      <c r="A973" s="250" t="s">
        <v>4964</v>
      </c>
      <c r="B973" s="250" t="s">
        <v>4965</v>
      </c>
      <c r="C973" s="251">
        <v>203</v>
      </c>
      <c r="D973" s="10" t="s">
        <v>4966</v>
      </c>
      <c r="E973" s="10"/>
      <c r="F973" s="252">
        <v>3134417501</v>
      </c>
      <c r="G973" s="250"/>
      <c r="H973" s="250"/>
    </row>
    <row r="974" spans="1:8">
      <c r="A974" s="250" t="s">
        <v>4967</v>
      </c>
      <c r="B974" s="250" t="s">
        <v>4968</v>
      </c>
      <c r="C974" s="251" t="s">
        <v>4969</v>
      </c>
      <c r="D974" s="10" t="s">
        <v>4970</v>
      </c>
      <c r="E974" s="10"/>
      <c r="F974" s="252">
        <v>3016203976</v>
      </c>
      <c r="G974" s="250"/>
      <c r="H974" s="250"/>
    </row>
    <row r="975" spans="1:8">
      <c r="A975" s="250" t="s">
        <v>4971</v>
      </c>
      <c r="B975" s="250" t="s">
        <v>4972</v>
      </c>
      <c r="C975" s="251">
        <v>401</v>
      </c>
      <c r="D975" s="10" t="s">
        <v>3833</v>
      </c>
      <c r="E975" s="10"/>
      <c r="F975" s="252">
        <v>3103265404</v>
      </c>
      <c r="G975" s="250"/>
      <c r="H975" s="250"/>
    </row>
    <row r="976" spans="1:8">
      <c r="A976" s="250" t="s">
        <v>4973</v>
      </c>
      <c r="B976" s="250" t="s">
        <v>4200</v>
      </c>
      <c r="C976" s="251">
        <v>407</v>
      </c>
      <c r="D976" s="10" t="s">
        <v>4974</v>
      </c>
      <c r="E976" s="10"/>
      <c r="F976" s="252">
        <v>3102095075</v>
      </c>
      <c r="G976" s="250"/>
      <c r="H976" s="250"/>
    </row>
    <row r="977" spans="1:8">
      <c r="A977" s="250" t="s">
        <v>4975</v>
      </c>
      <c r="B977" s="250" t="s">
        <v>4976</v>
      </c>
      <c r="C977" s="251">
        <v>603</v>
      </c>
      <c r="D977" s="10" t="s">
        <v>2721</v>
      </c>
      <c r="E977" s="10"/>
      <c r="F977" s="252">
        <v>3102471575</v>
      </c>
      <c r="G977" s="250"/>
      <c r="H977" s="250"/>
    </row>
    <row r="978" spans="1:8">
      <c r="A978" s="250" t="s">
        <v>4977</v>
      </c>
      <c r="B978" s="250" t="s">
        <v>4227</v>
      </c>
      <c r="C978" s="251">
        <v>1208</v>
      </c>
      <c r="D978" s="10"/>
      <c r="E978" s="10"/>
      <c r="F978" s="252">
        <v>3182111419</v>
      </c>
      <c r="G978" s="250"/>
      <c r="H978" s="250"/>
    </row>
    <row r="979" spans="1:8">
      <c r="A979" s="250" t="s">
        <v>4978</v>
      </c>
      <c r="B979" s="250" t="s">
        <v>4979</v>
      </c>
      <c r="C979" s="251">
        <v>101</v>
      </c>
      <c r="D979" s="10" t="s">
        <v>4980</v>
      </c>
      <c r="E979" s="10"/>
      <c r="F979" s="252">
        <v>3194447153</v>
      </c>
      <c r="G979" s="250"/>
      <c r="H979" s="250"/>
    </row>
    <row r="980" spans="1:8">
      <c r="A980" s="250" t="s">
        <v>4981</v>
      </c>
      <c r="B980" s="250" t="s">
        <v>4382</v>
      </c>
      <c r="C980" s="251">
        <v>404</v>
      </c>
      <c r="D980" s="10" t="s">
        <v>4982</v>
      </c>
      <c r="E980" s="10"/>
      <c r="F980" s="252">
        <v>3187954363</v>
      </c>
      <c r="G980" s="250"/>
      <c r="H980" s="250"/>
    </row>
    <row r="981" spans="1:8">
      <c r="A981" s="250" t="s">
        <v>4983</v>
      </c>
      <c r="B981" s="250" t="s">
        <v>4984</v>
      </c>
      <c r="C981" s="251">
        <v>1002</v>
      </c>
      <c r="D981" s="10" t="s">
        <v>2733</v>
      </c>
      <c r="E981" s="10"/>
      <c r="F981" s="252">
        <v>3176752743</v>
      </c>
      <c r="G981" s="250"/>
      <c r="H981" s="250"/>
    </row>
    <row r="982" spans="1:8">
      <c r="A982" s="250" t="s">
        <v>4985</v>
      </c>
      <c r="B982" s="250" t="s">
        <v>4986</v>
      </c>
      <c r="C982" s="251" t="s">
        <v>4987</v>
      </c>
      <c r="D982" s="10"/>
      <c r="E982" s="10"/>
      <c r="F982" s="252">
        <v>3106150836</v>
      </c>
      <c r="G982" s="250"/>
      <c r="H982" s="250"/>
    </row>
    <row r="983" spans="1:8">
      <c r="A983" s="250" t="s">
        <v>4988</v>
      </c>
      <c r="B983" s="250" t="s">
        <v>4989</v>
      </c>
      <c r="C983" s="251">
        <v>502</v>
      </c>
      <c r="D983" s="10"/>
      <c r="E983" s="10"/>
      <c r="F983" s="252">
        <v>3003186818</v>
      </c>
      <c r="G983" s="250"/>
      <c r="H983" s="250"/>
    </row>
    <row r="984" spans="1:8">
      <c r="A984" s="250" t="s">
        <v>4990</v>
      </c>
      <c r="B984" s="250" t="s">
        <v>4991</v>
      </c>
      <c r="C984" s="251"/>
      <c r="D984" s="10" t="s">
        <v>4992</v>
      </c>
      <c r="E984" s="10"/>
      <c r="F984" s="252">
        <v>3126176523</v>
      </c>
      <c r="G984" s="250"/>
      <c r="H984" s="250"/>
    </row>
    <row r="985" spans="1:8">
      <c r="A985" s="250" t="s">
        <v>4993</v>
      </c>
      <c r="B985" s="250" t="s">
        <v>4994</v>
      </c>
      <c r="C985" s="251">
        <v>302</v>
      </c>
      <c r="D985" s="10" t="s">
        <v>4995</v>
      </c>
      <c r="E985" s="10"/>
      <c r="F985" s="252">
        <v>3125889298</v>
      </c>
      <c r="G985" s="250"/>
      <c r="H985" s="250"/>
    </row>
    <row r="986" spans="1:8">
      <c r="A986" s="250" t="s">
        <v>4996</v>
      </c>
      <c r="B986" s="250" t="s">
        <v>4997</v>
      </c>
      <c r="C986" s="251">
        <v>402</v>
      </c>
      <c r="D986" s="10" t="s">
        <v>4998</v>
      </c>
      <c r="E986" s="10"/>
      <c r="F986" s="252">
        <v>3157005454</v>
      </c>
      <c r="G986" s="250"/>
      <c r="H986" s="250"/>
    </row>
    <row r="987" spans="1:8">
      <c r="A987" s="250" t="s">
        <v>4999</v>
      </c>
      <c r="B987" s="250" t="s">
        <v>5000</v>
      </c>
      <c r="C987" s="251">
        <v>102</v>
      </c>
      <c r="D987" s="10" t="s">
        <v>5001</v>
      </c>
      <c r="E987" s="10"/>
      <c r="F987" s="252">
        <v>3118191247</v>
      </c>
      <c r="G987" s="250"/>
      <c r="H987" s="250"/>
    </row>
    <row r="988" spans="1:8">
      <c r="A988" s="250" t="s">
        <v>5002</v>
      </c>
      <c r="B988" s="250" t="s">
        <v>5003</v>
      </c>
      <c r="C988" s="251">
        <v>301</v>
      </c>
      <c r="D988" s="10"/>
      <c r="E988" s="10"/>
      <c r="F988" s="252">
        <v>3184871405</v>
      </c>
      <c r="G988" s="250"/>
      <c r="H988" s="250"/>
    </row>
    <row r="989" spans="1:8">
      <c r="A989" s="250" t="s">
        <v>5004</v>
      </c>
      <c r="B989" s="250" t="s">
        <v>5005</v>
      </c>
      <c r="C989" s="251">
        <v>504</v>
      </c>
      <c r="D989" s="10"/>
      <c r="E989" s="10"/>
      <c r="F989" s="252">
        <v>3163860742</v>
      </c>
      <c r="G989" s="250"/>
      <c r="H989" s="250"/>
    </row>
    <row r="990" spans="1:8">
      <c r="A990" s="250" t="s">
        <v>5006</v>
      </c>
      <c r="B990" s="250" t="s">
        <v>5007</v>
      </c>
      <c r="C990" s="251" t="s">
        <v>5008</v>
      </c>
      <c r="D990" s="10" t="s">
        <v>5009</v>
      </c>
      <c r="E990" s="10"/>
      <c r="F990" s="252">
        <v>3176680207</v>
      </c>
      <c r="G990" s="250"/>
      <c r="H990" s="250"/>
    </row>
    <row r="991" spans="1:8">
      <c r="A991" s="250" t="s">
        <v>5010</v>
      </c>
      <c r="B991" s="250" t="s">
        <v>4868</v>
      </c>
      <c r="C991" s="251">
        <v>1104</v>
      </c>
      <c r="D991" s="10" t="s">
        <v>5011</v>
      </c>
      <c r="E991" s="10"/>
      <c r="F991" s="252">
        <v>3102279632</v>
      </c>
      <c r="G991" s="250"/>
      <c r="H991" s="250"/>
    </row>
    <row r="992" spans="1:8">
      <c r="A992" s="250" t="s">
        <v>5012</v>
      </c>
      <c r="B992" s="250" t="s">
        <v>5013</v>
      </c>
      <c r="C992" s="251"/>
      <c r="D992" s="10" t="s">
        <v>5014</v>
      </c>
      <c r="E992" s="250" t="s">
        <v>5015</v>
      </c>
      <c r="F992" s="252">
        <v>3212427289</v>
      </c>
      <c r="G992" s="250"/>
      <c r="H992" s="250"/>
    </row>
    <row r="993" spans="1:8">
      <c r="A993" s="250" t="s">
        <v>5016</v>
      </c>
      <c r="B993" s="250" t="s">
        <v>5017</v>
      </c>
      <c r="C993" s="251">
        <v>604</v>
      </c>
      <c r="D993" s="10" t="s">
        <v>5018</v>
      </c>
      <c r="E993" s="10"/>
      <c r="F993" s="252">
        <v>3124693031</v>
      </c>
      <c r="G993" s="250"/>
      <c r="H993" s="250"/>
    </row>
    <row r="994" spans="1:8">
      <c r="A994" s="250" t="s">
        <v>5019</v>
      </c>
      <c r="B994" s="250" t="s">
        <v>5020</v>
      </c>
      <c r="C994" s="251">
        <v>305</v>
      </c>
      <c r="D994" s="10"/>
      <c r="E994" s="10"/>
      <c r="F994" s="252">
        <v>3112933865</v>
      </c>
      <c r="G994" s="250"/>
      <c r="H994" s="250"/>
    </row>
    <row r="995" spans="1:8">
      <c r="A995" s="250" t="s">
        <v>5021</v>
      </c>
      <c r="B995" s="250" t="s">
        <v>5022</v>
      </c>
      <c r="C995" s="251" t="s">
        <v>3463</v>
      </c>
      <c r="D995" s="10"/>
      <c r="E995" s="10"/>
      <c r="F995" s="252">
        <v>3013807467</v>
      </c>
      <c r="G995" s="250"/>
      <c r="H995" s="250"/>
    </row>
    <row r="996" spans="1:8">
      <c r="A996" s="250" t="s">
        <v>5023</v>
      </c>
      <c r="B996" s="250" t="s">
        <v>5024</v>
      </c>
      <c r="C996" s="251">
        <v>501</v>
      </c>
      <c r="D996" s="10"/>
      <c r="E996" s="10"/>
      <c r="F996" s="252">
        <v>3174268603</v>
      </c>
      <c r="G996" s="250"/>
      <c r="H996" s="250"/>
    </row>
    <row r="997" spans="1:8">
      <c r="A997" s="250" t="s">
        <v>5025</v>
      </c>
      <c r="B997" s="250" t="s">
        <v>5026</v>
      </c>
      <c r="C997" s="251">
        <v>803</v>
      </c>
      <c r="D997" s="10"/>
      <c r="E997" s="10"/>
      <c r="F997" s="252">
        <v>3102697804</v>
      </c>
      <c r="G997" s="250"/>
      <c r="H997" s="250"/>
    </row>
    <row r="998" spans="1:8">
      <c r="A998" s="250" t="s">
        <v>5027</v>
      </c>
      <c r="B998" s="250" t="s">
        <v>5028</v>
      </c>
      <c r="C998" s="251">
        <v>305</v>
      </c>
      <c r="D998" s="10"/>
      <c r="E998" s="10"/>
      <c r="F998" s="252">
        <v>3202111712</v>
      </c>
      <c r="G998" s="250"/>
      <c r="H998" s="250"/>
    </row>
    <row r="999" spans="1:8">
      <c r="A999" s="250" t="s">
        <v>5029</v>
      </c>
      <c r="B999" s="250" t="s">
        <v>5030</v>
      </c>
      <c r="C999" s="251"/>
      <c r="D999" s="10"/>
      <c r="E999" s="10"/>
      <c r="F999" s="252">
        <v>3209451661</v>
      </c>
      <c r="G999" s="250"/>
      <c r="H999" s="250"/>
    </row>
    <row r="1000" spans="1:8">
      <c r="A1000" s="250" t="s">
        <v>5031</v>
      </c>
      <c r="B1000" s="250" t="s">
        <v>5032</v>
      </c>
      <c r="C1000" s="251">
        <v>604</v>
      </c>
      <c r="D1000" s="10"/>
      <c r="E1000" s="10"/>
      <c r="F1000" s="252">
        <v>3107925070</v>
      </c>
      <c r="G1000" s="250"/>
      <c r="H1000" s="250"/>
    </row>
    <row r="1001" spans="1:8">
      <c r="A1001" s="250" t="s">
        <v>5033</v>
      </c>
      <c r="B1001" s="250" t="s">
        <v>5034</v>
      </c>
      <c r="C1001" s="251">
        <v>401</v>
      </c>
      <c r="D1001" s="10"/>
      <c r="E1001" s="10"/>
      <c r="F1001" s="252">
        <v>3102189483</v>
      </c>
      <c r="G1001" s="250"/>
      <c r="H1001" s="250"/>
    </row>
    <row r="1002" spans="1:8">
      <c r="A1002" s="250" t="s">
        <v>5035</v>
      </c>
      <c r="B1002" s="250" t="s">
        <v>5036</v>
      </c>
      <c r="C1002" s="251">
        <v>904</v>
      </c>
      <c r="D1002" s="10" t="s">
        <v>2733</v>
      </c>
      <c r="E1002" s="10"/>
      <c r="F1002" s="252">
        <v>3204020374</v>
      </c>
      <c r="G1002" s="250"/>
      <c r="H1002" s="250"/>
    </row>
    <row r="1003" spans="1:8">
      <c r="A1003" s="250" t="s">
        <v>5037</v>
      </c>
      <c r="B1003" s="250" t="s">
        <v>5038</v>
      </c>
      <c r="C1003" s="251">
        <v>605</v>
      </c>
      <c r="D1003" s="10"/>
      <c r="E1003" s="10"/>
      <c r="F1003" s="252">
        <v>3002081011</v>
      </c>
      <c r="G1003" s="250"/>
      <c r="H1003" s="250"/>
    </row>
    <row r="1004" spans="1:8">
      <c r="A1004" s="250" t="s">
        <v>5039</v>
      </c>
      <c r="B1004" s="250" t="s">
        <v>5040</v>
      </c>
      <c r="C1004" s="251">
        <v>1305</v>
      </c>
      <c r="D1004" s="10" t="s">
        <v>5041</v>
      </c>
      <c r="E1004" s="10"/>
      <c r="F1004" s="252">
        <v>3182392900</v>
      </c>
      <c r="G1004" s="250"/>
      <c r="H1004" s="250"/>
    </row>
    <row r="1005" spans="1:8">
      <c r="A1005" s="250" t="s">
        <v>5042</v>
      </c>
      <c r="B1005" s="250" t="s">
        <v>5043</v>
      </c>
      <c r="C1005" s="251">
        <v>602</v>
      </c>
      <c r="D1005" s="10" t="s">
        <v>5044</v>
      </c>
      <c r="E1005" s="265" t="s">
        <v>5045</v>
      </c>
      <c r="F1005" s="252">
        <v>3212086790</v>
      </c>
      <c r="G1005" s="250"/>
      <c r="H1005" s="250"/>
    </row>
    <row r="1006" spans="1:8">
      <c r="A1006" s="250" t="s">
        <v>5046</v>
      </c>
      <c r="B1006" s="250" t="s">
        <v>5047</v>
      </c>
      <c r="C1006" s="251">
        <v>503</v>
      </c>
      <c r="D1006" s="10" t="s">
        <v>5048</v>
      </c>
      <c r="E1006" s="10"/>
      <c r="F1006" s="252">
        <v>3156797799</v>
      </c>
      <c r="G1006" s="250"/>
      <c r="H1006" s="250"/>
    </row>
    <row r="1007" spans="1:8">
      <c r="A1007" s="250" t="s">
        <v>5049</v>
      </c>
      <c r="B1007" s="250" t="s">
        <v>5050</v>
      </c>
      <c r="C1007" s="251">
        <v>801</v>
      </c>
      <c r="D1007" s="10"/>
      <c r="E1007" s="10"/>
      <c r="F1007" s="252">
        <v>3124806365</v>
      </c>
      <c r="G1007" s="250"/>
      <c r="H1007" s="250"/>
    </row>
    <row r="1008" spans="1:8">
      <c r="A1008" s="250" t="s">
        <v>5051</v>
      </c>
      <c r="B1008" s="250" t="s">
        <v>5052</v>
      </c>
      <c r="C1008" s="251" t="s">
        <v>3007</v>
      </c>
      <c r="D1008" s="10"/>
      <c r="E1008" s="10"/>
      <c r="F1008" s="252">
        <v>3102276357</v>
      </c>
      <c r="G1008" s="250"/>
      <c r="H1008" s="250"/>
    </row>
    <row r="1009" spans="1:8">
      <c r="A1009" s="250" t="s">
        <v>5053</v>
      </c>
      <c r="B1009" s="250" t="s">
        <v>5054</v>
      </c>
      <c r="C1009" s="251">
        <v>503</v>
      </c>
      <c r="D1009" s="10"/>
      <c r="E1009" s="10"/>
      <c r="F1009" s="252">
        <v>3138716125</v>
      </c>
      <c r="G1009" s="250"/>
      <c r="H1009" s="250"/>
    </row>
    <row r="1010" spans="1:8">
      <c r="A1010" s="250" t="s">
        <v>5055</v>
      </c>
      <c r="B1010" s="250" t="s">
        <v>5056</v>
      </c>
      <c r="C1010" s="251">
        <v>1103</v>
      </c>
      <c r="D1010" s="10" t="s">
        <v>5057</v>
      </c>
      <c r="E1010" s="10"/>
      <c r="F1010" s="252">
        <v>3008271014</v>
      </c>
      <c r="G1010" s="250"/>
      <c r="H1010" s="250"/>
    </row>
    <row r="1011" spans="1:8">
      <c r="A1011" s="250" t="s">
        <v>5058</v>
      </c>
      <c r="B1011" s="250" t="s">
        <v>5059</v>
      </c>
      <c r="C1011" s="251">
        <v>401</v>
      </c>
      <c r="D1011" s="10" t="s">
        <v>5060</v>
      </c>
      <c r="E1011" s="10"/>
      <c r="F1011" s="252">
        <v>3203875353</v>
      </c>
      <c r="G1011" s="250"/>
      <c r="H1011" s="250"/>
    </row>
    <row r="1012" spans="1:8">
      <c r="A1012" s="250" t="s">
        <v>5061</v>
      </c>
      <c r="B1012" s="250" t="s">
        <v>5062</v>
      </c>
      <c r="C1012" s="251">
        <v>507</v>
      </c>
      <c r="D1012" s="10" t="s">
        <v>5063</v>
      </c>
      <c r="E1012" s="10"/>
      <c r="F1012" s="252">
        <v>3182801917</v>
      </c>
      <c r="G1012" s="250"/>
      <c r="H1012" s="250"/>
    </row>
    <row r="1013" spans="1:8">
      <c r="A1013" s="250" t="s">
        <v>5064</v>
      </c>
      <c r="B1013" s="250" t="s">
        <v>5065</v>
      </c>
      <c r="C1013" s="251">
        <v>502</v>
      </c>
      <c r="D1013" s="10" t="s">
        <v>5066</v>
      </c>
      <c r="E1013" s="10"/>
      <c r="F1013" s="252">
        <v>3213831448</v>
      </c>
      <c r="G1013" s="250"/>
      <c r="H1013" s="250"/>
    </row>
    <row r="1014" spans="1:8">
      <c r="A1014" s="250" t="s">
        <v>5067</v>
      </c>
      <c r="B1014" s="250" t="s">
        <v>5068</v>
      </c>
      <c r="C1014" s="251">
        <v>404</v>
      </c>
      <c r="D1014" s="10"/>
      <c r="E1014" s="10"/>
      <c r="F1014" s="252">
        <v>3105546613</v>
      </c>
      <c r="G1014" s="250"/>
      <c r="H1014" s="250"/>
    </row>
    <row r="1015" spans="1:8">
      <c r="A1015" s="250" t="s">
        <v>5069</v>
      </c>
      <c r="B1015" s="250" t="s">
        <v>5070</v>
      </c>
      <c r="C1015" s="251"/>
      <c r="D1015" s="10"/>
      <c r="E1015" s="10"/>
      <c r="F1015" s="252">
        <v>3113102123</v>
      </c>
      <c r="G1015" s="250"/>
      <c r="H1015" s="250"/>
    </row>
    <row r="1016" spans="1:8">
      <c r="A1016" s="250" t="s">
        <v>880</v>
      </c>
      <c r="B1016" s="250" t="s">
        <v>5071</v>
      </c>
      <c r="C1016" s="251">
        <v>201</v>
      </c>
      <c r="D1016" s="10"/>
      <c r="E1016" s="10"/>
      <c r="F1016" s="252">
        <v>3213241871</v>
      </c>
      <c r="G1016" s="250"/>
      <c r="H1016" s="250"/>
    </row>
    <row r="1017" spans="1:8">
      <c r="A1017" s="250" t="s">
        <v>5072</v>
      </c>
      <c r="B1017" s="250" t="s">
        <v>5073</v>
      </c>
      <c r="C1017" s="251">
        <v>404</v>
      </c>
      <c r="D1017" s="10" t="s">
        <v>5074</v>
      </c>
      <c r="E1017" s="10"/>
      <c r="F1017" s="252">
        <v>3208630080</v>
      </c>
      <c r="G1017" s="250"/>
      <c r="H1017" s="250"/>
    </row>
    <row r="1018" spans="1:8">
      <c r="A1018" s="250" t="s">
        <v>5075</v>
      </c>
      <c r="B1018" s="250" t="s">
        <v>5076</v>
      </c>
      <c r="C1018" s="251">
        <v>103</v>
      </c>
      <c r="D1018" s="10"/>
      <c r="E1018" s="10"/>
      <c r="F1018" s="252">
        <v>3164684656</v>
      </c>
      <c r="G1018" s="250"/>
      <c r="H1018" s="250"/>
    </row>
    <row r="1019" spans="1:8">
      <c r="A1019" s="250" t="s">
        <v>5077</v>
      </c>
      <c r="B1019" s="250" t="s">
        <v>5078</v>
      </c>
      <c r="C1019" s="251">
        <v>102</v>
      </c>
      <c r="D1019" s="10"/>
      <c r="E1019" s="10"/>
      <c r="F1019" s="252">
        <v>3103149995</v>
      </c>
      <c r="G1019" s="250"/>
      <c r="H1019" s="250"/>
    </row>
    <row r="1020" spans="1:8">
      <c r="A1020" s="250" t="s">
        <v>5079</v>
      </c>
      <c r="B1020" s="250" t="s">
        <v>5080</v>
      </c>
      <c r="C1020" s="251">
        <v>503</v>
      </c>
      <c r="D1020" s="10" t="s">
        <v>4849</v>
      </c>
      <c r="E1020" s="10"/>
      <c r="F1020" s="252">
        <v>3158704788</v>
      </c>
      <c r="G1020" s="250"/>
      <c r="H1020" s="250"/>
    </row>
    <row r="1021" spans="1:8">
      <c r="A1021" s="250" t="s">
        <v>5081</v>
      </c>
      <c r="B1021" s="250" t="s">
        <v>5082</v>
      </c>
      <c r="C1021" s="251">
        <v>604</v>
      </c>
      <c r="D1021" s="10"/>
      <c r="E1021" s="10"/>
      <c r="F1021" s="252">
        <v>3112060812</v>
      </c>
      <c r="G1021" s="250"/>
      <c r="H1021" s="250"/>
    </row>
    <row r="1022" spans="1:8">
      <c r="A1022" s="250" t="s">
        <v>5083</v>
      </c>
      <c r="B1022" s="250" t="s">
        <v>5084</v>
      </c>
      <c r="C1022" s="251">
        <v>1001</v>
      </c>
      <c r="D1022" s="10" t="s">
        <v>5085</v>
      </c>
      <c r="E1022" s="10"/>
      <c r="F1022" s="252">
        <v>3156177218</v>
      </c>
      <c r="G1022" s="250"/>
      <c r="H1022" s="250"/>
    </row>
    <row r="1023" spans="1:8">
      <c r="A1023" s="250" t="s">
        <v>5086</v>
      </c>
      <c r="B1023" s="250" t="s">
        <v>5087</v>
      </c>
      <c r="C1023" s="251" t="s">
        <v>5088</v>
      </c>
      <c r="D1023" s="10"/>
      <c r="E1023" s="10"/>
      <c r="F1023" s="252">
        <v>3104885677</v>
      </c>
      <c r="G1023" s="250"/>
      <c r="H1023" s="250"/>
    </row>
    <row r="1024" spans="1:8">
      <c r="A1024" s="250" t="s">
        <v>5089</v>
      </c>
      <c r="B1024" s="250" t="s">
        <v>5090</v>
      </c>
      <c r="C1024" s="251">
        <v>401</v>
      </c>
      <c r="D1024" s="10"/>
      <c r="E1024" s="10"/>
      <c r="F1024" s="252">
        <v>3102387972</v>
      </c>
      <c r="G1024" s="250"/>
      <c r="H1024" s="250"/>
    </row>
    <row r="1025" spans="1:8">
      <c r="A1025" s="250" t="s">
        <v>5091</v>
      </c>
      <c r="B1025" s="250" t="s">
        <v>5092</v>
      </c>
      <c r="C1025" s="251">
        <v>311</v>
      </c>
      <c r="D1025" s="10"/>
      <c r="E1025" s="10"/>
      <c r="F1025" s="252">
        <v>3102008307</v>
      </c>
      <c r="G1025" s="250"/>
      <c r="H1025" s="250"/>
    </row>
    <row r="1026" spans="1:8">
      <c r="A1026" s="250" t="s">
        <v>5093</v>
      </c>
      <c r="B1026" s="250" t="s">
        <v>5094</v>
      </c>
      <c r="C1026" s="251">
        <v>502</v>
      </c>
      <c r="D1026" s="10"/>
      <c r="E1026" s="10"/>
      <c r="F1026" s="252">
        <v>3185215044</v>
      </c>
      <c r="G1026" s="250"/>
      <c r="H1026" s="250"/>
    </row>
    <row r="1027" spans="1:8">
      <c r="A1027" s="250" t="s">
        <v>5095</v>
      </c>
      <c r="B1027" s="250" t="s">
        <v>4845</v>
      </c>
      <c r="C1027" s="251">
        <v>203</v>
      </c>
      <c r="D1027" s="10" t="s">
        <v>5096</v>
      </c>
      <c r="E1027" s="10"/>
      <c r="F1027" s="252">
        <v>3154828420</v>
      </c>
      <c r="G1027" s="250"/>
      <c r="H1027" s="250"/>
    </row>
    <row r="1028" spans="1:8">
      <c r="A1028" s="250" t="s">
        <v>5097</v>
      </c>
      <c r="B1028" s="250" t="s">
        <v>5098</v>
      </c>
      <c r="C1028" s="251"/>
      <c r="D1028" s="10" t="s">
        <v>5099</v>
      </c>
      <c r="E1028" s="10"/>
      <c r="F1028" s="252">
        <v>3158614574</v>
      </c>
      <c r="G1028" s="250"/>
      <c r="H1028" s="250"/>
    </row>
    <row r="1029" spans="1:8">
      <c r="A1029" s="250" t="s">
        <v>5100</v>
      </c>
      <c r="B1029" s="250" t="s">
        <v>5101</v>
      </c>
      <c r="C1029" s="251">
        <v>304</v>
      </c>
      <c r="D1029" s="10"/>
      <c r="E1029" s="10"/>
      <c r="F1029" s="252">
        <v>3107808747</v>
      </c>
      <c r="G1029" s="250"/>
      <c r="H1029" s="250"/>
    </row>
    <row r="1030" spans="1:8">
      <c r="A1030" s="250" t="s">
        <v>5102</v>
      </c>
      <c r="B1030" s="250" t="s">
        <v>5103</v>
      </c>
      <c r="C1030" s="251">
        <v>505</v>
      </c>
      <c r="D1030" s="10" t="s">
        <v>5104</v>
      </c>
      <c r="E1030" s="10"/>
      <c r="F1030" s="252">
        <v>3142967140</v>
      </c>
      <c r="G1030" s="250"/>
      <c r="H1030" s="250"/>
    </row>
    <row r="1031" spans="1:8">
      <c r="A1031" s="250" t="s">
        <v>5105</v>
      </c>
      <c r="B1031" s="250" t="s">
        <v>5106</v>
      </c>
      <c r="C1031" s="251">
        <v>201</v>
      </c>
      <c r="D1031" s="10" t="s">
        <v>5107</v>
      </c>
      <c r="E1031" s="10"/>
      <c r="F1031" s="252">
        <v>3118763996</v>
      </c>
      <c r="G1031" s="250"/>
      <c r="H1031" s="250"/>
    </row>
    <row r="1032" spans="1:8">
      <c r="A1032" s="250" t="s">
        <v>5108</v>
      </c>
      <c r="B1032" s="250" t="s">
        <v>5109</v>
      </c>
      <c r="C1032" s="251" t="s">
        <v>5110</v>
      </c>
      <c r="D1032" s="10"/>
      <c r="E1032" s="10"/>
      <c r="F1032" s="252">
        <v>3114912270</v>
      </c>
      <c r="G1032" s="250"/>
      <c r="H1032" s="250"/>
    </row>
    <row r="1033" spans="1:8">
      <c r="A1033" s="250" t="s">
        <v>5111</v>
      </c>
      <c r="B1033" s="250" t="s">
        <v>5112</v>
      </c>
      <c r="C1033" s="251">
        <v>101</v>
      </c>
      <c r="D1033" s="10" t="s">
        <v>5113</v>
      </c>
      <c r="E1033" s="10"/>
      <c r="F1033" s="252">
        <v>3177001727</v>
      </c>
      <c r="G1033" s="250"/>
      <c r="H1033" s="250"/>
    </row>
    <row r="1034" spans="1:8">
      <c r="A1034" s="250" t="s">
        <v>5114</v>
      </c>
      <c r="B1034" s="250" t="s">
        <v>5115</v>
      </c>
      <c r="C1034" s="251">
        <v>405</v>
      </c>
      <c r="D1034" s="10"/>
      <c r="E1034" s="10"/>
      <c r="F1034" s="252">
        <v>3108079038</v>
      </c>
      <c r="G1034" s="250"/>
      <c r="H1034" s="250"/>
    </row>
    <row r="1035" spans="1:8">
      <c r="A1035" s="250" t="s">
        <v>5116</v>
      </c>
      <c r="B1035" s="250" t="s">
        <v>5117</v>
      </c>
      <c r="C1035" s="251">
        <v>1101</v>
      </c>
      <c r="D1035" s="10" t="s">
        <v>5118</v>
      </c>
      <c r="E1035" s="10"/>
      <c r="F1035" s="252">
        <v>3214518255</v>
      </c>
      <c r="G1035" s="250"/>
      <c r="H1035" s="250"/>
    </row>
    <row r="1036" spans="1:8">
      <c r="A1036" s="196" t="s">
        <v>5119</v>
      </c>
      <c r="B1036" s="196" t="s">
        <v>5120</v>
      </c>
      <c r="C1036" s="251">
        <v>1004</v>
      </c>
      <c r="D1036" s="222" t="s">
        <v>5121</v>
      </c>
      <c r="E1036" s="10"/>
      <c r="F1036" s="252">
        <v>3132352383</v>
      </c>
      <c r="G1036" s="250"/>
      <c r="H1036" s="250"/>
    </row>
    <row r="1037" spans="1:8">
      <c r="A1037" s="196" t="s">
        <v>5122</v>
      </c>
      <c r="B1037" s="196" t="s">
        <v>5123</v>
      </c>
      <c r="C1037" s="251"/>
      <c r="D1037" s="222" t="s">
        <v>5124</v>
      </c>
      <c r="E1037" s="10"/>
      <c r="F1037" s="252">
        <v>3004359010</v>
      </c>
      <c r="G1037" s="250"/>
      <c r="H1037" s="250"/>
    </row>
    <row r="1038" spans="1:8">
      <c r="A1038" s="196" t="s">
        <v>5125</v>
      </c>
      <c r="B1038" s="196" t="s">
        <v>5126</v>
      </c>
      <c r="C1038" s="251">
        <v>201</v>
      </c>
      <c r="D1038" s="222"/>
      <c r="E1038" s="10"/>
      <c r="F1038" s="252">
        <v>3155437334</v>
      </c>
      <c r="G1038" s="250"/>
      <c r="H1038" s="250"/>
    </row>
    <row r="1039" spans="1:8">
      <c r="A1039" s="196" t="s">
        <v>5127</v>
      </c>
      <c r="B1039" s="196" t="s">
        <v>5128</v>
      </c>
      <c r="C1039" s="251">
        <v>2019</v>
      </c>
      <c r="D1039" s="222" t="s">
        <v>5129</v>
      </c>
      <c r="E1039" s="10"/>
      <c r="F1039" s="252">
        <v>3185923279</v>
      </c>
      <c r="G1039" s="250"/>
      <c r="H1039" s="250"/>
    </row>
    <row r="1040" spans="1:8">
      <c r="A1040" s="196" t="s">
        <v>5130</v>
      </c>
      <c r="B1040" s="196" t="s">
        <v>5131</v>
      </c>
      <c r="C1040" s="251">
        <v>509</v>
      </c>
      <c r="D1040" s="222"/>
      <c r="E1040" s="10"/>
      <c r="F1040" s="252">
        <v>3204938492</v>
      </c>
      <c r="G1040" s="250"/>
      <c r="H1040" s="250"/>
    </row>
    <row r="1041" spans="1:8">
      <c r="A1041" s="250" t="s">
        <v>5132</v>
      </c>
      <c r="B1041" s="250" t="s">
        <v>5133</v>
      </c>
      <c r="C1041" s="251">
        <v>504</v>
      </c>
      <c r="D1041" s="10"/>
      <c r="E1041" s="10"/>
      <c r="F1041" s="252">
        <v>3153427921</v>
      </c>
      <c r="G1041" s="250"/>
      <c r="H1041" s="250"/>
    </row>
    <row r="1042" spans="1:8">
      <c r="A1042" s="250" t="s">
        <v>5134</v>
      </c>
      <c r="B1042" s="250" t="s">
        <v>5135</v>
      </c>
      <c r="C1042" s="251">
        <v>502</v>
      </c>
      <c r="D1042" s="10" t="s">
        <v>5136</v>
      </c>
      <c r="E1042" s="10"/>
      <c r="F1042" s="252">
        <v>3108069871</v>
      </c>
      <c r="G1042" s="250"/>
      <c r="H1042" s="250"/>
    </row>
    <row r="1043" spans="1:8">
      <c r="A1043" s="250" t="s">
        <v>5137</v>
      </c>
      <c r="B1043" s="250" t="s">
        <v>5138</v>
      </c>
      <c r="C1043" s="251">
        <v>1204</v>
      </c>
      <c r="D1043" s="10"/>
      <c r="E1043" s="10"/>
      <c r="F1043" s="252">
        <v>3016584562</v>
      </c>
      <c r="G1043" s="250"/>
      <c r="H1043" s="250"/>
    </row>
    <row r="1044" spans="1:8">
      <c r="A1044" s="250" t="s">
        <v>5139</v>
      </c>
      <c r="B1044" s="250" t="s">
        <v>5140</v>
      </c>
      <c r="C1044" s="251">
        <v>101</v>
      </c>
      <c r="D1044" s="10" t="s">
        <v>5141</v>
      </c>
      <c r="E1044" s="10"/>
      <c r="F1044" s="252">
        <v>3165307285</v>
      </c>
      <c r="G1044" s="250"/>
      <c r="H1044" s="250"/>
    </row>
    <row r="1045" spans="1:8">
      <c r="A1045" s="250" t="s">
        <v>5142</v>
      </c>
      <c r="B1045" s="250" t="s">
        <v>5143</v>
      </c>
      <c r="C1045" s="251">
        <v>402</v>
      </c>
      <c r="D1045" s="10"/>
      <c r="E1045" s="10"/>
      <c r="F1045" s="252">
        <v>3045607717</v>
      </c>
      <c r="G1045" s="250"/>
      <c r="H1045" s="250"/>
    </row>
    <row r="1046" spans="1:8">
      <c r="A1046" s="250" t="s">
        <v>5144</v>
      </c>
      <c r="B1046" s="250" t="s">
        <v>4938</v>
      </c>
      <c r="C1046" s="251">
        <v>405</v>
      </c>
      <c r="D1046" s="10" t="s">
        <v>5145</v>
      </c>
      <c r="E1046" s="10"/>
      <c r="F1046" s="252">
        <v>3108646077</v>
      </c>
      <c r="G1046" s="250"/>
      <c r="H1046" s="250"/>
    </row>
    <row r="1047" spans="1:8">
      <c r="A1047" s="250" t="s">
        <v>5146</v>
      </c>
      <c r="B1047" s="250" t="s">
        <v>5147</v>
      </c>
      <c r="C1047" s="251">
        <v>1401</v>
      </c>
      <c r="D1047" s="10" t="s">
        <v>2733</v>
      </c>
      <c r="E1047" s="10"/>
      <c r="F1047" s="252">
        <v>3142959569</v>
      </c>
      <c r="G1047" s="250"/>
      <c r="H1047" s="250"/>
    </row>
    <row r="1048" spans="1:8">
      <c r="A1048" s="250" t="s">
        <v>5148</v>
      </c>
      <c r="B1048" s="10" t="s">
        <v>5149</v>
      </c>
      <c r="C1048" s="251">
        <v>405</v>
      </c>
      <c r="D1048" s="10" t="s">
        <v>5150</v>
      </c>
      <c r="E1048" s="10"/>
      <c r="F1048" s="252">
        <v>3133854335</v>
      </c>
      <c r="G1048" s="250"/>
      <c r="H1048" s="250"/>
    </row>
    <row r="1049" spans="1:8">
      <c r="A1049" s="250" t="s">
        <v>5151</v>
      </c>
      <c r="B1049" s="250" t="s">
        <v>5152</v>
      </c>
      <c r="C1049" s="251" t="s">
        <v>5153</v>
      </c>
      <c r="D1049" s="10"/>
      <c r="E1049" s="10"/>
      <c r="F1049" s="252">
        <v>3103220694</v>
      </c>
      <c r="G1049" s="250"/>
      <c r="H1049" s="250"/>
    </row>
    <row r="1050" spans="1:8">
      <c r="A1050" s="250" t="s">
        <v>5154</v>
      </c>
      <c r="B1050" s="250" t="s">
        <v>5155</v>
      </c>
      <c r="C1050" s="251">
        <v>201</v>
      </c>
      <c r="D1050" s="10" t="s">
        <v>5156</v>
      </c>
      <c r="E1050" s="10"/>
      <c r="F1050" s="252">
        <v>3144616098</v>
      </c>
      <c r="G1050" s="250"/>
      <c r="H1050" s="250"/>
    </row>
    <row r="1051" spans="1:8">
      <c r="A1051" s="250" t="s">
        <v>5157</v>
      </c>
      <c r="B1051" s="250" t="s">
        <v>5158</v>
      </c>
      <c r="C1051" s="251">
        <v>301</v>
      </c>
      <c r="D1051" s="10"/>
      <c r="E1051" s="10"/>
      <c r="F1051" s="252">
        <v>3176734450</v>
      </c>
      <c r="G1051" s="250"/>
      <c r="H1051" s="250"/>
    </row>
    <row r="1052" spans="1:8">
      <c r="A1052" s="250" t="s">
        <v>5159</v>
      </c>
      <c r="B1052" s="250" t="s">
        <v>5160</v>
      </c>
      <c r="C1052" s="251"/>
      <c r="D1052" s="10"/>
      <c r="E1052" s="10"/>
      <c r="F1052" s="252">
        <v>3188017397</v>
      </c>
      <c r="G1052" s="250"/>
      <c r="H1052" s="250"/>
    </row>
    <row r="1053" spans="1:8">
      <c r="A1053" s="250" t="s">
        <v>5161</v>
      </c>
      <c r="B1053" s="250" t="s">
        <v>5162</v>
      </c>
      <c r="C1053" s="251">
        <v>532</v>
      </c>
      <c r="D1053" s="10" t="s">
        <v>5163</v>
      </c>
      <c r="E1053" s="10"/>
      <c r="F1053" s="252">
        <v>3016254437</v>
      </c>
      <c r="G1053" s="250"/>
      <c r="H1053" s="250"/>
    </row>
    <row r="1054" spans="1:8">
      <c r="A1054" s="250" t="s">
        <v>5164</v>
      </c>
      <c r="B1054" s="250" t="s">
        <v>5165</v>
      </c>
      <c r="C1054" s="251">
        <v>311</v>
      </c>
      <c r="D1054" s="10"/>
      <c r="E1054" s="10"/>
      <c r="F1054" s="252">
        <v>3012172696</v>
      </c>
      <c r="G1054" s="250"/>
      <c r="H1054" s="250"/>
    </row>
    <row r="1055" spans="1:8">
      <c r="A1055" s="250" t="s">
        <v>5166</v>
      </c>
      <c r="B1055" s="250" t="s">
        <v>5167</v>
      </c>
      <c r="C1055" s="251">
        <v>305</v>
      </c>
      <c r="D1055" s="10" t="s">
        <v>5168</v>
      </c>
      <c r="E1055" s="10"/>
      <c r="F1055" s="252">
        <v>3002760987</v>
      </c>
      <c r="G1055" s="250"/>
      <c r="H1055" s="250"/>
    </row>
    <row r="1056" spans="1:8">
      <c r="A1056" s="250" t="s">
        <v>5169</v>
      </c>
      <c r="B1056" s="250" t="s">
        <v>4786</v>
      </c>
      <c r="C1056" s="251">
        <v>607</v>
      </c>
      <c r="D1056" s="10" t="s">
        <v>3104</v>
      </c>
      <c r="E1056" s="10"/>
      <c r="F1056" s="252">
        <v>3106277670</v>
      </c>
      <c r="G1056" s="250"/>
      <c r="H1056" s="250"/>
    </row>
    <row r="1057" spans="1:8">
      <c r="A1057" s="250" t="s">
        <v>5170</v>
      </c>
      <c r="B1057" s="250" t="s">
        <v>5171</v>
      </c>
      <c r="C1057" s="251">
        <v>1101</v>
      </c>
      <c r="D1057" s="10" t="s">
        <v>2721</v>
      </c>
      <c r="E1057" s="10"/>
      <c r="F1057" s="252">
        <v>3115234738</v>
      </c>
      <c r="G1057" s="250"/>
      <c r="H1057" s="250"/>
    </row>
    <row r="1058" spans="1:8">
      <c r="A1058" s="250" t="s">
        <v>5172</v>
      </c>
      <c r="B1058" s="250" t="s">
        <v>5173</v>
      </c>
      <c r="C1058" s="251"/>
      <c r="D1058" s="10" t="s">
        <v>5174</v>
      </c>
      <c r="E1058" s="10"/>
      <c r="F1058" s="252">
        <v>3143095829</v>
      </c>
      <c r="G1058" s="250"/>
      <c r="H1058" s="250"/>
    </row>
    <row r="1059" spans="1:8">
      <c r="A1059" s="250" t="s">
        <v>5175</v>
      </c>
      <c r="B1059" s="250" t="s">
        <v>5176</v>
      </c>
      <c r="C1059" s="251">
        <v>505</v>
      </c>
      <c r="D1059" s="10" t="s">
        <v>5177</v>
      </c>
      <c r="E1059" s="10"/>
      <c r="F1059" s="252">
        <v>3008757767</v>
      </c>
      <c r="G1059" s="250"/>
      <c r="H1059" s="250"/>
    </row>
    <row r="1060" spans="1:8">
      <c r="A1060" s="250" t="s">
        <v>5178</v>
      </c>
      <c r="B1060" s="250" t="s">
        <v>5179</v>
      </c>
      <c r="C1060" s="251">
        <v>301</v>
      </c>
      <c r="D1060" s="10"/>
      <c r="E1060" s="10"/>
      <c r="F1060" s="252">
        <v>3015968866</v>
      </c>
      <c r="G1060" s="250"/>
      <c r="H1060" s="250"/>
    </row>
    <row r="1061" spans="1:8">
      <c r="A1061" s="250" t="s">
        <v>5180</v>
      </c>
      <c r="B1061" s="250" t="s">
        <v>5181</v>
      </c>
      <c r="C1061" s="251">
        <v>803</v>
      </c>
      <c r="D1061" s="10" t="s">
        <v>5182</v>
      </c>
      <c r="E1061" s="10"/>
      <c r="F1061" s="252">
        <v>3168318747</v>
      </c>
      <c r="G1061" s="250"/>
      <c r="H1061" s="250"/>
    </row>
    <row r="1062" spans="1:8">
      <c r="A1062" s="250" t="s">
        <v>5183</v>
      </c>
      <c r="B1062" s="250" t="s">
        <v>5184</v>
      </c>
      <c r="C1062" s="251">
        <v>702</v>
      </c>
      <c r="D1062" s="10"/>
      <c r="E1062" s="10"/>
      <c r="F1062" s="252">
        <v>3203336878</v>
      </c>
      <c r="G1062" s="250"/>
      <c r="H1062" s="250"/>
    </row>
    <row r="1063" spans="1:8">
      <c r="A1063" s="250" t="s">
        <v>5185</v>
      </c>
      <c r="B1063" s="250" t="s">
        <v>5186</v>
      </c>
      <c r="C1063" s="251" t="s">
        <v>5187</v>
      </c>
      <c r="D1063" s="10"/>
      <c r="E1063" s="10"/>
      <c r="F1063" s="252">
        <v>3157507499</v>
      </c>
      <c r="G1063" s="250"/>
      <c r="H1063" s="250"/>
    </row>
    <row r="1064" spans="1:8">
      <c r="A1064" s="250" t="s">
        <v>5188</v>
      </c>
      <c r="B1064" s="250" t="s">
        <v>5189</v>
      </c>
      <c r="C1064" s="251">
        <v>202</v>
      </c>
      <c r="D1064" s="10"/>
      <c r="E1064" s="10"/>
      <c r="F1064" s="252">
        <v>3204084062</v>
      </c>
      <c r="G1064" s="250"/>
      <c r="H1064" s="250"/>
    </row>
    <row r="1065" spans="1:8">
      <c r="A1065" s="250" t="s">
        <v>5190</v>
      </c>
      <c r="B1065" s="250" t="s">
        <v>5191</v>
      </c>
      <c r="C1065" s="251">
        <v>807</v>
      </c>
      <c r="D1065" s="10" t="s">
        <v>5192</v>
      </c>
      <c r="E1065" s="10"/>
      <c r="F1065" s="252">
        <v>3112370908</v>
      </c>
      <c r="G1065" s="250"/>
      <c r="H1065" s="250"/>
    </row>
    <row r="1066" spans="1:8">
      <c r="A1066" s="250" t="s">
        <v>5193</v>
      </c>
      <c r="B1066" s="250" t="s">
        <v>5194</v>
      </c>
      <c r="C1066" s="251">
        <v>1004</v>
      </c>
      <c r="D1066" s="10" t="s">
        <v>2721</v>
      </c>
      <c r="E1066" s="10"/>
      <c r="F1066" s="252">
        <v>3112337634</v>
      </c>
      <c r="G1066" s="250"/>
      <c r="H1066" s="250"/>
    </row>
    <row r="1067" spans="1:8">
      <c r="A1067" s="250" t="s">
        <v>5195</v>
      </c>
      <c r="B1067" s="250" t="s">
        <v>5196</v>
      </c>
      <c r="C1067" s="251">
        <v>405</v>
      </c>
      <c r="D1067" s="10"/>
      <c r="E1067" s="10"/>
      <c r="F1067" s="252">
        <v>3226834957</v>
      </c>
      <c r="G1067" s="250"/>
      <c r="H1067" s="250"/>
    </row>
    <row r="1068" spans="1:8">
      <c r="A1068" s="250" t="s">
        <v>5197</v>
      </c>
      <c r="B1068" s="250" t="s">
        <v>5198</v>
      </c>
      <c r="C1068" s="251">
        <v>701</v>
      </c>
      <c r="D1068" s="10"/>
      <c r="E1068" s="10"/>
      <c r="F1068" s="252">
        <v>3167037814</v>
      </c>
      <c r="G1068" s="250"/>
      <c r="H1068" s="250"/>
    </row>
    <row r="1069" spans="1:8">
      <c r="A1069" s="250" t="s">
        <v>5199</v>
      </c>
      <c r="B1069" s="250" t="s">
        <v>5200</v>
      </c>
      <c r="C1069" s="251"/>
      <c r="D1069" s="10"/>
      <c r="E1069" s="10"/>
      <c r="F1069" s="252">
        <v>51957084484</v>
      </c>
      <c r="G1069" s="250"/>
      <c r="H1069" s="250"/>
    </row>
    <row r="1070" spans="1:8">
      <c r="A1070" s="250" t="s">
        <v>5201</v>
      </c>
      <c r="B1070" s="250" t="s">
        <v>3947</v>
      </c>
      <c r="C1070" s="251">
        <v>702</v>
      </c>
      <c r="D1070" s="10" t="s">
        <v>5202</v>
      </c>
      <c r="E1070" s="10"/>
      <c r="F1070" s="252">
        <v>3173714176</v>
      </c>
      <c r="G1070" s="250"/>
      <c r="H1070" s="250"/>
    </row>
    <row r="1071" spans="1:8">
      <c r="A1071" s="250" t="s">
        <v>5203</v>
      </c>
      <c r="B1071" s="250" t="s">
        <v>5204</v>
      </c>
      <c r="C1071" s="251">
        <v>301</v>
      </c>
      <c r="D1071" s="10" t="s">
        <v>5205</v>
      </c>
      <c r="E1071" s="10"/>
      <c r="F1071" s="252">
        <v>3108771940</v>
      </c>
      <c r="G1071" s="250"/>
      <c r="H1071" s="250"/>
    </row>
    <row r="1072" spans="1:8">
      <c r="A1072" s="250" t="s">
        <v>5206</v>
      </c>
      <c r="B1072" s="250" t="s">
        <v>5207</v>
      </c>
      <c r="C1072" s="251">
        <v>701</v>
      </c>
      <c r="D1072" s="10"/>
      <c r="E1072" s="10"/>
      <c r="F1072" s="252">
        <v>3005911616</v>
      </c>
      <c r="G1072" s="250"/>
      <c r="H1072" s="250"/>
    </row>
    <row r="1073" spans="1:8">
      <c r="A1073" s="250" t="s">
        <v>5208</v>
      </c>
      <c r="B1073" s="250" t="s">
        <v>5209</v>
      </c>
      <c r="C1073" s="251">
        <v>402</v>
      </c>
      <c r="D1073" s="10"/>
      <c r="E1073" s="10"/>
      <c r="F1073" s="252">
        <v>3202589948</v>
      </c>
      <c r="G1073" s="250"/>
      <c r="H1073" s="250"/>
    </row>
    <row r="1074" spans="1:8">
      <c r="A1074" s="250" t="s">
        <v>5210</v>
      </c>
      <c r="B1074" s="250" t="s">
        <v>5211</v>
      </c>
      <c r="C1074" s="251">
        <v>702</v>
      </c>
      <c r="D1074" s="10" t="s">
        <v>5212</v>
      </c>
      <c r="E1074" s="10"/>
      <c r="F1074" s="252">
        <v>3212060488</v>
      </c>
      <c r="G1074" s="250"/>
      <c r="H1074" s="250"/>
    </row>
    <row r="1075" spans="1:8">
      <c r="A1075" s="250" t="s">
        <v>5213</v>
      </c>
      <c r="B1075" s="250" t="s">
        <v>5214</v>
      </c>
      <c r="C1075" s="251">
        <v>704</v>
      </c>
      <c r="D1075" s="10" t="s">
        <v>2789</v>
      </c>
      <c r="E1075" s="10"/>
      <c r="F1075" s="252">
        <v>3173675476</v>
      </c>
      <c r="G1075" s="250"/>
      <c r="H1075" s="250"/>
    </row>
    <row r="1076" spans="1:8">
      <c r="A1076" s="250" t="s">
        <v>5215</v>
      </c>
      <c r="B1076" s="250" t="s">
        <v>5216</v>
      </c>
      <c r="C1076" s="251">
        <v>303</v>
      </c>
      <c r="D1076" s="10" t="s">
        <v>5217</v>
      </c>
      <c r="E1076" s="10"/>
      <c r="F1076" s="252">
        <v>3174048667</v>
      </c>
      <c r="G1076" s="250"/>
      <c r="H1076" s="250"/>
    </row>
    <row r="1077" spans="1:8">
      <c r="A1077" s="250" t="s">
        <v>5218</v>
      </c>
      <c r="B1077" s="250" t="s">
        <v>5219</v>
      </c>
      <c r="C1077" s="251">
        <v>101</v>
      </c>
      <c r="D1077" s="10"/>
      <c r="E1077" s="10"/>
      <c r="F1077" s="252">
        <v>3163402587</v>
      </c>
      <c r="G1077" s="250"/>
      <c r="H1077" s="250"/>
    </row>
    <row r="1078" spans="1:8">
      <c r="A1078" s="250" t="s">
        <v>5220</v>
      </c>
      <c r="B1078" s="250" t="s">
        <v>5221</v>
      </c>
      <c r="C1078" s="251">
        <v>508</v>
      </c>
      <c r="D1078" s="10"/>
      <c r="E1078" s="10"/>
      <c r="F1078" s="252">
        <v>3102162932</v>
      </c>
      <c r="G1078" s="250"/>
      <c r="H1078" s="250"/>
    </row>
    <row r="1079" spans="1:8">
      <c r="A1079" s="250" t="s">
        <v>5222</v>
      </c>
      <c r="B1079" s="250" t="s">
        <v>5223</v>
      </c>
      <c r="C1079" s="251">
        <v>201</v>
      </c>
      <c r="D1079" s="10" t="s">
        <v>3463</v>
      </c>
      <c r="E1079" s="10"/>
      <c r="F1079" s="252">
        <v>3162741537</v>
      </c>
      <c r="G1079" s="250"/>
      <c r="H1079" s="250"/>
    </row>
    <row r="1080" spans="1:8">
      <c r="A1080" s="250" t="s">
        <v>5224</v>
      </c>
      <c r="B1080" s="250" t="s">
        <v>3151</v>
      </c>
      <c r="C1080" s="251">
        <v>405</v>
      </c>
      <c r="D1080" s="10" t="s">
        <v>2721</v>
      </c>
      <c r="E1080" s="10"/>
      <c r="F1080" s="252">
        <v>3016452453</v>
      </c>
      <c r="G1080" s="250"/>
      <c r="H1080" s="250"/>
    </row>
    <row r="1081" spans="1:8">
      <c r="A1081" s="250" t="s">
        <v>5225</v>
      </c>
      <c r="B1081" s="250" t="s">
        <v>5226</v>
      </c>
      <c r="C1081" s="251">
        <v>1108</v>
      </c>
      <c r="D1081" s="10"/>
      <c r="E1081" s="10"/>
      <c r="F1081" s="252">
        <v>3505953678</v>
      </c>
      <c r="G1081" s="250"/>
      <c r="H1081" s="250"/>
    </row>
    <row r="1082" spans="1:8">
      <c r="A1082" s="250" t="s">
        <v>5227</v>
      </c>
      <c r="B1082" s="250" t="s">
        <v>5228</v>
      </c>
      <c r="C1082" s="251">
        <v>820</v>
      </c>
      <c r="D1082" s="10" t="s">
        <v>5229</v>
      </c>
      <c r="E1082" s="10"/>
      <c r="F1082" s="252">
        <v>3014125167</v>
      </c>
      <c r="G1082" s="250"/>
      <c r="H1082" s="250"/>
    </row>
    <row r="1083" spans="1:8">
      <c r="A1083" s="250" t="s">
        <v>5230</v>
      </c>
      <c r="B1083" s="250" t="s">
        <v>5231</v>
      </c>
      <c r="C1083" s="251">
        <v>602</v>
      </c>
      <c r="D1083" s="10" t="s">
        <v>5232</v>
      </c>
      <c r="E1083" s="10"/>
      <c r="F1083" s="252">
        <v>3167024232</v>
      </c>
      <c r="G1083" s="250"/>
      <c r="H1083" s="250"/>
    </row>
    <row r="1084" spans="1:8">
      <c r="A1084" s="250" t="s">
        <v>5233</v>
      </c>
      <c r="B1084" s="250" t="s">
        <v>5234</v>
      </c>
      <c r="C1084" s="251"/>
      <c r="D1084" s="10"/>
      <c r="E1084" s="10"/>
      <c r="F1084" s="252">
        <v>3103205898</v>
      </c>
      <c r="G1084" s="250"/>
      <c r="H1084" s="250"/>
    </row>
    <row r="1085" spans="1:8">
      <c r="A1085" s="250" t="s">
        <v>5235</v>
      </c>
      <c r="B1085" s="250" t="s">
        <v>4524</v>
      </c>
      <c r="C1085" s="251">
        <v>203</v>
      </c>
      <c r="D1085" s="10" t="s">
        <v>5236</v>
      </c>
      <c r="E1085" s="10"/>
      <c r="F1085" s="252">
        <v>3146795657</v>
      </c>
      <c r="G1085" s="250"/>
      <c r="H1085" s="250"/>
    </row>
    <row r="1086" spans="1:8">
      <c r="A1086" s="250" t="s">
        <v>5237</v>
      </c>
      <c r="B1086" s="250" t="s">
        <v>5238</v>
      </c>
      <c r="C1086" s="251">
        <v>402</v>
      </c>
      <c r="D1086" s="10"/>
      <c r="E1086" s="10"/>
      <c r="F1086" s="252">
        <v>3105748377</v>
      </c>
      <c r="G1086" s="250"/>
      <c r="H1086" s="250"/>
    </row>
    <row r="1087" spans="1:8">
      <c r="A1087" s="250" t="s">
        <v>5239</v>
      </c>
      <c r="B1087" s="250" t="s">
        <v>5240</v>
      </c>
      <c r="C1087" s="251">
        <v>305</v>
      </c>
      <c r="D1087" s="10" t="s">
        <v>5241</v>
      </c>
      <c r="E1087" s="10"/>
      <c r="F1087" s="252">
        <v>3219137115</v>
      </c>
      <c r="G1087" s="250"/>
      <c r="H1087" s="250"/>
    </row>
    <row r="1088" spans="1:8">
      <c r="A1088" s="250" t="s">
        <v>5242</v>
      </c>
      <c r="B1088" s="250" t="s">
        <v>5243</v>
      </c>
      <c r="C1088" s="251">
        <v>507</v>
      </c>
      <c r="D1088" s="10"/>
      <c r="E1088" s="10"/>
      <c r="F1088" s="252">
        <v>3188659545</v>
      </c>
      <c r="G1088" s="250"/>
      <c r="H1088" s="250"/>
    </row>
    <row r="1089" spans="1:8">
      <c r="A1089" s="250" t="s">
        <v>5244</v>
      </c>
      <c r="B1089" s="250" t="s">
        <v>5245</v>
      </c>
      <c r="C1089" s="251">
        <v>503</v>
      </c>
      <c r="D1089" s="10" t="s">
        <v>5246</v>
      </c>
      <c r="E1089" s="10"/>
      <c r="F1089" s="252">
        <v>3154795962</v>
      </c>
      <c r="G1089" s="250"/>
      <c r="H1089" s="250"/>
    </row>
    <row r="1090" spans="1:8">
      <c r="A1090" s="250" t="s">
        <v>5247</v>
      </c>
      <c r="B1090" s="250" t="s">
        <v>5248</v>
      </c>
      <c r="C1090" s="251">
        <v>301</v>
      </c>
      <c r="D1090" s="10"/>
      <c r="E1090" s="10"/>
      <c r="F1090" s="252">
        <v>3112303795</v>
      </c>
      <c r="G1090" s="250"/>
      <c r="H1090" s="250"/>
    </row>
    <row r="1091" spans="1:8">
      <c r="A1091" s="250" t="s">
        <v>5249</v>
      </c>
      <c r="B1091" s="250" t="s">
        <v>5250</v>
      </c>
      <c r="C1091" s="251">
        <v>1107</v>
      </c>
      <c r="D1091" s="10" t="s">
        <v>5251</v>
      </c>
      <c r="E1091" s="10"/>
      <c r="F1091" s="252">
        <v>3194898475</v>
      </c>
      <c r="G1091" s="250"/>
      <c r="H1091" s="250"/>
    </row>
    <row r="1092" spans="1:8">
      <c r="A1092" s="250" t="s">
        <v>5252</v>
      </c>
      <c r="B1092" s="250" t="s">
        <v>4922</v>
      </c>
      <c r="C1092" s="251">
        <v>402</v>
      </c>
      <c r="D1092" s="10" t="s">
        <v>5253</v>
      </c>
      <c r="E1092" s="10"/>
      <c r="F1092" s="252">
        <v>3204998804</v>
      </c>
      <c r="G1092" s="250"/>
      <c r="H1092" s="250"/>
    </row>
    <row r="1093" spans="1:8">
      <c r="A1093" s="250" t="s">
        <v>5254</v>
      </c>
      <c r="B1093" s="250" t="s">
        <v>5255</v>
      </c>
      <c r="C1093" s="251">
        <v>204</v>
      </c>
      <c r="D1093" s="10"/>
      <c r="E1093" s="10"/>
      <c r="F1093" s="252">
        <v>3014257701</v>
      </c>
      <c r="G1093" s="250"/>
      <c r="H1093" s="250"/>
    </row>
    <row r="1094" spans="1:8">
      <c r="A1094" s="250" t="s">
        <v>5256</v>
      </c>
      <c r="B1094" s="250" t="s">
        <v>5257</v>
      </c>
      <c r="C1094" s="251">
        <v>202</v>
      </c>
      <c r="D1094" s="10" t="s">
        <v>5258</v>
      </c>
      <c r="E1094" s="10"/>
      <c r="F1094" s="252">
        <v>3176677973</v>
      </c>
      <c r="G1094" s="250"/>
      <c r="H1094" s="250"/>
    </row>
    <row r="1095" spans="1:8">
      <c r="A1095" s="250" t="s">
        <v>5259</v>
      </c>
      <c r="B1095" s="250" t="s">
        <v>5260</v>
      </c>
      <c r="C1095" s="251">
        <v>905</v>
      </c>
      <c r="D1095" s="10" t="s">
        <v>5261</v>
      </c>
      <c r="E1095" s="10"/>
      <c r="F1095" s="252">
        <v>3112811771</v>
      </c>
      <c r="G1095" s="250"/>
      <c r="H1095" s="250"/>
    </row>
    <row r="1096" spans="1:8">
      <c r="A1096" s="250" t="s">
        <v>5262</v>
      </c>
      <c r="B1096" s="250" t="s">
        <v>5263</v>
      </c>
      <c r="C1096" s="251">
        <v>601</v>
      </c>
      <c r="D1096" s="10" t="s">
        <v>5264</v>
      </c>
      <c r="E1096" s="10"/>
      <c r="F1096" s="252">
        <v>3208383273</v>
      </c>
      <c r="G1096" s="250"/>
      <c r="H1096" s="250"/>
    </row>
    <row r="1097" spans="1:8">
      <c r="A1097" s="250" t="s">
        <v>5265</v>
      </c>
      <c r="B1097" s="250" t="s">
        <v>5266</v>
      </c>
      <c r="C1097" s="251">
        <v>204</v>
      </c>
      <c r="D1097" s="10" t="s">
        <v>5267</v>
      </c>
      <c r="E1097" s="10"/>
      <c r="F1097" s="252">
        <v>3105537869</v>
      </c>
      <c r="G1097" s="250"/>
      <c r="H1097" s="250"/>
    </row>
    <row r="1098" spans="1:8">
      <c r="A1098" s="250" t="s">
        <v>5268</v>
      </c>
      <c r="B1098" s="250" t="s">
        <v>5269</v>
      </c>
      <c r="C1098" s="251">
        <v>302</v>
      </c>
      <c r="D1098" s="10" t="s">
        <v>5270</v>
      </c>
      <c r="E1098" s="10"/>
      <c r="F1098" s="252">
        <v>3103223468</v>
      </c>
      <c r="G1098" s="250"/>
      <c r="H1098" s="250"/>
    </row>
    <row r="1099" spans="1:8">
      <c r="A1099" s="250" t="s">
        <v>5271</v>
      </c>
      <c r="B1099" s="250" t="s">
        <v>5272</v>
      </c>
      <c r="C1099" s="251">
        <v>402</v>
      </c>
      <c r="D1099" s="10" t="s">
        <v>5273</v>
      </c>
      <c r="E1099" s="10"/>
      <c r="F1099" s="252">
        <v>3124560720</v>
      </c>
      <c r="G1099" s="250"/>
      <c r="H1099" s="250"/>
    </row>
    <row r="1100" spans="1:8">
      <c r="A1100" s="250" t="s">
        <v>5274</v>
      </c>
      <c r="B1100" s="250" t="s">
        <v>5275</v>
      </c>
      <c r="C1100" s="251">
        <v>402</v>
      </c>
      <c r="D1100" s="10" t="s">
        <v>5276</v>
      </c>
      <c r="E1100" s="10"/>
      <c r="F1100" s="252">
        <v>3175005196</v>
      </c>
      <c r="G1100" s="250"/>
      <c r="H1100" s="250"/>
    </row>
    <row r="1101" spans="1:8">
      <c r="A1101" s="250" t="s">
        <v>5277</v>
      </c>
      <c r="B1101" s="250" t="s">
        <v>5278</v>
      </c>
      <c r="C1101" s="251">
        <v>103</v>
      </c>
      <c r="D1101" s="10" t="s">
        <v>5279</v>
      </c>
      <c r="E1101" s="10"/>
      <c r="F1101" s="252">
        <v>3108106290</v>
      </c>
      <c r="G1101" s="250"/>
      <c r="H1101" s="250"/>
    </row>
    <row r="1102" spans="1:8">
      <c r="A1102" s="250" t="s">
        <v>5280</v>
      </c>
      <c r="B1102" s="250" t="s">
        <v>5281</v>
      </c>
      <c r="C1102" s="251">
        <v>204</v>
      </c>
      <c r="D1102" s="10"/>
      <c r="E1102" s="10"/>
      <c r="F1102" s="252">
        <v>3193852568</v>
      </c>
      <c r="G1102" s="250"/>
      <c r="H1102" s="250"/>
    </row>
    <row r="1104" spans="1:8">
      <c r="A1104" s="250" t="s">
        <v>5282</v>
      </c>
      <c r="B1104" s="250" t="s">
        <v>5283</v>
      </c>
      <c r="C1104" s="251">
        <v>601</v>
      </c>
      <c r="D1104" s="10" t="s">
        <v>5284</v>
      </c>
      <c r="E1104" s="10"/>
      <c r="F1104" s="252">
        <v>3156582041</v>
      </c>
      <c r="G1104" s="250"/>
      <c r="H1104" s="250"/>
    </row>
    <row r="1105" spans="1:8">
      <c r="A1105" s="250" t="s">
        <v>5285</v>
      </c>
      <c r="B1105" s="250" t="s">
        <v>5286</v>
      </c>
      <c r="C1105" s="251">
        <v>506</v>
      </c>
      <c r="D1105" s="10" t="s">
        <v>5287</v>
      </c>
      <c r="E1105" s="10"/>
      <c r="F1105" s="252">
        <v>3105774542</v>
      </c>
      <c r="G1105" s="250"/>
      <c r="H1105" s="250"/>
    </row>
    <row r="1106" spans="1:8">
      <c r="A1106" s="250" t="s">
        <v>5288</v>
      </c>
      <c r="B1106" s="250" t="s">
        <v>5289</v>
      </c>
      <c r="C1106" s="251">
        <v>302</v>
      </c>
      <c r="D1106" s="10" t="s">
        <v>5290</v>
      </c>
      <c r="E1106" s="10"/>
      <c r="F1106" s="252">
        <v>3123000530</v>
      </c>
      <c r="G1106" s="250"/>
      <c r="H1106" s="250"/>
    </row>
    <row r="1107" spans="1:8">
      <c r="A1107" s="250" t="s">
        <v>5291</v>
      </c>
      <c r="B1107" s="250" t="s">
        <v>5292</v>
      </c>
      <c r="C1107" s="251">
        <v>401</v>
      </c>
      <c r="D1107" s="10"/>
      <c r="E1107" s="10"/>
      <c r="F1107" s="252">
        <v>3146788592</v>
      </c>
      <c r="G1107" s="250"/>
      <c r="H1107" s="250"/>
    </row>
    <row r="1108" spans="1:8">
      <c r="A1108" s="250" t="s">
        <v>5293</v>
      </c>
      <c r="B1108" s="250" t="s">
        <v>5294</v>
      </c>
      <c r="C1108" s="251">
        <v>405</v>
      </c>
      <c r="D1108" s="10" t="s">
        <v>5295</v>
      </c>
      <c r="E1108" s="10"/>
      <c r="F1108" s="252">
        <v>3202293373</v>
      </c>
      <c r="G1108" s="250"/>
      <c r="H1108" s="250"/>
    </row>
    <row r="1109" spans="1:8">
      <c r="A1109" s="250" t="s">
        <v>5296</v>
      </c>
      <c r="B1109" s="250" t="s">
        <v>5297</v>
      </c>
      <c r="C1109" s="251"/>
      <c r="D1109" s="10"/>
      <c r="E1109" s="10"/>
      <c r="F1109" s="252">
        <v>3132107565</v>
      </c>
      <c r="G1109" s="250"/>
      <c r="H1109" s="250"/>
    </row>
    <row r="1110" spans="1:8">
      <c r="A1110" s="250" t="s">
        <v>5298</v>
      </c>
      <c r="B1110" s="250" t="s">
        <v>5299</v>
      </c>
      <c r="C1110" s="251"/>
      <c r="D1110" s="10" t="s">
        <v>5300</v>
      </c>
      <c r="E1110" s="10"/>
      <c r="F1110" s="252">
        <v>3146167605</v>
      </c>
      <c r="G1110" s="250"/>
      <c r="H1110" s="250"/>
    </row>
    <row r="1111" spans="1:8">
      <c r="A1111" s="250" t="s">
        <v>5301</v>
      </c>
      <c r="B1111" s="250" t="s">
        <v>5302</v>
      </c>
      <c r="C1111" s="251">
        <v>303</v>
      </c>
      <c r="D1111" s="10" t="s">
        <v>5303</v>
      </c>
      <c r="E1111" s="10"/>
      <c r="F1111" s="252">
        <v>3112394935</v>
      </c>
      <c r="G1111" s="250"/>
      <c r="H1111" s="250"/>
    </row>
    <row r="1112" spans="1:8">
      <c r="A1112" s="250" t="s">
        <v>5304</v>
      </c>
      <c r="B1112" s="250" t="s">
        <v>5305</v>
      </c>
      <c r="C1112" s="251">
        <v>107</v>
      </c>
      <c r="D1112" s="10" t="s">
        <v>3808</v>
      </c>
      <c r="E1112" s="10"/>
      <c r="F1112" s="252">
        <v>3118038387</v>
      </c>
      <c r="G1112" s="250"/>
      <c r="H1112" s="250"/>
    </row>
    <row r="1113" spans="1:8">
      <c r="A1113" s="250" t="s">
        <v>5306</v>
      </c>
      <c r="B1113" s="250" t="s">
        <v>5307</v>
      </c>
      <c r="C1113" s="251" t="s">
        <v>3822</v>
      </c>
      <c r="D1113" s="10" t="s">
        <v>5308</v>
      </c>
      <c r="E1113" s="10"/>
      <c r="F1113" s="252">
        <v>3118881156</v>
      </c>
      <c r="G1113" s="250"/>
      <c r="H1113" s="250"/>
    </row>
    <row r="1114" spans="1:8">
      <c r="A1114" s="250" t="s">
        <v>5309</v>
      </c>
      <c r="B1114" s="13" t="s">
        <v>5310</v>
      </c>
      <c r="C1114" s="251">
        <v>303</v>
      </c>
      <c r="D1114" s="10" t="s">
        <v>3639</v>
      </c>
      <c r="E1114" s="10" t="s">
        <v>5311</v>
      </c>
      <c r="F1114" s="252">
        <v>3107502753</v>
      </c>
      <c r="G1114" s="250"/>
      <c r="H1114" s="250"/>
    </row>
    <row r="1115" spans="1:8">
      <c r="A1115" s="250" t="s">
        <v>5312</v>
      </c>
      <c r="B1115" s="250" t="s">
        <v>5313</v>
      </c>
      <c r="C1115" s="251">
        <v>806</v>
      </c>
      <c r="D1115" s="10" t="s">
        <v>5314</v>
      </c>
      <c r="E1115" s="10"/>
      <c r="F1115" s="252">
        <v>3114973173</v>
      </c>
      <c r="G1115" s="250"/>
      <c r="H1115" s="250"/>
    </row>
    <row r="1116" spans="1:8">
      <c r="A1116" s="250" t="s">
        <v>5315</v>
      </c>
      <c r="B1116" s="250" t="s">
        <v>5316</v>
      </c>
      <c r="C1116" s="251">
        <v>101</v>
      </c>
      <c r="D1116" s="10" t="s">
        <v>5317</v>
      </c>
      <c r="E1116" s="10"/>
      <c r="F1116" s="252">
        <v>3156932797</v>
      </c>
      <c r="G1116" s="250"/>
      <c r="H1116" s="250"/>
    </row>
    <row r="1117" spans="1:8">
      <c r="A1117" s="250" t="s">
        <v>5318</v>
      </c>
      <c r="B1117" s="250" t="s">
        <v>5319</v>
      </c>
      <c r="C1117" s="251">
        <v>507</v>
      </c>
      <c r="D1117" s="10" t="s">
        <v>5320</v>
      </c>
      <c r="E1117" s="10"/>
      <c r="F1117" s="252">
        <v>3164048460</v>
      </c>
      <c r="G1117" s="250"/>
      <c r="H1117" s="250"/>
    </row>
    <row r="1118" spans="1:8">
      <c r="A1118" s="250" t="s">
        <v>5321</v>
      </c>
      <c r="B1118" s="250" t="s">
        <v>5322</v>
      </c>
      <c r="C1118" s="251" t="s">
        <v>5323</v>
      </c>
      <c r="D1118" s="10"/>
      <c r="E1118" s="10"/>
      <c r="F1118" s="252">
        <v>3208384556</v>
      </c>
      <c r="G1118" s="250"/>
      <c r="H1118" s="250"/>
    </row>
    <row r="1119" spans="1:8">
      <c r="A1119" s="250" t="s">
        <v>5324</v>
      </c>
      <c r="B1119" s="250" t="s">
        <v>5325</v>
      </c>
      <c r="C1119" s="251">
        <v>201</v>
      </c>
      <c r="D1119" s="10" t="s">
        <v>5326</v>
      </c>
      <c r="E1119" s="10"/>
      <c r="F1119" s="252">
        <v>3174039098</v>
      </c>
      <c r="G1119" s="250"/>
      <c r="H1119" s="250"/>
    </row>
    <row r="1120" spans="1:8">
      <c r="A1120" s="250" t="s">
        <v>5327</v>
      </c>
      <c r="B1120" s="250" t="s">
        <v>5328</v>
      </c>
      <c r="C1120" s="251">
        <v>1302</v>
      </c>
      <c r="D1120" s="10" t="s">
        <v>3808</v>
      </c>
      <c r="E1120" s="10"/>
      <c r="F1120" s="252">
        <v>3153351767</v>
      </c>
      <c r="G1120" s="250"/>
      <c r="H1120" s="250"/>
    </row>
    <row r="1121" spans="1:8">
      <c r="A1121" s="250" t="s">
        <v>5329</v>
      </c>
      <c r="B1121" s="250" t="s">
        <v>5330</v>
      </c>
      <c r="C1121" s="251">
        <v>501</v>
      </c>
      <c r="D1121" s="10" t="s">
        <v>5331</v>
      </c>
      <c r="E1121" s="10"/>
      <c r="F1121" s="252">
        <v>3156030334</v>
      </c>
      <c r="G1121" s="250"/>
      <c r="H1121" s="250"/>
    </row>
    <row r="1122" spans="1:8">
      <c r="A1122" s="250" t="s">
        <v>5332</v>
      </c>
      <c r="B1122" s="250" t="s">
        <v>5333</v>
      </c>
      <c r="C1122" s="251">
        <v>803</v>
      </c>
      <c r="D1122" s="10" t="s">
        <v>5334</v>
      </c>
      <c r="E1122" s="10"/>
      <c r="F1122" s="252">
        <v>3163217128</v>
      </c>
      <c r="G1122" s="250"/>
      <c r="H1122" s="250"/>
    </row>
    <row r="1123" spans="1:8">
      <c r="A1123" s="250" t="s">
        <v>5335</v>
      </c>
      <c r="B1123" s="250" t="s">
        <v>5336</v>
      </c>
      <c r="C1123" s="251">
        <v>332</v>
      </c>
      <c r="D1123" s="10" t="s">
        <v>5337</v>
      </c>
      <c r="E1123" s="10"/>
      <c r="F1123" s="252">
        <v>3124856314</v>
      </c>
      <c r="G1123" s="250"/>
      <c r="H1123" s="250"/>
    </row>
    <row r="1124" spans="1:8">
      <c r="A1124" s="250" t="s">
        <v>5338</v>
      </c>
      <c r="B1124" s="250" t="s">
        <v>5339</v>
      </c>
      <c r="C1124" s="251">
        <v>205</v>
      </c>
      <c r="D1124" s="10"/>
      <c r="E1124" s="10"/>
      <c r="F1124" s="252">
        <v>3005693089</v>
      </c>
      <c r="G1124" s="250"/>
      <c r="H1124" s="250"/>
    </row>
    <row r="1125" spans="1:8">
      <c r="A1125" s="250" t="s">
        <v>5340</v>
      </c>
      <c r="B1125" s="250" t="s">
        <v>5341</v>
      </c>
      <c r="C1125" s="251">
        <v>1806</v>
      </c>
      <c r="D1125" s="10"/>
      <c r="E1125" s="10"/>
      <c r="F1125" s="252">
        <v>3058124056</v>
      </c>
      <c r="G1125" s="250"/>
      <c r="H1125" s="250"/>
    </row>
    <row r="1126" spans="1:8">
      <c r="A1126" s="250" t="s">
        <v>5342</v>
      </c>
      <c r="B1126" s="250" t="s">
        <v>5343</v>
      </c>
      <c r="C1126" s="251">
        <v>103</v>
      </c>
      <c r="D1126" s="10" t="s">
        <v>5344</v>
      </c>
      <c r="E1126" s="10"/>
      <c r="F1126" s="252">
        <v>3104804518</v>
      </c>
      <c r="G1126" s="250"/>
      <c r="H1126" s="250"/>
    </row>
    <row r="1127" spans="1:8">
      <c r="A1127" s="250" t="s">
        <v>5345</v>
      </c>
      <c r="B1127" s="250" t="s">
        <v>4914</v>
      </c>
      <c r="C1127" s="251" t="s">
        <v>3007</v>
      </c>
      <c r="D1127" s="10" t="s">
        <v>5346</v>
      </c>
      <c r="E1127" s="10"/>
      <c r="F1127" s="252">
        <v>3143597321</v>
      </c>
      <c r="G1127" s="250"/>
      <c r="H1127" s="250"/>
    </row>
    <row r="1128" spans="1:8">
      <c r="A1128" s="250" t="s">
        <v>5347</v>
      </c>
      <c r="B1128" s="250" t="s">
        <v>5348</v>
      </c>
      <c r="C1128" s="251">
        <v>204</v>
      </c>
      <c r="D1128" s="10"/>
      <c r="E1128" s="10"/>
      <c r="F1128" s="252">
        <v>3124571703</v>
      </c>
      <c r="G1128" s="250"/>
      <c r="H1128" s="250"/>
    </row>
    <row r="1129" spans="1:8">
      <c r="A1129" s="250" t="s">
        <v>5349</v>
      </c>
      <c r="B1129" s="250" t="s">
        <v>5350</v>
      </c>
      <c r="C1129" s="251">
        <v>705</v>
      </c>
      <c r="D1129" s="10" t="s">
        <v>5351</v>
      </c>
      <c r="E1129" s="10"/>
      <c r="F1129" s="252">
        <v>3102722157</v>
      </c>
      <c r="G1129" s="250"/>
      <c r="H1129" s="250"/>
    </row>
    <row r="1130" spans="1:8">
      <c r="A1130" s="250" t="s">
        <v>5352</v>
      </c>
      <c r="B1130" s="250" t="s">
        <v>5353</v>
      </c>
      <c r="C1130" s="251">
        <v>201</v>
      </c>
      <c r="D1130" s="10" t="s">
        <v>3752</v>
      </c>
      <c r="E1130" s="10"/>
      <c r="F1130" s="252">
        <v>3003731780</v>
      </c>
      <c r="G1130" s="250"/>
      <c r="H1130" s="250"/>
    </row>
    <row r="1131" spans="1:8">
      <c r="A1131" s="250" t="s">
        <v>5354</v>
      </c>
      <c r="B1131" s="250" t="s">
        <v>3524</v>
      </c>
      <c r="C1131" s="251">
        <v>606</v>
      </c>
      <c r="D1131" s="10"/>
      <c r="E1131" s="10"/>
      <c r="F1131" s="252">
        <v>3114910941</v>
      </c>
      <c r="G1131" s="250"/>
      <c r="H1131" s="250"/>
    </row>
    <row r="1132" spans="1:8">
      <c r="A1132" s="250" t="s">
        <v>5355</v>
      </c>
      <c r="B1132" s="250" t="s">
        <v>5356</v>
      </c>
      <c r="C1132" s="251">
        <v>503</v>
      </c>
      <c r="D1132" s="10"/>
      <c r="E1132" s="10"/>
      <c r="F1132" s="252">
        <v>3124813210</v>
      </c>
      <c r="G1132" s="250"/>
      <c r="H1132" s="250"/>
    </row>
    <row r="1133" spans="1:8">
      <c r="A1133" s="250" t="s">
        <v>706</v>
      </c>
      <c r="B1133" s="250" t="s">
        <v>5357</v>
      </c>
      <c r="C1133" s="251">
        <v>402</v>
      </c>
      <c r="D1133" s="10" t="s">
        <v>5358</v>
      </c>
      <c r="E1133" s="10"/>
      <c r="F1133" s="252">
        <v>3203401543</v>
      </c>
      <c r="G1133" s="250"/>
      <c r="H1133" s="250"/>
    </row>
    <row r="1134" spans="1:8">
      <c r="A1134" s="250" t="s">
        <v>5359</v>
      </c>
      <c r="B1134" s="250" t="s">
        <v>5360</v>
      </c>
      <c r="C1134" s="251">
        <v>407</v>
      </c>
      <c r="D1134" s="10" t="s">
        <v>5361</v>
      </c>
      <c r="E1134" s="10" t="s">
        <v>5362</v>
      </c>
      <c r="F1134" s="252">
        <v>3214847074</v>
      </c>
      <c r="G1134" s="250"/>
      <c r="H1134" s="250"/>
    </row>
    <row r="1135" spans="1:8">
      <c r="A1135" s="250" t="s">
        <v>5363</v>
      </c>
      <c r="B1135" s="250" t="s">
        <v>5364</v>
      </c>
      <c r="C1135" s="251"/>
      <c r="D1135" s="10" t="s">
        <v>5365</v>
      </c>
      <c r="E1135" s="10"/>
      <c r="F1135" s="252">
        <v>3185781261</v>
      </c>
      <c r="G1135" s="250"/>
      <c r="H1135" s="250"/>
    </row>
    <row r="1136" spans="1:8">
      <c r="A1136" s="250" t="s">
        <v>5366</v>
      </c>
      <c r="B1136" s="250" t="s">
        <v>5367</v>
      </c>
      <c r="C1136" s="251" t="s">
        <v>4958</v>
      </c>
      <c r="D1136" s="10" t="s">
        <v>5368</v>
      </c>
      <c r="E1136" s="10"/>
      <c r="F1136" s="252">
        <v>3125861777</v>
      </c>
      <c r="G1136" s="250"/>
      <c r="H1136" s="250"/>
    </row>
    <row r="1137" spans="1:8">
      <c r="A1137" s="250" t="s">
        <v>5369</v>
      </c>
      <c r="B1137" s="250" t="s">
        <v>5370</v>
      </c>
      <c r="C1137" s="251">
        <v>301</v>
      </c>
      <c r="D1137" s="10"/>
      <c r="E1137" s="10"/>
      <c r="F1137" s="252">
        <v>3188686761</v>
      </c>
      <c r="G1137" s="250"/>
      <c r="H1137" s="250"/>
    </row>
    <row r="1138" spans="1:8">
      <c r="A1138" s="250" t="s">
        <v>5371</v>
      </c>
      <c r="B1138" s="250" t="s">
        <v>5372</v>
      </c>
      <c r="C1138" s="251">
        <v>409</v>
      </c>
      <c r="D1138" s="10"/>
      <c r="E1138" s="10"/>
      <c r="F1138" s="252">
        <v>3107018240</v>
      </c>
      <c r="G1138" s="250"/>
      <c r="H1138" s="250"/>
    </row>
    <row r="1139" spans="1:8">
      <c r="A1139" s="250" t="s">
        <v>4426</v>
      </c>
      <c r="B1139" s="250" t="s">
        <v>5373</v>
      </c>
      <c r="C1139" s="251">
        <v>505</v>
      </c>
      <c r="D1139" s="10"/>
      <c r="E1139" s="10"/>
      <c r="F1139" s="252">
        <v>3153445043</v>
      </c>
      <c r="G1139" s="250"/>
      <c r="H1139" s="250"/>
    </row>
    <row r="1140" spans="1:8">
      <c r="A1140" s="250" t="s">
        <v>5374</v>
      </c>
      <c r="B1140" s="250" t="s">
        <v>5375</v>
      </c>
      <c r="C1140" s="251">
        <v>403</v>
      </c>
      <c r="D1140" s="10"/>
      <c r="E1140" s="10"/>
      <c r="F1140" s="252">
        <v>3208085105</v>
      </c>
      <c r="G1140" s="250"/>
      <c r="H1140" s="250"/>
    </row>
    <row r="1141" spans="1:8">
      <c r="A1141" s="250" t="s">
        <v>5376</v>
      </c>
      <c r="B1141" s="250" t="s">
        <v>5377</v>
      </c>
      <c r="C1141" s="268">
        <v>202</v>
      </c>
      <c r="D1141" s="10"/>
      <c r="E1141" s="10"/>
      <c r="F1141" s="252">
        <v>3502013705</v>
      </c>
      <c r="G1141" s="250"/>
      <c r="H1141" s="250"/>
    </row>
    <row r="1142" spans="1:8">
      <c r="A1142" s="250" t="s">
        <v>5378</v>
      </c>
      <c r="B1142" s="250" t="s">
        <v>5379</v>
      </c>
      <c r="C1142" s="251">
        <v>1403</v>
      </c>
      <c r="D1142" s="10" t="s">
        <v>4849</v>
      </c>
      <c r="E1142" s="10"/>
      <c r="F1142" s="252">
        <v>3183508137</v>
      </c>
      <c r="G1142" s="250"/>
      <c r="H1142" s="250"/>
    </row>
    <row r="1143" spans="1:8">
      <c r="A1143" s="250" t="s">
        <v>5380</v>
      </c>
      <c r="B1143" s="250" t="s">
        <v>5381</v>
      </c>
      <c r="C1143" s="251" t="s">
        <v>5382</v>
      </c>
      <c r="D1143" s="10" t="s">
        <v>5383</v>
      </c>
      <c r="E1143" s="10"/>
      <c r="F1143" s="252">
        <v>3112925964</v>
      </c>
      <c r="G1143" s="250"/>
      <c r="H1143" s="250"/>
    </row>
    <row r="1144" spans="1:8">
      <c r="A1144" s="250" t="s">
        <v>5384</v>
      </c>
      <c r="B1144" s="250" t="s">
        <v>5385</v>
      </c>
      <c r="C1144" s="251">
        <v>902</v>
      </c>
      <c r="D1144" s="10" t="s">
        <v>2721</v>
      </c>
      <c r="E1144" s="10"/>
      <c r="F1144" s="252">
        <v>3185356779</v>
      </c>
      <c r="G1144" s="250"/>
      <c r="H1144" s="250"/>
    </row>
    <row r="1145" spans="1:8">
      <c r="A1145" s="250" t="s">
        <v>5386</v>
      </c>
      <c r="B1145" s="250" t="s">
        <v>5387</v>
      </c>
      <c r="C1145" s="251">
        <v>205</v>
      </c>
      <c r="D1145" s="10"/>
      <c r="E1145" s="250" t="s">
        <v>5388</v>
      </c>
      <c r="F1145" s="252">
        <v>3105699265</v>
      </c>
      <c r="G1145" s="250"/>
      <c r="H1145" s="250"/>
    </row>
    <row r="1146" spans="1:8">
      <c r="A1146" s="250" t="s">
        <v>5389</v>
      </c>
      <c r="B1146" s="250" t="s">
        <v>5390</v>
      </c>
      <c r="C1146" s="251">
        <v>608</v>
      </c>
      <c r="D1146" s="10" t="s">
        <v>5391</v>
      </c>
      <c r="E1146" s="10"/>
      <c r="F1146" s="252">
        <v>3012566147</v>
      </c>
      <c r="G1146" s="250"/>
      <c r="H1146" s="250"/>
    </row>
    <row r="1147" spans="1:8">
      <c r="A1147" s="250" t="s">
        <v>5392</v>
      </c>
      <c r="B1147" s="250" t="s">
        <v>5393</v>
      </c>
      <c r="C1147" s="251">
        <v>1003</v>
      </c>
      <c r="D1147" s="10" t="s">
        <v>5394</v>
      </c>
      <c r="E1147" s="10"/>
      <c r="F1147" s="252">
        <v>3212413561</v>
      </c>
      <c r="G1147" s="250"/>
      <c r="H1147" s="250"/>
    </row>
    <row r="1148" spans="1:8">
      <c r="A1148" s="250" t="s">
        <v>5395</v>
      </c>
      <c r="B1148" s="250" t="s">
        <v>5396</v>
      </c>
      <c r="C1148" s="251">
        <v>402</v>
      </c>
      <c r="D1148" s="10"/>
      <c r="E1148" s="10"/>
      <c r="F1148" s="252">
        <v>3004026650</v>
      </c>
      <c r="G1148" s="250"/>
      <c r="H1148" s="250"/>
    </row>
    <row r="1149" spans="1:8">
      <c r="A1149" s="250" t="s">
        <v>5397</v>
      </c>
      <c r="B1149" s="250" t="s">
        <v>5398</v>
      </c>
      <c r="C1149" s="251" t="s">
        <v>5399</v>
      </c>
      <c r="D1149" s="10" t="s">
        <v>5400</v>
      </c>
      <c r="E1149" s="10"/>
      <c r="F1149" s="252">
        <v>3043309303</v>
      </c>
      <c r="G1149" s="250"/>
      <c r="H1149" s="250"/>
    </row>
    <row r="1150" spans="1:8">
      <c r="A1150" s="250" t="s">
        <v>5401</v>
      </c>
      <c r="B1150" s="250" t="s">
        <v>5402</v>
      </c>
      <c r="C1150" s="251"/>
      <c r="D1150" s="10"/>
      <c r="E1150" s="10"/>
      <c r="F1150" s="252">
        <v>3102228498</v>
      </c>
      <c r="G1150" s="250"/>
      <c r="H1150" s="250"/>
    </row>
    <row r="1151" spans="1:8">
      <c r="A1151" s="250" t="s">
        <v>5403</v>
      </c>
      <c r="B1151" s="250" t="s">
        <v>5404</v>
      </c>
      <c r="C1151" s="251" t="s">
        <v>2982</v>
      </c>
      <c r="D1151" s="10"/>
      <c r="E1151" s="10"/>
      <c r="F1151" s="252">
        <v>3162333159</v>
      </c>
      <c r="G1151" s="250"/>
      <c r="H1151" s="250"/>
    </row>
    <row r="1152" spans="1:8">
      <c r="A1152" s="250" t="s">
        <v>5405</v>
      </c>
      <c r="B1152" s="250" t="s">
        <v>5406</v>
      </c>
      <c r="C1152" s="251">
        <v>301</v>
      </c>
      <c r="D1152" s="10" t="s">
        <v>5407</v>
      </c>
      <c r="E1152" s="10"/>
      <c r="F1152" s="252">
        <v>3245009487</v>
      </c>
      <c r="G1152" s="250"/>
      <c r="H1152" s="250"/>
    </row>
    <row r="1153" spans="1:8">
      <c r="A1153" s="250" t="s">
        <v>5408</v>
      </c>
      <c r="B1153" s="250" t="s">
        <v>5409</v>
      </c>
      <c r="C1153" s="251">
        <v>101</v>
      </c>
      <c r="D1153" s="10" t="s">
        <v>5410</v>
      </c>
      <c r="E1153" s="10"/>
      <c r="F1153" s="252">
        <v>3204016785</v>
      </c>
      <c r="G1153" s="250"/>
      <c r="H1153" s="250"/>
    </row>
    <row r="1154" spans="1:8">
      <c r="A1154" s="250" t="s">
        <v>5411</v>
      </c>
      <c r="B1154" s="250" t="s">
        <v>5412</v>
      </c>
      <c r="C1154" s="251">
        <v>603</v>
      </c>
      <c r="D1154" s="10" t="s">
        <v>5413</v>
      </c>
      <c r="E1154" s="10"/>
      <c r="F1154" s="252">
        <v>3158488617</v>
      </c>
      <c r="G1154" s="250"/>
      <c r="H1154" s="250"/>
    </row>
    <row r="1155" spans="1:8">
      <c r="A1155" s="250" t="s">
        <v>5414</v>
      </c>
      <c r="B1155" s="250" t="s">
        <v>5415</v>
      </c>
      <c r="C1155" s="251">
        <v>1105</v>
      </c>
      <c r="D1155" s="10"/>
      <c r="E1155" s="10"/>
      <c r="F1155" s="252">
        <v>3203436124</v>
      </c>
      <c r="G1155" s="250"/>
      <c r="H1155" s="250"/>
    </row>
    <row r="1156" spans="1:8">
      <c r="A1156" s="250" t="s">
        <v>5416</v>
      </c>
      <c r="B1156" s="250" t="s">
        <v>5417</v>
      </c>
      <c r="C1156" s="251">
        <v>203</v>
      </c>
      <c r="D1156" s="10" t="s">
        <v>5418</v>
      </c>
      <c r="E1156" s="10"/>
      <c r="F1156" s="252">
        <v>3147273513</v>
      </c>
      <c r="G1156" s="250"/>
      <c r="H1156" s="250"/>
    </row>
    <row r="1157" spans="1:8">
      <c r="A1157" s="250" t="s">
        <v>5419</v>
      </c>
      <c r="B1157" s="250" t="s">
        <v>5420</v>
      </c>
      <c r="C1157" s="251">
        <v>402</v>
      </c>
      <c r="D1157" s="10"/>
      <c r="E1157" s="10"/>
      <c r="F1157" s="252">
        <v>3124478090</v>
      </c>
      <c r="G1157" s="250"/>
      <c r="H1157" s="250"/>
    </row>
    <row r="1158" spans="1:8">
      <c r="A1158" s="250" t="s">
        <v>71</v>
      </c>
      <c r="B1158" s="250" t="s">
        <v>5421</v>
      </c>
      <c r="C1158" s="251"/>
      <c r="D1158" s="10" t="s">
        <v>5422</v>
      </c>
      <c r="E1158" s="10"/>
      <c r="F1158" s="252">
        <v>3104565285</v>
      </c>
      <c r="G1158" s="250"/>
      <c r="H1158" s="250"/>
    </row>
    <row r="1159" spans="1:8">
      <c r="A1159" s="250" t="s">
        <v>5423</v>
      </c>
      <c r="B1159" s="250" t="s">
        <v>5424</v>
      </c>
      <c r="C1159" s="251" t="s">
        <v>5425</v>
      </c>
      <c r="D1159" s="10" t="s">
        <v>5426</v>
      </c>
      <c r="E1159" s="10"/>
      <c r="F1159" s="252">
        <v>3006137843</v>
      </c>
      <c r="G1159" s="250"/>
      <c r="H1159" s="250"/>
    </row>
    <row r="1160" spans="1:8">
      <c r="A1160" s="250" t="s">
        <v>5427</v>
      </c>
      <c r="B1160" s="250" t="s">
        <v>5428</v>
      </c>
      <c r="C1160" s="251">
        <v>1924</v>
      </c>
      <c r="D1160" s="10" t="s">
        <v>3808</v>
      </c>
      <c r="E1160" s="10"/>
      <c r="F1160" s="252">
        <v>3013130080</v>
      </c>
      <c r="G1160" s="250"/>
      <c r="H1160" s="250"/>
    </row>
    <row r="1161" spans="1:8">
      <c r="A1161" s="250" t="s">
        <v>5429</v>
      </c>
      <c r="B1161" s="250" t="s">
        <v>5430</v>
      </c>
      <c r="C1161" s="251">
        <v>304</v>
      </c>
      <c r="D1161" s="10" t="s">
        <v>5431</v>
      </c>
      <c r="E1161" s="10"/>
      <c r="F1161" s="252">
        <v>3219927906</v>
      </c>
      <c r="G1161" s="250"/>
      <c r="H1161" s="250"/>
    </row>
    <row r="1162" spans="1:8">
      <c r="A1162" s="250" t="s">
        <v>5432</v>
      </c>
      <c r="B1162" s="250" t="s">
        <v>5433</v>
      </c>
      <c r="C1162" s="251">
        <v>903</v>
      </c>
      <c r="D1162" s="10"/>
      <c r="E1162" s="10"/>
      <c r="F1162" s="252">
        <v>3107822301</v>
      </c>
      <c r="G1162" s="250"/>
      <c r="H1162" s="250"/>
    </row>
    <row r="1163" spans="1:8">
      <c r="A1163" s="250" t="s">
        <v>5434</v>
      </c>
      <c r="B1163" s="250" t="s">
        <v>5435</v>
      </c>
      <c r="C1163" s="251">
        <v>402</v>
      </c>
      <c r="D1163" s="10" t="s">
        <v>5436</v>
      </c>
      <c r="E1163" s="10"/>
      <c r="F1163" s="252">
        <v>3183545837</v>
      </c>
      <c r="G1163" s="250"/>
      <c r="H1163" s="250"/>
    </row>
    <row r="1164" spans="1:8">
      <c r="A1164" s="250" t="s">
        <v>5437</v>
      </c>
      <c r="B1164" s="250" t="s">
        <v>5438</v>
      </c>
      <c r="C1164" s="251">
        <v>402</v>
      </c>
      <c r="D1164" s="10" t="s">
        <v>5439</v>
      </c>
      <c r="E1164" s="10"/>
      <c r="F1164" s="252">
        <v>3203790278</v>
      </c>
      <c r="G1164" s="250"/>
      <c r="H1164" s="250"/>
    </row>
    <row r="1165" spans="1:8">
      <c r="A1165" s="250" t="s">
        <v>5440</v>
      </c>
      <c r="B1165" s="250" t="s">
        <v>5441</v>
      </c>
      <c r="C1165" s="251"/>
      <c r="D1165" s="10" t="s">
        <v>5442</v>
      </c>
      <c r="E1165" s="10"/>
      <c r="F1165" s="252">
        <v>3234893982</v>
      </c>
      <c r="G1165" s="250"/>
      <c r="H1165" s="250"/>
    </row>
    <row r="1166" spans="1:8">
      <c r="A1166" s="250" t="s">
        <v>5443</v>
      </c>
      <c r="B1166" s="250" t="s">
        <v>5444</v>
      </c>
      <c r="C1166" s="251">
        <v>504</v>
      </c>
      <c r="D1166" s="10"/>
      <c r="E1166" s="10"/>
      <c r="F1166" s="252">
        <v>3004395927</v>
      </c>
      <c r="G1166" s="250"/>
      <c r="H1166" s="250"/>
    </row>
    <row r="1167" spans="1:8">
      <c r="A1167" s="250" t="s">
        <v>5445</v>
      </c>
      <c r="B1167" s="250" t="s">
        <v>5446</v>
      </c>
      <c r="C1167" s="251">
        <v>502</v>
      </c>
      <c r="D1167" s="10"/>
      <c r="E1167" s="10"/>
      <c r="F1167" s="252">
        <v>3106251239</v>
      </c>
      <c r="G1167" s="250"/>
      <c r="H1167" s="250"/>
    </row>
    <row r="1168" spans="1:8">
      <c r="A1168" s="250" t="s">
        <v>5447</v>
      </c>
      <c r="B1168" s="250" t="s">
        <v>5448</v>
      </c>
      <c r="C1168" s="251">
        <v>702</v>
      </c>
      <c r="D1168" s="10"/>
      <c r="E1168" s="10"/>
      <c r="F1168" s="252">
        <v>3186992737</v>
      </c>
      <c r="G1168" s="250"/>
      <c r="H1168" s="250"/>
    </row>
    <row r="1169" spans="1:8">
      <c r="A1169" s="250" t="s">
        <v>5449</v>
      </c>
      <c r="B1169" s="250" t="s">
        <v>5450</v>
      </c>
      <c r="C1169" s="251">
        <v>709</v>
      </c>
      <c r="D1169" s="10" t="s">
        <v>5451</v>
      </c>
      <c r="E1169" s="10"/>
      <c r="F1169" s="252">
        <v>3104136184</v>
      </c>
      <c r="G1169" s="250"/>
      <c r="H1169" s="250"/>
    </row>
    <row r="1170" spans="1:8">
      <c r="A1170" s="250" t="s">
        <v>5452</v>
      </c>
      <c r="B1170" s="250" t="s">
        <v>5453</v>
      </c>
      <c r="C1170" s="251">
        <v>407</v>
      </c>
      <c r="D1170" s="10" t="s">
        <v>5454</v>
      </c>
      <c r="E1170" s="10" t="s">
        <v>5455</v>
      </c>
      <c r="F1170" s="252">
        <v>3177208201</v>
      </c>
      <c r="G1170" s="250"/>
      <c r="H1170" s="250"/>
    </row>
    <row r="1171" spans="1:8">
      <c r="A1171" s="250" t="s">
        <v>5456</v>
      </c>
      <c r="B1171" s="250" t="s">
        <v>5457</v>
      </c>
      <c r="C1171" s="251">
        <v>501</v>
      </c>
      <c r="D1171" s="10" t="s">
        <v>5458</v>
      </c>
      <c r="E1171" s="10"/>
      <c r="F1171" s="252">
        <v>3123685221</v>
      </c>
      <c r="G1171" s="250"/>
      <c r="H1171" s="250"/>
    </row>
    <row r="1172" spans="1:8">
      <c r="A1172" s="250" t="s">
        <v>5459</v>
      </c>
      <c r="B1172" s="250" t="s">
        <v>5460</v>
      </c>
      <c r="C1172" s="251"/>
      <c r="D1172" s="10" t="s">
        <v>5461</v>
      </c>
      <c r="E1172" s="10"/>
      <c r="F1172" s="252">
        <v>3115323812</v>
      </c>
      <c r="G1172" s="250"/>
      <c r="H1172" s="250"/>
    </row>
    <row r="1173" spans="1:8">
      <c r="A1173" s="250" t="s">
        <v>5462</v>
      </c>
      <c r="B1173" s="250" t="s">
        <v>5463</v>
      </c>
      <c r="C1173" s="251">
        <v>304</v>
      </c>
      <c r="D1173" s="10" t="s">
        <v>5464</v>
      </c>
      <c r="E1173" s="10"/>
      <c r="F1173" s="252">
        <v>3112558055</v>
      </c>
      <c r="G1173" s="250"/>
      <c r="H1173" s="250"/>
    </row>
    <row r="1174" spans="1:8">
      <c r="A1174" s="250" t="s">
        <v>5465</v>
      </c>
      <c r="B1174" s="250" t="s">
        <v>5466</v>
      </c>
      <c r="C1174" s="251" t="s">
        <v>5467</v>
      </c>
      <c r="D1174" s="10"/>
      <c r="E1174" s="10"/>
      <c r="F1174" s="252">
        <v>3002194030</v>
      </c>
      <c r="G1174" s="250"/>
      <c r="H1174" s="250"/>
    </row>
    <row r="1175" spans="1:8">
      <c r="A1175" s="250" t="s">
        <v>5468</v>
      </c>
      <c r="B1175" s="250" t="s">
        <v>5469</v>
      </c>
      <c r="C1175" s="251">
        <v>301</v>
      </c>
      <c r="D1175" s="10" t="s">
        <v>5470</v>
      </c>
      <c r="E1175" s="10"/>
      <c r="F1175" s="252">
        <v>3113770184</v>
      </c>
      <c r="G1175" s="250"/>
      <c r="H1175" s="250"/>
    </row>
    <row r="1176" spans="1:8">
      <c r="A1176" s="250" t="s">
        <v>5471</v>
      </c>
      <c r="B1176" s="250" t="s">
        <v>5472</v>
      </c>
      <c r="C1176" s="251">
        <v>403</v>
      </c>
      <c r="D1176" s="10"/>
      <c r="E1176" s="10"/>
      <c r="F1176" s="252">
        <v>3203338275</v>
      </c>
      <c r="G1176" s="250"/>
      <c r="H1176" s="250"/>
    </row>
    <row r="1177" spans="1:8">
      <c r="A1177" s="250" t="s">
        <v>5473</v>
      </c>
      <c r="B1177" s="250" t="s">
        <v>5474</v>
      </c>
      <c r="C1177" s="251">
        <v>104</v>
      </c>
      <c r="D1177" s="10" t="s">
        <v>5475</v>
      </c>
      <c r="E1177" s="10"/>
      <c r="F1177" s="252">
        <v>3186911154</v>
      </c>
      <c r="G1177" s="250"/>
      <c r="H1177" s="250"/>
    </row>
    <row r="1178" spans="1:8">
      <c r="A1178" s="250" t="s">
        <v>5476</v>
      </c>
      <c r="B1178" s="250" t="s">
        <v>5477</v>
      </c>
      <c r="C1178" s="251">
        <v>1097</v>
      </c>
      <c r="D1178" s="10" t="s">
        <v>5478</v>
      </c>
      <c r="E1178" s="10"/>
      <c r="F1178" s="252">
        <v>3165223864</v>
      </c>
      <c r="G1178" s="250"/>
      <c r="H1178" s="250"/>
    </row>
    <row r="1179" spans="1:8">
      <c r="A1179" s="250" t="s">
        <v>5479</v>
      </c>
      <c r="B1179" s="250" t="s">
        <v>5480</v>
      </c>
      <c r="C1179" s="251">
        <v>602</v>
      </c>
      <c r="D1179" s="10"/>
      <c r="E1179" s="10"/>
      <c r="F1179" s="252">
        <v>3176585611</v>
      </c>
      <c r="G1179" s="250"/>
      <c r="H1179" s="250"/>
    </row>
    <row r="1180" spans="1:8">
      <c r="A1180" s="250" t="s">
        <v>5481</v>
      </c>
      <c r="B1180" s="250" t="s">
        <v>5482</v>
      </c>
      <c r="C1180" s="251"/>
      <c r="D1180" s="10" t="s">
        <v>5483</v>
      </c>
      <c r="E1180" s="10"/>
      <c r="F1180" s="252">
        <v>3204286907</v>
      </c>
      <c r="G1180" s="250"/>
      <c r="H1180" s="250"/>
    </row>
    <row r="1181" spans="1:8">
      <c r="A1181" s="250" t="s">
        <v>5484</v>
      </c>
      <c r="B1181" s="250" t="s">
        <v>5485</v>
      </c>
      <c r="C1181" s="251">
        <v>1111</v>
      </c>
      <c r="D1181" s="10"/>
      <c r="E1181" s="10"/>
      <c r="F1181" s="252">
        <v>3223083766</v>
      </c>
      <c r="G1181" s="250"/>
      <c r="H1181" s="250"/>
    </row>
    <row r="1182" spans="1:8">
      <c r="A1182" s="196" t="s">
        <v>5486</v>
      </c>
      <c r="B1182" s="250" t="s">
        <v>5487</v>
      </c>
      <c r="C1182" s="251">
        <v>209</v>
      </c>
      <c r="D1182" s="10" t="s">
        <v>5488</v>
      </c>
      <c r="E1182" s="10"/>
      <c r="F1182" s="252">
        <v>3208402313</v>
      </c>
      <c r="G1182" s="250"/>
      <c r="H1182" s="250"/>
    </row>
    <row r="1183" spans="1:8">
      <c r="A1183" s="250" t="s">
        <v>5489</v>
      </c>
      <c r="B1183" s="250" t="s">
        <v>4348</v>
      </c>
      <c r="C1183" s="251">
        <v>1106</v>
      </c>
      <c r="D1183" s="10"/>
      <c r="E1183" s="10"/>
      <c r="F1183" s="252">
        <v>3155801671</v>
      </c>
      <c r="G1183" s="250"/>
      <c r="H1183" s="250"/>
    </row>
    <row r="1184" spans="1:8">
      <c r="A1184" s="250" t="s">
        <v>5490</v>
      </c>
      <c r="B1184" s="250" t="s">
        <v>5491</v>
      </c>
      <c r="C1184" s="251">
        <v>506</v>
      </c>
      <c r="D1184" s="10" t="s">
        <v>5492</v>
      </c>
      <c r="E1184" s="10"/>
      <c r="F1184" s="252">
        <v>3163749725</v>
      </c>
      <c r="G1184" s="250"/>
      <c r="H1184" s="250"/>
    </row>
    <row r="1185" spans="1:8">
      <c r="A1185" s="250" t="s">
        <v>5493</v>
      </c>
      <c r="B1185" s="250" t="s">
        <v>5494</v>
      </c>
      <c r="C1185" s="251">
        <v>1202</v>
      </c>
      <c r="D1185" s="10"/>
      <c r="E1185" s="10"/>
      <c r="F1185" s="252">
        <v>3124572695</v>
      </c>
      <c r="G1185" s="250"/>
      <c r="H1185" s="250"/>
    </row>
    <row r="1186" spans="1:8">
      <c r="A1186" s="250" t="s">
        <v>5495</v>
      </c>
      <c r="B1186" s="250" t="s">
        <v>5496</v>
      </c>
      <c r="C1186" s="251">
        <v>1201</v>
      </c>
      <c r="D1186" s="10"/>
      <c r="E1186" s="10"/>
      <c r="F1186" s="252">
        <v>3182695502</v>
      </c>
      <c r="G1186" s="250"/>
      <c r="H1186" s="250"/>
    </row>
    <row r="1187" spans="1:8">
      <c r="A1187" s="250" t="s">
        <v>5497</v>
      </c>
      <c r="B1187" s="250" t="s">
        <v>5498</v>
      </c>
      <c r="C1187" s="251">
        <v>1006</v>
      </c>
      <c r="D1187" s="10" t="s">
        <v>5499</v>
      </c>
      <c r="E1187" s="10"/>
      <c r="F1187" s="252">
        <v>3002022502</v>
      </c>
      <c r="G1187" s="250"/>
      <c r="H1187" s="250"/>
    </row>
    <row r="1188" spans="1:8">
      <c r="A1188" s="250" t="s">
        <v>5500</v>
      </c>
      <c r="B1188" s="10" t="s">
        <v>4432</v>
      </c>
      <c r="C1188" s="251">
        <v>308</v>
      </c>
      <c r="D1188" s="10"/>
      <c r="E1188" s="10" t="s">
        <v>5501</v>
      </c>
      <c r="F1188" s="252">
        <v>3208487679</v>
      </c>
      <c r="G1188" s="250"/>
      <c r="H1188" s="250"/>
    </row>
    <row r="1189" spans="1:8">
      <c r="A1189" s="250" t="s">
        <v>5502</v>
      </c>
      <c r="B1189" s="250" t="s">
        <v>5503</v>
      </c>
      <c r="C1189" s="251">
        <v>106</v>
      </c>
      <c r="D1189" s="10" t="s">
        <v>5504</v>
      </c>
      <c r="E1189" s="10"/>
      <c r="F1189" s="252">
        <v>3102116365</v>
      </c>
      <c r="G1189" s="250"/>
      <c r="H1189" s="250"/>
    </row>
    <row r="1190" spans="1:8">
      <c r="A1190" s="250" t="s">
        <v>5505</v>
      </c>
      <c r="B1190" s="250" t="s">
        <v>5506</v>
      </c>
      <c r="C1190" s="251">
        <v>404</v>
      </c>
      <c r="D1190" s="10" t="s">
        <v>5507</v>
      </c>
      <c r="E1190" s="10"/>
      <c r="F1190" s="252">
        <v>3007868616</v>
      </c>
      <c r="G1190" s="250"/>
      <c r="H1190" s="250"/>
    </row>
    <row r="1191" spans="1:8">
      <c r="A1191" s="250" t="s">
        <v>5508</v>
      </c>
      <c r="B1191" s="250" t="s">
        <v>5509</v>
      </c>
      <c r="C1191" s="251">
        <v>804</v>
      </c>
      <c r="D1191" s="10"/>
      <c r="E1191" s="10"/>
      <c r="F1191" s="252">
        <v>3017392206</v>
      </c>
      <c r="G1191" s="250"/>
      <c r="H1191" s="250"/>
    </row>
    <row r="1192" spans="1:8">
      <c r="A1192" s="250" t="s">
        <v>5510</v>
      </c>
      <c r="B1192" s="250" t="s">
        <v>5511</v>
      </c>
      <c r="C1192" s="251">
        <v>101</v>
      </c>
      <c r="D1192" s="10" t="s">
        <v>5512</v>
      </c>
      <c r="E1192" s="10"/>
      <c r="F1192" s="252">
        <v>3176359993</v>
      </c>
      <c r="G1192" s="250"/>
      <c r="H1192" s="250"/>
    </row>
    <row r="1193" spans="1:8">
      <c r="A1193" s="250" t="s">
        <v>5513</v>
      </c>
      <c r="B1193" s="250" t="s">
        <v>5514</v>
      </c>
      <c r="C1193" s="251">
        <v>202</v>
      </c>
      <c r="D1193" s="10" t="s">
        <v>5515</v>
      </c>
      <c r="E1193" s="10"/>
      <c r="F1193" s="252">
        <v>3152955478</v>
      </c>
      <c r="G1193" s="250"/>
      <c r="H1193" s="250"/>
    </row>
    <row r="1194" spans="1:8">
      <c r="A1194" s="250" t="s">
        <v>5516</v>
      </c>
      <c r="B1194" s="250" t="s">
        <v>5517</v>
      </c>
      <c r="C1194" s="251">
        <v>102</v>
      </c>
      <c r="D1194" s="10" t="s">
        <v>5518</v>
      </c>
      <c r="E1194" s="10"/>
      <c r="F1194" s="252">
        <v>3203597514</v>
      </c>
      <c r="G1194" s="250"/>
      <c r="H1194" s="250"/>
    </row>
    <row r="1195" spans="1:8">
      <c r="A1195" s="250" t="s">
        <v>5519</v>
      </c>
      <c r="B1195" s="250" t="s">
        <v>5520</v>
      </c>
      <c r="C1195" s="251">
        <v>501</v>
      </c>
      <c r="D1195" s="10" t="s">
        <v>5521</v>
      </c>
      <c r="E1195" s="10" t="s">
        <v>5522</v>
      </c>
      <c r="F1195" s="252">
        <v>3108389086</v>
      </c>
      <c r="G1195" s="250"/>
      <c r="H1195" s="250"/>
    </row>
    <row r="1196" spans="1:8">
      <c r="A1196" s="250" t="s">
        <v>5523</v>
      </c>
      <c r="B1196" s="250" t="s">
        <v>5524</v>
      </c>
      <c r="C1196" s="251">
        <v>502</v>
      </c>
      <c r="D1196" s="10"/>
      <c r="E1196" s="10"/>
      <c r="F1196" s="252">
        <v>3134221467</v>
      </c>
      <c r="G1196" s="250"/>
      <c r="H1196" s="250"/>
    </row>
    <row r="1197" spans="1:8">
      <c r="A1197" s="250" t="s">
        <v>5525</v>
      </c>
      <c r="B1197" s="250" t="s">
        <v>5526</v>
      </c>
      <c r="C1197" s="251">
        <v>507</v>
      </c>
      <c r="D1197" s="10" t="s">
        <v>5527</v>
      </c>
      <c r="E1197" s="10"/>
      <c r="F1197" s="252">
        <v>3115143199</v>
      </c>
      <c r="G1197" s="250"/>
      <c r="H1197" s="250"/>
    </row>
    <row r="1198" spans="1:8">
      <c r="A1198" s="250" t="s">
        <v>5528</v>
      </c>
      <c r="B1198" s="250" t="s">
        <v>5529</v>
      </c>
      <c r="C1198" s="251" t="s">
        <v>3007</v>
      </c>
      <c r="D1198" s="10"/>
      <c r="E1198" s="10"/>
      <c r="F1198" s="252">
        <v>3208387539</v>
      </c>
      <c r="G1198" s="250"/>
      <c r="H1198" s="250"/>
    </row>
    <row r="1199" spans="1:8">
      <c r="A1199" s="250" t="s">
        <v>5530</v>
      </c>
      <c r="B1199" s="250" t="s">
        <v>5531</v>
      </c>
      <c r="C1199" s="251">
        <v>202</v>
      </c>
      <c r="D1199" s="10" t="s">
        <v>2721</v>
      </c>
      <c r="E1199" s="10" t="s">
        <v>5532</v>
      </c>
      <c r="F1199" s="252">
        <v>3217895444</v>
      </c>
      <c r="G1199" s="250"/>
      <c r="H1199" s="250"/>
    </row>
    <row r="1200" spans="1:8">
      <c r="A1200" s="250" t="s">
        <v>5533</v>
      </c>
      <c r="B1200" s="250" t="s">
        <v>5534</v>
      </c>
      <c r="C1200" s="251">
        <v>302</v>
      </c>
      <c r="D1200" s="10"/>
      <c r="E1200" s="10"/>
      <c r="F1200" s="252">
        <v>3124493948</v>
      </c>
      <c r="G1200" s="267"/>
      <c r="H1200" s="267"/>
    </row>
    <row r="1201" spans="1:8">
      <c r="A1201" s="250" t="s">
        <v>5535</v>
      </c>
      <c r="B1201" s="250" t="s">
        <v>5536</v>
      </c>
      <c r="C1201" s="251">
        <v>1207</v>
      </c>
      <c r="D1201" s="10"/>
      <c r="E1201" s="10"/>
      <c r="F1201" s="252">
        <v>3164924444</v>
      </c>
      <c r="G1201" s="250"/>
      <c r="H1201" s="250"/>
    </row>
    <row r="1202" spans="1:8">
      <c r="A1202" s="250" t="s">
        <v>5537</v>
      </c>
      <c r="B1202" s="250" t="s">
        <v>5538</v>
      </c>
      <c r="C1202" s="251">
        <v>404</v>
      </c>
      <c r="D1202" s="10"/>
      <c r="E1202" s="10"/>
      <c r="F1202" s="252">
        <v>3183026126</v>
      </c>
      <c r="G1202" s="250"/>
      <c r="H1202" s="250"/>
    </row>
    <row r="1203" spans="1:8">
      <c r="A1203" s="250" t="s">
        <v>5539</v>
      </c>
      <c r="B1203" s="250" t="s">
        <v>5540</v>
      </c>
      <c r="C1203" s="251"/>
      <c r="D1203" s="10" t="s">
        <v>2733</v>
      </c>
      <c r="E1203" s="10"/>
      <c r="F1203" s="252">
        <v>3197059921</v>
      </c>
      <c r="G1203" s="250"/>
      <c r="H1203" s="250"/>
    </row>
    <row r="1204" spans="1:8">
      <c r="A1204" s="250" t="s">
        <v>5541</v>
      </c>
      <c r="B1204" s="250" t="s">
        <v>5542</v>
      </c>
      <c r="C1204" s="251">
        <v>303</v>
      </c>
      <c r="D1204" s="10"/>
      <c r="E1204" s="10"/>
      <c r="F1204" s="252">
        <v>3502071172</v>
      </c>
      <c r="G1204" s="250"/>
      <c r="H1204" s="250"/>
    </row>
    <row r="1205" spans="1:8">
      <c r="A1205" s="250" t="s">
        <v>5543</v>
      </c>
      <c r="B1205" s="250" t="s">
        <v>4192</v>
      </c>
      <c r="C1205" s="251">
        <v>201</v>
      </c>
      <c r="D1205" s="10" t="s">
        <v>5544</v>
      </c>
      <c r="E1205" s="10" t="s">
        <v>5545</v>
      </c>
      <c r="F1205" s="252">
        <v>3157247904</v>
      </c>
      <c r="G1205" s="250"/>
      <c r="H1205" s="250"/>
    </row>
    <row r="1206" spans="1:8">
      <c r="A1206" s="250" t="s">
        <v>5546</v>
      </c>
      <c r="B1206" s="250"/>
      <c r="C1206" s="251"/>
      <c r="D1206" s="10" t="s">
        <v>5547</v>
      </c>
      <c r="E1206" s="10" t="s">
        <v>3116</v>
      </c>
      <c r="F1206" s="252">
        <v>3166820290</v>
      </c>
      <c r="G1206" s="250"/>
      <c r="H1206" s="250"/>
    </row>
    <row r="1207" spans="1:8">
      <c r="A1207" s="250" t="s">
        <v>5548</v>
      </c>
      <c r="B1207" s="250" t="s">
        <v>5549</v>
      </c>
      <c r="C1207" s="251">
        <v>305</v>
      </c>
      <c r="D1207" s="10" t="s">
        <v>5550</v>
      </c>
      <c r="E1207" s="10"/>
      <c r="F1207" s="252">
        <v>3028277036</v>
      </c>
      <c r="G1207" s="250"/>
      <c r="H1207" s="250"/>
    </row>
    <row r="1208" spans="1:8">
      <c r="A1208" s="250" t="s">
        <v>5551</v>
      </c>
      <c r="B1208" s="250" t="s">
        <v>5552</v>
      </c>
      <c r="C1208" s="251">
        <v>303</v>
      </c>
      <c r="D1208" s="10" t="s">
        <v>5553</v>
      </c>
      <c r="E1208" s="10"/>
      <c r="F1208" s="252">
        <v>3014591767</v>
      </c>
      <c r="G1208" s="250"/>
      <c r="H1208" s="250"/>
    </row>
    <row r="1209" spans="1:8">
      <c r="A1209" s="250" t="s">
        <v>5554</v>
      </c>
      <c r="B1209" s="250" t="s">
        <v>5555</v>
      </c>
      <c r="C1209" s="251">
        <v>909</v>
      </c>
      <c r="D1209" s="10"/>
      <c r="E1209" s="10" t="s">
        <v>5532</v>
      </c>
      <c r="F1209" s="252">
        <v>3008229784</v>
      </c>
      <c r="G1209" s="250"/>
      <c r="H1209" s="250"/>
    </row>
    <row r="1210" spans="1:8">
      <c r="A1210" s="250" t="s">
        <v>5556</v>
      </c>
      <c r="B1210" s="250" t="s">
        <v>5557</v>
      </c>
      <c r="C1210" s="251">
        <v>505</v>
      </c>
      <c r="D1210" s="10"/>
      <c r="E1210" s="10" t="s">
        <v>5558</v>
      </c>
      <c r="F1210" s="252">
        <v>3002721962</v>
      </c>
      <c r="G1210" s="250"/>
      <c r="H1210" s="250"/>
    </row>
    <row r="1211" spans="1:8">
      <c r="A1211" s="250" t="s">
        <v>5559</v>
      </c>
      <c r="B1211" s="250" t="s">
        <v>5560</v>
      </c>
      <c r="C1211" s="251">
        <v>301</v>
      </c>
      <c r="D1211" s="10"/>
      <c r="E1211" s="10"/>
      <c r="F1211" s="252">
        <v>3142738862</v>
      </c>
      <c r="G1211" s="250"/>
      <c r="H1211" s="250"/>
    </row>
    <row r="1212" spans="1:8">
      <c r="A1212" s="250" t="s">
        <v>5561</v>
      </c>
      <c r="B1212" s="250" t="s">
        <v>5562</v>
      </c>
      <c r="C1212" s="251">
        <v>402</v>
      </c>
      <c r="D1212" s="10"/>
      <c r="E1212" s="10"/>
      <c r="F1212" s="252">
        <v>3192990578</v>
      </c>
      <c r="G1212" s="250"/>
      <c r="H1212" s="250"/>
    </row>
    <row r="1213" spans="1:8">
      <c r="A1213" s="250" t="s">
        <v>327</v>
      </c>
      <c r="B1213" s="250" t="s">
        <v>5325</v>
      </c>
      <c r="C1213" s="251">
        <v>401</v>
      </c>
      <c r="D1213" s="10" t="s">
        <v>5563</v>
      </c>
      <c r="E1213" s="10"/>
      <c r="F1213" s="252">
        <v>3222017294</v>
      </c>
      <c r="G1213" s="250"/>
      <c r="H1213" s="250"/>
    </row>
    <row r="1214" spans="1:8">
      <c r="A1214" s="250" t="s">
        <v>5564</v>
      </c>
      <c r="B1214" s="250" t="s">
        <v>5565</v>
      </c>
      <c r="C1214" s="251">
        <v>102</v>
      </c>
      <c r="D1214" s="10"/>
      <c r="E1214" s="10"/>
      <c r="F1214" s="252">
        <v>3134115555</v>
      </c>
      <c r="G1214" s="250"/>
      <c r="H1214" s="250"/>
    </row>
    <row r="1215" spans="1:8">
      <c r="A1215" s="250" t="s">
        <v>5566</v>
      </c>
      <c r="B1215" s="250" t="s">
        <v>5567</v>
      </c>
      <c r="C1215" s="251">
        <v>219</v>
      </c>
      <c r="D1215" s="10" t="s">
        <v>5568</v>
      </c>
      <c r="E1215" s="10"/>
      <c r="F1215" s="252">
        <v>3156586852</v>
      </c>
      <c r="G1215" s="250"/>
      <c r="H1215" s="250"/>
    </row>
    <row r="1216" spans="1:8">
      <c r="A1216" s="250" t="s">
        <v>5569</v>
      </c>
      <c r="B1216" s="250" t="s">
        <v>2823</v>
      </c>
      <c r="C1216" s="251">
        <v>112</v>
      </c>
      <c r="D1216" s="10"/>
      <c r="E1216" s="10"/>
      <c r="F1216" s="252">
        <v>3112029824</v>
      </c>
      <c r="G1216" s="250"/>
      <c r="H1216" s="250"/>
    </row>
    <row r="1217" spans="1:8">
      <c r="A1217" s="250" t="s">
        <v>5570</v>
      </c>
      <c r="B1217" s="250" t="s">
        <v>5571</v>
      </c>
      <c r="C1217" s="251">
        <v>203</v>
      </c>
      <c r="D1217" s="10"/>
      <c r="E1217" s="10"/>
      <c r="F1217" s="252">
        <v>3165394255</v>
      </c>
      <c r="G1217" s="250"/>
      <c r="H1217" s="250"/>
    </row>
    <row r="1218" spans="1:8">
      <c r="A1218" s="250" t="s">
        <v>5572</v>
      </c>
      <c r="B1218" s="250" t="s">
        <v>5573</v>
      </c>
      <c r="C1218" s="251"/>
      <c r="D1218" s="10" t="s">
        <v>5574</v>
      </c>
      <c r="E1218" s="10"/>
      <c r="F1218" s="252">
        <v>3014479854</v>
      </c>
      <c r="G1218" s="250"/>
      <c r="H1218" s="250"/>
    </row>
    <row r="1219" spans="1:8">
      <c r="A1219" s="250" t="s">
        <v>5575</v>
      </c>
      <c r="B1219" s="250" t="s">
        <v>5576</v>
      </c>
      <c r="C1219" s="251">
        <v>803</v>
      </c>
      <c r="D1219" s="10"/>
      <c r="E1219" s="10"/>
      <c r="F1219" s="252">
        <v>3008497001</v>
      </c>
      <c r="G1219" s="250"/>
      <c r="H1219" s="250"/>
    </row>
    <row r="1220" spans="1:8">
      <c r="A1220" s="250" t="s">
        <v>5577</v>
      </c>
      <c r="B1220" s="250" t="s">
        <v>5578</v>
      </c>
      <c r="C1220" s="251" t="s">
        <v>5579</v>
      </c>
      <c r="D1220" s="10" t="s">
        <v>2721</v>
      </c>
      <c r="E1220" s="10" t="s">
        <v>5580</v>
      </c>
      <c r="F1220" s="252">
        <v>3014549825</v>
      </c>
      <c r="G1220" s="250"/>
      <c r="H1220" s="250"/>
    </row>
    <row r="1221" spans="1:8">
      <c r="A1221" s="250" t="s">
        <v>5581</v>
      </c>
      <c r="B1221" s="250" t="s">
        <v>5582</v>
      </c>
      <c r="C1221" s="251">
        <v>802</v>
      </c>
      <c r="D1221" s="10"/>
      <c r="E1221" s="10"/>
      <c r="F1221" s="252">
        <v>3153396035</v>
      </c>
      <c r="G1221" s="250"/>
      <c r="H1221" s="250"/>
    </row>
    <row r="1222" spans="1:8">
      <c r="A1222" s="250" t="s">
        <v>5583</v>
      </c>
      <c r="B1222" s="250" t="s">
        <v>5584</v>
      </c>
      <c r="C1222" s="251">
        <v>205</v>
      </c>
      <c r="D1222" s="10" t="s">
        <v>5585</v>
      </c>
      <c r="E1222" s="10"/>
      <c r="F1222" s="252">
        <v>3185778929</v>
      </c>
      <c r="G1222" s="250"/>
      <c r="H1222" s="250"/>
    </row>
    <row r="1223" spans="1:8">
      <c r="A1223" s="250" t="s">
        <v>5586</v>
      </c>
      <c r="B1223" s="250" t="s">
        <v>5587</v>
      </c>
      <c r="C1223" s="251">
        <v>502</v>
      </c>
      <c r="D1223" s="10" t="s">
        <v>5585</v>
      </c>
      <c r="E1223" s="10" t="s">
        <v>5588</v>
      </c>
      <c r="F1223" s="252">
        <v>3022487691</v>
      </c>
      <c r="G1223" s="250"/>
      <c r="H1223" s="250"/>
    </row>
    <row r="1224" spans="1:8">
      <c r="A1224" s="250" t="s">
        <v>5589</v>
      </c>
      <c r="B1224" s="250" t="s">
        <v>5590</v>
      </c>
      <c r="C1224" s="251">
        <v>203</v>
      </c>
      <c r="D1224" s="10" t="s">
        <v>5591</v>
      </c>
      <c r="E1224" s="10"/>
      <c r="F1224" s="252">
        <v>3174957163</v>
      </c>
      <c r="G1224" s="250"/>
      <c r="H1224" s="250"/>
    </row>
    <row r="1225" spans="1:8">
      <c r="A1225" s="250" t="s">
        <v>5592</v>
      </c>
      <c r="B1225" s="250" t="s">
        <v>5593</v>
      </c>
      <c r="C1225" s="251">
        <v>601</v>
      </c>
      <c r="D1225" s="10" t="s">
        <v>5594</v>
      </c>
      <c r="E1225" s="10"/>
      <c r="F1225" s="252">
        <v>3176373254</v>
      </c>
      <c r="G1225" s="250"/>
      <c r="H1225" s="250"/>
    </row>
    <row r="1226" spans="1:8">
      <c r="A1226" s="250" t="s">
        <v>5595</v>
      </c>
      <c r="B1226" s="250" t="s">
        <v>4198</v>
      </c>
      <c r="C1226" s="251">
        <v>408</v>
      </c>
      <c r="D1226" s="10" t="s">
        <v>5596</v>
      </c>
      <c r="E1226" s="10"/>
      <c r="F1226" s="252">
        <v>3188445771</v>
      </c>
      <c r="G1226" s="250"/>
      <c r="H1226" s="250"/>
    </row>
    <row r="1227" spans="1:8">
      <c r="A1227" s="250" t="s">
        <v>5597</v>
      </c>
      <c r="B1227" s="250" t="s">
        <v>5598</v>
      </c>
      <c r="C1227" s="251"/>
      <c r="D1227" s="10" t="s">
        <v>5599</v>
      </c>
      <c r="E1227" s="10"/>
      <c r="F1227" s="252">
        <v>3167406134</v>
      </c>
      <c r="G1227" s="250"/>
      <c r="H1227" s="250"/>
    </row>
    <row r="1228" spans="1:8">
      <c r="A1228" s="250" t="s">
        <v>5600</v>
      </c>
      <c r="B1228" s="250" t="s">
        <v>5601</v>
      </c>
      <c r="C1228" s="251"/>
      <c r="D1228" s="10" t="s">
        <v>3803</v>
      </c>
      <c r="E1228" s="10" t="s">
        <v>5588</v>
      </c>
      <c r="F1228" s="252">
        <v>3223928579</v>
      </c>
      <c r="G1228" s="250"/>
      <c r="H1228" s="250"/>
    </row>
    <row r="1229" spans="1:8">
      <c r="A1229" s="250" t="s">
        <v>5602</v>
      </c>
      <c r="B1229" s="250" t="s">
        <v>5603</v>
      </c>
      <c r="C1229" s="251">
        <v>808</v>
      </c>
      <c r="D1229" s="10"/>
      <c r="E1229" s="10"/>
      <c r="F1229" s="252">
        <v>3104985510</v>
      </c>
      <c r="G1229" s="250"/>
      <c r="H1229" s="250"/>
    </row>
    <row r="1230" spans="1:8">
      <c r="A1230" s="250" t="s">
        <v>5604</v>
      </c>
      <c r="B1230" s="250" t="s">
        <v>5605</v>
      </c>
      <c r="C1230" s="251">
        <v>306</v>
      </c>
      <c r="D1230" s="10"/>
      <c r="E1230" s="10"/>
      <c r="F1230" s="252">
        <v>3132098448</v>
      </c>
      <c r="G1230" s="250"/>
      <c r="H1230" s="250"/>
    </row>
    <row r="1231" spans="1:8">
      <c r="A1231" s="250" t="s">
        <v>5606</v>
      </c>
      <c r="B1231" s="250" t="s">
        <v>5607</v>
      </c>
      <c r="C1231" s="251">
        <v>603</v>
      </c>
      <c r="D1231" s="10"/>
      <c r="E1231" s="10"/>
      <c r="F1231" s="252">
        <v>3123503223</v>
      </c>
      <c r="G1231" s="250"/>
      <c r="H1231" s="250"/>
    </row>
    <row r="1232" spans="1:8">
      <c r="A1232" s="250" t="s">
        <v>5608</v>
      </c>
      <c r="B1232" s="250" t="s">
        <v>5609</v>
      </c>
      <c r="C1232" s="251">
        <v>401</v>
      </c>
      <c r="D1232" s="10" t="s">
        <v>5610</v>
      </c>
      <c r="E1232" s="10"/>
      <c r="F1232" s="252">
        <v>3138926845</v>
      </c>
      <c r="G1232" s="250"/>
      <c r="H1232" s="250"/>
    </row>
    <row r="1233" spans="1:8">
      <c r="A1233" s="250" t="s">
        <v>5611</v>
      </c>
      <c r="B1233" s="250" t="s">
        <v>5612</v>
      </c>
      <c r="C1233" s="251">
        <v>301</v>
      </c>
      <c r="D1233" s="10" t="s">
        <v>5613</v>
      </c>
      <c r="E1233" s="10"/>
      <c r="F1233" s="252">
        <v>3106095500</v>
      </c>
      <c r="G1233" s="250"/>
      <c r="H1233" s="250"/>
    </row>
    <row r="1234" spans="1:8">
      <c r="A1234" s="250" t="s">
        <v>5614</v>
      </c>
      <c r="B1234" s="250" t="s">
        <v>5615</v>
      </c>
      <c r="C1234" s="251">
        <v>301</v>
      </c>
      <c r="D1234" s="10" t="s">
        <v>4748</v>
      </c>
      <c r="E1234" s="10"/>
      <c r="F1234" s="252">
        <v>3107076588</v>
      </c>
      <c r="G1234" s="250"/>
      <c r="H1234" s="250"/>
    </row>
    <row r="1235" spans="1:8">
      <c r="A1235" s="250" t="s">
        <v>5616</v>
      </c>
      <c r="B1235" s="250" t="s">
        <v>2935</v>
      </c>
      <c r="C1235" s="251">
        <v>502</v>
      </c>
      <c r="D1235" s="250" t="s">
        <v>2762</v>
      </c>
      <c r="E1235" s="10"/>
      <c r="F1235" s="252">
        <v>3235124846</v>
      </c>
      <c r="G1235" s="250"/>
      <c r="H1235" s="250"/>
    </row>
    <row r="1236" spans="1:8">
      <c r="A1236" s="250" t="s">
        <v>5617</v>
      </c>
      <c r="B1236" s="250" t="s">
        <v>5406</v>
      </c>
      <c r="C1236" s="251">
        <v>506</v>
      </c>
      <c r="D1236" s="250" t="s">
        <v>3803</v>
      </c>
      <c r="E1236" s="10"/>
      <c r="F1236" s="252">
        <v>3208349055</v>
      </c>
      <c r="G1236" s="250"/>
      <c r="H1236" s="250"/>
    </row>
    <row r="1237" spans="1:8">
      <c r="A1237" s="250" t="s">
        <v>5618</v>
      </c>
      <c r="B1237" s="250" t="s">
        <v>3661</v>
      </c>
      <c r="C1237" s="251">
        <v>103</v>
      </c>
      <c r="D1237" s="10" t="s">
        <v>5619</v>
      </c>
      <c r="E1237" s="10" t="s">
        <v>5620</v>
      </c>
      <c r="F1237" s="252">
        <v>3176810374</v>
      </c>
      <c r="G1237" s="250"/>
      <c r="H1237" s="250"/>
    </row>
    <row r="1238" spans="1:8">
      <c r="A1238" s="250" t="s">
        <v>103</v>
      </c>
      <c r="B1238" s="250" t="s">
        <v>3017</v>
      </c>
      <c r="C1238" s="251">
        <v>303</v>
      </c>
      <c r="D1238" s="10" t="s">
        <v>3129</v>
      </c>
      <c r="E1238" s="10"/>
      <c r="F1238" s="252"/>
      <c r="G1238" s="252"/>
      <c r="H1238" s="252"/>
    </row>
    <row r="1239" spans="1:8">
      <c r="A1239" s="250" t="s">
        <v>5621</v>
      </c>
      <c r="B1239" s="250" t="s">
        <v>5622</v>
      </c>
      <c r="C1239" s="251">
        <v>704</v>
      </c>
      <c r="D1239" s="10"/>
      <c r="E1239" s="10"/>
      <c r="F1239" s="252">
        <v>3164237352</v>
      </c>
      <c r="G1239" s="250"/>
      <c r="H1239" s="250"/>
    </row>
    <row r="1240" spans="1:8">
      <c r="A1240" s="250" t="s">
        <v>5623</v>
      </c>
      <c r="B1240" s="250" t="s">
        <v>5624</v>
      </c>
      <c r="C1240" s="251">
        <v>704</v>
      </c>
      <c r="D1240" s="10" t="s">
        <v>5625</v>
      </c>
      <c r="E1240" s="10"/>
      <c r="F1240" s="252">
        <v>3148506595</v>
      </c>
      <c r="G1240" s="250"/>
      <c r="H1240" s="250"/>
    </row>
    <row r="1241" spans="1:8">
      <c r="A1241" s="250" t="s">
        <v>5626</v>
      </c>
      <c r="B1241" s="250" t="s">
        <v>5627</v>
      </c>
      <c r="C1241" s="251">
        <v>502</v>
      </c>
      <c r="D1241" s="10" t="s">
        <v>5628</v>
      </c>
      <c r="E1241" s="10"/>
      <c r="F1241" s="252">
        <v>3168177473</v>
      </c>
      <c r="G1241" s="250"/>
      <c r="H1241" s="250"/>
    </row>
    <row r="1242" spans="1:8">
      <c r="A1242" s="250" t="s">
        <v>5629</v>
      </c>
      <c r="B1242" s="250" t="s">
        <v>5630</v>
      </c>
      <c r="C1242" s="251">
        <v>116</v>
      </c>
      <c r="D1242" s="10" t="s">
        <v>5631</v>
      </c>
      <c r="E1242" s="10"/>
      <c r="F1242" s="252">
        <v>3164687576</v>
      </c>
      <c r="G1242" s="250"/>
      <c r="H1242" s="250"/>
    </row>
    <row r="1243" spans="1:8">
      <c r="A1243" s="250" t="s">
        <v>5632</v>
      </c>
      <c r="B1243" s="250" t="s">
        <v>5633</v>
      </c>
      <c r="C1243" s="251">
        <v>703</v>
      </c>
      <c r="D1243" s="10"/>
      <c r="E1243" s="10"/>
      <c r="F1243" s="252">
        <v>3052361697</v>
      </c>
      <c r="G1243" s="250"/>
      <c r="H1243" s="250"/>
    </row>
    <row r="1244" spans="1:8">
      <c r="A1244" s="250" t="s">
        <v>5634</v>
      </c>
      <c r="B1244" s="250" t="s">
        <v>5635</v>
      </c>
      <c r="C1244" s="251" t="s">
        <v>3007</v>
      </c>
      <c r="D1244" s="10"/>
      <c r="E1244" s="10" t="s">
        <v>5636</v>
      </c>
      <c r="F1244" s="252">
        <v>3208808085</v>
      </c>
      <c r="G1244" s="250"/>
      <c r="H1244" s="250"/>
    </row>
    <row r="1245" spans="1:8">
      <c r="A1245" s="250" t="s">
        <v>575</v>
      </c>
      <c r="B1245" s="250" t="s">
        <v>5637</v>
      </c>
      <c r="C1245" s="251">
        <v>603</v>
      </c>
      <c r="D1245" s="10"/>
      <c r="E1245" s="10"/>
      <c r="F1245" s="252">
        <v>3153374741</v>
      </c>
      <c r="G1245" s="252"/>
      <c r="H1245" s="252"/>
    </row>
    <row r="1246" spans="1:8">
      <c r="A1246" s="250" t="s">
        <v>5638</v>
      </c>
      <c r="B1246" s="250" t="s">
        <v>5639</v>
      </c>
      <c r="C1246" s="251">
        <v>606</v>
      </c>
      <c r="D1246" s="10"/>
      <c r="E1246" s="10"/>
      <c r="F1246" s="252">
        <v>3107654648</v>
      </c>
      <c r="G1246" s="252"/>
      <c r="H1246" s="252"/>
    </row>
    <row r="1247" spans="1:8">
      <c r="A1247" s="250" t="s">
        <v>5640</v>
      </c>
      <c r="B1247" s="250" t="s">
        <v>5641</v>
      </c>
      <c r="C1247" s="251" t="s">
        <v>3007</v>
      </c>
      <c r="D1247" s="10"/>
      <c r="E1247" s="10"/>
      <c r="F1247" s="252">
        <v>3107676385</v>
      </c>
      <c r="G1247" s="250"/>
      <c r="H1247" s="250"/>
    </row>
    <row r="1248" spans="1:8">
      <c r="A1248" s="250" t="s">
        <v>5642</v>
      </c>
      <c r="B1248" s="250" t="s">
        <v>5643</v>
      </c>
      <c r="C1248" s="251">
        <v>102</v>
      </c>
      <c r="D1248" s="10" t="s">
        <v>5644</v>
      </c>
      <c r="E1248" s="10"/>
      <c r="F1248" s="252">
        <v>3192499151</v>
      </c>
      <c r="G1248" s="250"/>
      <c r="H1248" s="250"/>
    </row>
    <row r="1249" spans="1:8">
      <c r="A1249" s="250" t="s">
        <v>5645</v>
      </c>
      <c r="B1249" s="250" t="s">
        <v>5646</v>
      </c>
      <c r="C1249" s="251" t="s">
        <v>4156</v>
      </c>
      <c r="D1249" s="10" t="s">
        <v>5647</v>
      </c>
      <c r="E1249" s="10"/>
      <c r="F1249" s="252">
        <v>3132429993</v>
      </c>
      <c r="G1249" s="267"/>
      <c r="H1249" s="267"/>
    </row>
    <row r="1250" spans="1:8">
      <c r="A1250" s="250" t="s">
        <v>5648</v>
      </c>
      <c r="B1250" s="250" t="s">
        <v>5649</v>
      </c>
      <c r="C1250" s="251">
        <v>402</v>
      </c>
      <c r="D1250" s="10" t="s">
        <v>5650</v>
      </c>
      <c r="E1250" s="10" t="s">
        <v>5651</v>
      </c>
      <c r="F1250" s="252">
        <v>3133959195</v>
      </c>
      <c r="G1250" s="250"/>
      <c r="H1250" s="250"/>
    </row>
    <row r="1251" spans="1:8">
      <c r="A1251" s="250" t="s">
        <v>5652</v>
      </c>
      <c r="B1251" s="250" t="s">
        <v>5653</v>
      </c>
      <c r="C1251" s="251">
        <v>204</v>
      </c>
      <c r="D1251" s="10"/>
      <c r="E1251" s="10"/>
      <c r="F1251" s="252">
        <v>3103282858</v>
      </c>
      <c r="G1251" s="250"/>
      <c r="H1251" s="250"/>
    </row>
    <row r="1252" spans="1:8">
      <c r="A1252" s="250" t="s">
        <v>5654</v>
      </c>
      <c r="B1252" s="250" t="s">
        <v>5655</v>
      </c>
      <c r="C1252" s="251"/>
      <c r="D1252" s="10" t="s">
        <v>2733</v>
      </c>
      <c r="E1252" s="10"/>
      <c r="F1252" s="252">
        <v>3112788746</v>
      </c>
      <c r="G1252" s="250"/>
      <c r="H1252" s="250"/>
    </row>
    <row r="1253" spans="1:8">
      <c r="A1253" s="250" t="s">
        <v>5656</v>
      </c>
      <c r="B1253" s="250" t="s">
        <v>5657</v>
      </c>
      <c r="C1253" s="251">
        <v>505</v>
      </c>
      <c r="D1253" s="10" t="s">
        <v>5658</v>
      </c>
      <c r="E1253" s="10" t="s">
        <v>4854</v>
      </c>
      <c r="F1253" s="252">
        <v>3017859632</v>
      </c>
      <c r="G1253" s="250"/>
      <c r="H1253" s="250"/>
    </row>
    <row r="1254" spans="1:8">
      <c r="A1254" s="250" t="s">
        <v>5659</v>
      </c>
      <c r="B1254" s="250" t="s">
        <v>5660</v>
      </c>
      <c r="C1254" s="251">
        <v>605</v>
      </c>
      <c r="D1254" s="10" t="s">
        <v>2733</v>
      </c>
      <c r="E1254" s="10"/>
      <c r="F1254" s="252">
        <v>3216482930</v>
      </c>
      <c r="G1254" s="250"/>
      <c r="H1254" s="250"/>
    </row>
    <row r="1255" spans="1:8">
      <c r="A1255" s="250" t="s">
        <v>5661</v>
      </c>
      <c r="B1255" s="250" t="s">
        <v>4861</v>
      </c>
      <c r="C1255" s="251">
        <v>1401</v>
      </c>
      <c r="D1255" s="10" t="s">
        <v>5662</v>
      </c>
      <c r="E1255" s="10"/>
      <c r="F1255" s="252">
        <v>3176566854</v>
      </c>
      <c r="G1255" s="250"/>
      <c r="H1255" s="250"/>
    </row>
    <row r="1256" spans="1:8">
      <c r="A1256" s="250" t="s">
        <v>5663</v>
      </c>
      <c r="B1256" s="250" t="s">
        <v>5664</v>
      </c>
      <c r="C1256" s="251">
        <v>1103</v>
      </c>
      <c r="D1256" s="10"/>
      <c r="E1256" s="10"/>
      <c r="F1256" s="252">
        <v>3003199991</v>
      </c>
      <c r="G1256" s="250"/>
      <c r="H1256" s="250"/>
    </row>
    <row r="1257" spans="1:8">
      <c r="A1257" s="250" t="s">
        <v>5665</v>
      </c>
      <c r="B1257" s="250" t="s">
        <v>5666</v>
      </c>
      <c r="C1257" s="251" t="s">
        <v>5667</v>
      </c>
      <c r="D1257" s="10" t="s">
        <v>5668</v>
      </c>
      <c r="E1257" s="10"/>
      <c r="F1257" s="252">
        <v>3183894752</v>
      </c>
      <c r="G1257" s="250"/>
      <c r="H1257" s="250"/>
    </row>
    <row r="1258" spans="1:8">
      <c r="A1258" s="250" t="s">
        <v>5669</v>
      </c>
      <c r="B1258" s="250" t="s">
        <v>5670</v>
      </c>
      <c r="C1258" s="251">
        <v>401</v>
      </c>
      <c r="D1258" s="10" t="s">
        <v>5671</v>
      </c>
      <c r="E1258" s="10" t="s">
        <v>5672</v>
      </c>
      <c r="F1258" s="252">
        <v>3222638447</v>
      </c>
      <c r="G1258" s="250"/>
      <c r="H1258" s="250"/>
    </row>
    <row r="1259" spans="1:8">
      <c r="A1259" s="250" t="s">
        <v>5673</v>
      </c>
      <c r="B1259" s="250" t="s">
        <v>5674</v>
      </c>
      <c r="C1259" s="251">
        <v>902</v>
      </c>
      <c r="D1259" s="10" t="s">
        <v>5675</v>
      </c>
      <c r="E1259" s="10"/>
      <c r="F1259" s="252">
        <v>3102465669</v>
      </c>
      <c r="G1259" s="250"/>
      <c r="H1259" s="250"/>
    </row>
    <row r="1260" spans="1:8">
      <c r="A1260" s="250" t="s">
        <v>5676</v>
      </c>
      <c r="B1260" s="250" t="s">
        <v>5677</v>
      </c>
      <c r="C1260" s="251">
        <v>302</v>
      </c>
      <c r="D1260" s="10" t="s">
        <v>5678</v>
      </c>
      <c r="E1260" s="10" t="s">
        <v>5679</v>
      </c>
      <c r="F1260" s="252">
        <v>3219852235</v>
      </c>
      <c r="G1260" s="250"/>
      <c r="H1260" s="250"/>
    </row>
    <row r="1261" spans="1:8">
      <c r="A1261" s="250" t="s">
        <v>5680</v>
      </c>
      <c r="B1261" s="250" t="s">
        <v>5681</v>
      </c>
      <c r="C1261" s="251">
        <v>401</v>
      </c>
      <c r="D1261" s="10"/>
      <c r="E1261" s="10"/>
      <c r="F1261" s="252">
        <v>3182824725</v>
      </c>
      <c r="G1261" s="250"/>
      <c r="H1261" s="250"/>
    </row>
    <row r="1262" spans="1:8">
      <c r="A1262" s="250" t="s">
        <v>5682</v>
      </c>
      <c r="B1262" s="250" t="s">
        <v>5683</v>
      </c>
      <c r="C1262" s="251">
        <v>509</v>
      </c>
      <c r="D1262" s="10"/>
      <c r="E1262" s="10"/>
      <c r="F1262" s="252">
        <v>3183724165</v>
      </c>
      <c r="G1262" s="250"/>
      <c r="H1262" s="250"/>
    </row>
    <row r="1263" spans="1:8">
      <c r="A1263" s="250" t="s">
        <v>5684</v>
      </c>
      <c r="B1263" s="250" t="s">
        <v>5685</v>
      </c>
      <c r="C1263" s="251">
        <v>206</v>
      </c>
      <c r="D1263" s="10" t="s">
        <v>5686</v>
      </c>
      <c r="E1263" s="10"/>
      <c r="F1263" s="252">
        <v>3143823594</v>
      </c>
      <c r="G1263" s="250"/>
      <c r="H1263" s="250"/>
    </row>
    <row r="1264" spans="1:8">
      <c r="A1264" s="250" t="s">
        <v>5687</v>
      </c>
      <c r="B1264" s="250" t="s">
        <v>5688</v>
      </c>
      <c r="C1264" s="251">
        <v>608</v>
      </c>
      <c r="D1264" s="10"/>
      <c r="E1264" s="10"/>
      <c r="F1264" s="252">
        <v>3188136056</v>
      </c>
      <c r="G1264" s="250"/>
      <c r="H1264" s="250"/>
    </row>
    <row r="1265" spans="1:8">
      <c r="A1265" s="250" t="s">
        <v>5689</v>
      </c>
      <c r="B1265" s="250" t="s">
        <v>5690</v>
      </c>
      <c r="C1265" s="251">
        <v>305</v>
      </c>
      <c r="D1265" s="10" t="s">
        <v>5691</v>
      </c>
      <c r="E1265" s="10"/>
      <c r="F1265" s="252">
        <v>3183833666</v>
      </c>
      <c r="G1265" s="250"/>
      <c r="H1265" s="250"/>
    </row>
    <row r="1266" spans="1:8">
      <c r="A1266" s="250" t="s">
        <v>5692</v>
      </c>
      <c r="B1266" s="250" t="s">
        <v>5693</v>
      </c>
      <c r="C1266" s="251">
        <v>402</v>
      </c>
      <c r="D1266" s="10" t="s">
        <v>5694</v>
      </c>
      <c r="E1266" s="10"/>
      <c r="F1266" s="252">
        <v>3102979055</v>
      </c>
      <c r="G1266" s="250"/>
      <c r="H1266" s="250"/>
    </row>
    <row r="1267" spans="1:8">
      <c r="A1267" s="250" t="s">
        <v>5695</v>
      </c>
      <c r="B1267" s="250" t="s">
        <v>5696</v>
      </c>
      <c r="C1267" s="251">
        <v>607</v>
      </c>
      <c r="D1267" s="10" t="s">
        <v>4936</v>
      </c>
      <c r="E1267" s="10"/>
      <c r="F1267" s="252">
        <v>3202724755</v>
      </c>
      <c r="G1267" s="250"/>
      <c r="H1267" s="250"/>
    </row>
    <row r="1268" spans="1:8">
      <c r="A1268" s="250" t="s">
        <v>5697</v>
      </c>
      <c r="B1268" s="250" t="s">
        <v>5698</v>
      </c>
      <c r="C1268" s="251">
        <v>209</v>
      </c>
      <c r="D1268" s="10" t="s">
        <v>2907</v>
      </c>
      <c r="E1268" s="10"/>
      <c r="F1268" s="252">
        <v>3052855501</v>
      </c>
      <c r="G1268" s="250"/>
      <c r="H1268" s="250"/>
    </row>
    <row r="1269" spans="1:8">
      <c r="A1269" s="250" t="s">
        <v>5699</v>
      </c>
      <c r="B1269" s="250" t="s">
        <v>5700</v>
      </c>
      <c r="C1269" s="251" t="s">
        <v>3007</v>
      </c>
      <c r="D1269" s="10" t="s">
        <v>5701</v>
      </c>
      <c r="E1269" s="10"/>
      <c r="F1269" s="252">
        <v>3177897690</v>
      </c>
      <c r="G1269" s="250"/>
      <c r="H1269" s="250"/>
    </row>
    <row r="1270" spans="1:8">
      <c r="A1270" s="250" t="s">
        <v>5702</v>
      </c>
      <c r="B1270" s="250" t="s">
        <v>5703</v>
      </c>
      <c r="C1270" s="251">
        <v>2603</v>
      </c>
      <c r="D1270" s="10" t="s">
        <v>5704</v>
      </c>
      <c r="E1270" s="10"/>
      <c r="F1270" s="252">
        <v>3114416409</v>
      </c>
      <c r="G1270" s="250"/>
      <c r="H1270" s="250"/>
    </row>
    <row r="1271" spans="1:8">
      <c r="A1271" s="250" t="s">
        <v>5705</v>
      </c>
      <c r="B1271" s="250" t="s">
        <v>5706</v>
      </c>
      <c r="C1271" s="251">
        <v>328</v>
      </c>
      <c r="D1271" s="10" t="s">
        <v>5707</v>
      </c>
      <c r="E1271" s="10"/>
      <c r="F1271" s="252">
        <v>3134853786</v>
      </c>
      <c r="G1271" s="250"/>
      <c r="H1271" s="250"/>
    </row>
    <row r="1272" spans="1:8">
      <c r="A1272" s="250" t="s">
        <v>5708</v>
      </c>
      <c r="B1272" s="250" t="s">
        <v>5709</v>
      </c>
      <c r="C1272" s="251">
        <v>801</v>
      </c>
      <c r="D1272" s="10" t="s">
        <v>5710</v>
      </c>
      <c r="E1272" s="10" t="s">
        <v>5711</v>
      </c>
      <c r="F1272" s="252">
        <v>3133418450</v>
      </c>
      <c r="G1272" s="250"/>
      <c r="H1272" s="250"/>
    </row>
    <row r="1273" spans="1:8">
      <c r="A1273" s="250" t="s">
        <v>5712</v>
      </c>
      <c r="B1273" s="250" t="s">
        <v>5713</v>
      </c>
      <c r="C1273" s="251">
        <v>201</v>
      </c>
      <c r="D1273" s="10"/>
      <c r="E1273" s="10"/>
      <c r="F1273" s="252">
        <v>3014725513</v>
      </c>
      <c r="G1273" s="250"/>
      <c r="H1273" s="250"/>
    </row>
    <row r="1274" spans="1:8">
      <c r="A1274" s="250" t="s">
        <v>5714</v>
      </c>
      <c r="B1274" s="250" t="s">
        <v>5715</v>
      </c>
      <c r="C1274" s="251">
        <v>503</v>
      </c>
      <c r="D1274" s="10" t="s">
        <v>5716</v>
      </c>
      <c r="E1274" s="10"/>
      <c r="F1274" s="252">
        <v>3216699143</v>
      </c>
      <c r="G1274" s="250"/>
      <c r="H1274" s="250"/>
    </row>
    <row r="1275" spans="1:8">
      <c r="A1275" s="250" t="s">
        <v>5717</v>
      </c>
      <c r="B1275" s="250" t="s">
        <v>5718</v>
      </c>
      <c r="C1275" s="251">
        <v>502</v>
      </c>
      <c r="D1275" s="10"/>
      <c r="E1275" s="10"/>
      <c r="F1275" s="252">
        <v>3118883978</v>
      </c>
      <c r="G1275" s="250"/>
      <c r="H1275" s="250"/>
    </row>
    <row r="1276" spans="1:8">
      <c r="A1276" s="250" t="s">
        <v>5719</v>
      </c>
      <c r="B1276" s="250" t="s">
        <v>5720</v>
      </c>
      <c r="C1276" s="251">
        <v>604</v>
      </c>
      <c r="D1276" s="10" t="s">
        <v>5721</v>
      </c>
      <c r="E1276" s="10"/>
      <c r="F1276" s="252">
        <v>3102125506</v>
      </c>
      <c r="G1276" s="250"/>
      <c r="H1276" s="250"/>
    </row>
    <row r="1277" spans="1:8">
      <c r="A1277" s="250" t="s">
        <v>5722</v>
      </c>
      <c r="B1277" s="250" t="s">
        <v>5723</v>
      </c>
      <c r="C1277" s="251">
        <v>101</v>
      </c>
      <c r="D1277" s="10"/>
      <c r="E1277" s="10" t="s">
        <v>5724</v>
      </c>
      <c r="F1277" s="252">
        <v>3212280758</v>
      </c>
      <c r="G1277" s="250"/>
      <c r="H1277" s="250"/>
    </row>
    <row r="1278" spans="1:8">
      <c r="A1278" s="250" t="s">
        <v>5725</v>
      </c>
      <c r="B1278" s="250" t="s">
        <v>5726</v>
      </c>
      <c r="C1278" s="251">
        <v>404</v>
      </c>
      <c r="D1278" s="10" t="s">
        <v>5727</v>
      </c>
      <c r="E1278" s="10" t="s">
        <v>5728</v>
      </c>
      <c r="F1278" s="252">
        <v>3135956135</v>
      </c>
      <c r="G1278" s="250"/>
      <c r="H1278" s="250"/>
    </row>
    <row r="1279" spans="1:8">
      <c r="A1279" s="250" t="s">
        <v>5729</v>
      </c>
      <c r="B1279" s="250" t="s">
        <v>5730</v>
      </c>
      <c r="C1279" s="251">
        <v>401</v>
      </c>
      <c r="D1279" s="10"/>
      <c r="E1279" s="10"/>
      <c r="F1279" s="252">
        <v>3114528584</v>
      </c>
      <c r="G1279" s="250"/>
      <c r="H1279" s="250"/>
    </row>
    <row r="1280" spans="1:8">
      <c r="A1280" s="250" t="s">
        <v>5731</v>
      </c>
      <c r="B1280" s="250" t="s">
        <v>5732</v>
      </c>
      <c r="C1280" s="251">
        <v>501</v>
      </c>
      <c r="D1280" s="10" t="s">
        <v>3463</v>
      </c>
      <c r="E1280" s="10"/>
      <c r="F1280" s="252">
        <v>3133451111</v>
      </c>
      <c r="G1280" s="250"/>
      <c r="H1280" s="250"/>
    </row>
    <row r="1281" spans="1:8">
      <c r="A1281" s="250" t="s">
        <v>5733</v>
      </c>
      <c r="B1281" s="250" t="s">
        <v>5734</v>
      </c>
      <c r="C1281" s="251">
        <v>403</v>
      </c>
      <c r="D1281" s="10" t="s">
        <v>5735</v>
      </c>
      <c r="E1281" s="10"/>
      <c r="F1281" s="252">
        <v>3214549065</v>
      </c>
      <c r="G1281" s="250"/>
      <c r="H1281" s="250"/>
    </row>
    <row r="1282" spans="1:8">
      <c r="A1282" s="250" t="s">
        <v>5736</v>
      </c>
      <c r="B1282" s="250" t="s">
        <v>5737</v>
      </c>
      <c r="C1282" s="251">
        <v>101</v>
      </c>
      <c r="D1282" s="10"/>
      <c r="E1282" s="10"/>
      <c r="F1282" s="252">
        <v>3115102784</v>
      </c>
      <c r="G1282" s="250"/>
      <c r="H1282" s="250"/>
    </row>
    <row r="1283" spans="1:8">
      <c r="A1283" s="250" t="s">
        <v>5738</v>
      </c>
      <c r="B1283" s="250" t="s">
        <v>5739</v>
      </c>
      <c r="C1283" s="251">
        <v>2304</v>
      </c>
      <c r="D1283" s="10"/>
      <c r="E1283" s="10"/>
      <c r="F1283" s="252">
        <v>3138677080</v>
      </c>
      <c r="G1283" s="250"/>
      <c r="H1283" s="250"/>
    </row>
    <row r="1284" spans="1:8">
      <c r="A1284" s="250" t="s">
        <v>5740</v>
      </c>
      <c r="B1284" s="250" t="s">
        <v>5741</v>
      </c>
      <c r="C1284" s="251">
        <v>402</v>
      </c>
      <c r="D1284" s="10"/>
      <c r="E1284" s="10"/>
      <c r="F1284" s="252">
        <v>3158144982</v>
      </c>
      <c r="G1284" s="250"/>
      <c r="H1284" s="250"/>
    </row>
    <row r="1285" spans="1:8">
      <c r="A1285" s="250" t="s">
        <v>5742</v>
      </c>
      <c r="B1285" s="250" t="s">
        <v>5743</v>
      </c>
      <c r="C1285" s="251">
        <v>203</v>
      </c>
      <c r="D1285" s="10" t="s">
        <v>5744</v>
      </c>
      <c r="E1285" s="10"/>
      <c r="F1285" s="252">
        <v>3204583942</v>
      </c>
      <c r="G1285" s="250"/>
      <c r="H1285" s="250"/>
    </row>
    <row r="1286" spans="1:8">
      <c r="A1286" s="250" t="s">
        <v>5745</v>
      </c>
      <c r="B1286" s="250" t="s">
        <v>5746</v>
      </c>
      <c r="C1286" s="251">
        <v>101</v>
      </c>
      <c r="D1286" s="10"/>
      <c r="E1286" s="10"/>
      <c r="F1286" s="252">
        <v>3003618321</v>
      </c>
      <c r="G1286" s="250"/>
      <c r="H1286" s="250"/>
    </row>
    <row r="1287" spans="1:8">
      <c r="A1287" s="250" t="s">
        <v>5747</v>
      </c>
      <c r="B1287" s="250" t="s">
        <v>5748</v>
      </c>
      <c r="C1287" s="251">
        <v>504</v>
      </c>
      <c r="D1287" s="10"/>
      <c r="E1287" s="10"/>
      <c r="F1287" s="252">
        <v>3135744944</v>
      </c>
      <c r="G1287" s="250"/>
      <c r="H1287" s="250"/>
    </row>
    <row r="1288" spans="1:8">
      <c r="A1288" s="250" t="s">
        <v>5749</v>
      </c>
      <c r="B1288" s="250" t="s">
        <v>5750</v>
      </c>
      <c r="C1288" s="251">
        <v>413</v>
      </c>
      <c r="D1288" s="10" t="s">
        <v>5751</v>
      </c>
      <c r="E1288" s="10"/>
      <c r="F1288" s="252">
        <v>3208031162</v>
      </c>
      <c r="G1288" s="250"/>
      <c r="H1288" s="250"/>
    </row>
    <row r="1289" spans="1:8">
      <c r="A1289" s="250" t="s">
        <v>5752</v>
      </c>
      <c r="B1289" s="250" t="s">
        <v>5753</v>
      </c>
      <c r="C1289" s="251">
        <v>409</v>
      </c>
      <c r="D1289" s="10"/>
      <c r="E1289" s="10"/>
      <c r="F1289" s="252">
        <v>3136831353</v>
      </c>
      <c r="G1289" s="250"/>
      <c r="H1289" s="250"/>
    </row>
    <row r="1290" spans="1:8">
      <c r="A1290" s="250" t="s">
        <v>5754</v>
      </c>
      <c r="B1290" s="250" t="s">
        <v>5755</v>
      </c>
      <c r="C1290" s="251" t="s">
        <v>5756</v>
      </c>
      <c r="D1290" s="10" t="s">
        <v>5757</v>
      </c>
      <c r="E1290" s="10"/>
      <c r="F1290" s="252">
        <v>3105613713</v>
      </c>
      <c r="G1290" s="250"/>
      <c r="H1290" s="250"/>
    </row>
    <row r="1291" spans="1:8">
      <c r="A1291" s="250" t="s">
        <v>5758</v>
      </c>
      <c r="B1291" s="250" t="s">
        <v>5759</v>
      </c>
      <c r="C1291" s="251">
        <v>201</v>
      </c>
      <c r="D1291" s="10" t="s">
        <v>5760</v>
      </c>
      <c r="E1291" s="10"/>
      <c r="F1291" s="252">
        <v>3156640055</v>
      </c>
      <c r="G1291" s="250"/>
      <c r="H1291" s="250"/>
    </row>
    <row r="1292" spans="1:8">
      <c r="A1292" s="250" t="s">
        <v>5761</v>
      </c>
      <c r="B1292" s="250" t="s">
        <v>5762</v>
      </c>
      <c r="C1292" s="251">
        <v>1003</v>
      </c>
      <c r="D1292" s="10"/>
      <c r="E1292" s="10"/>
      <c r="F1292" s="252">
        <v>3153177061</v>
      </c>
      <c r="G1292" s="250"/>
      <c r="H1292" s="250"/>
    </row>
    <row r="1293" spans="1:8">
      <c r="A1293" s="250" t="s">
        <v>5763</v>
      </c>
      <c r="B1293" s="250" t="s">
        <v>5764</v>
      </c>
      <c r="C1293" s="251">
        <v>701</v>
      </c>
      <c r="D1293" s="10"/>
      <c r="E1293" s="10"/>
      <c r="F1293" s="252">
        <v>3124570823</v>
      </c>
      <c r="G1293" s="250"/>
      <c r="H1293" s="250"/>
    </row>
    <row r="1294" spans="1:8">
      <c r="A1294" s="250" t="s">
        <v>5765</v>
      </c>
      <c r="B1294" s="250" t="s">
        <v>5766</v>
      </c>
      <c r="C1294" s="251">
        <v>602</v>
      </c>
      <c r="D1294" s="10" t="s">
        <v>5767</v>
      </c>
      <c r="E1294" s="10" t="s">
        <v>5768</v>
      </c>
      <c r="F1294" s="252">
        <v>3115025018</v>
      </c>
      <c r="G1294" s="250"/>
      <c r="H1294" s="250"/>
    </row>
    <row r="1295" spans="1:8">
      <c r="A1295" s="250" t="s">
        <v>5769</v>
      </c>
      <c r="B1295" s="250" t="s">
        <v>5770</v>
      </c>
      <c r="C1295" s="251">
        <v>301</v>
      </c>
      <c r="D1295" s="10" t="s">
        <v>5771</v>
      </c>
      <c r="E1295" s="10"/>
      <c r="F1295" s="252">
        <v>3013618729</v>
      </c>
      <c r="G1295" s="250"/>
      <c r="H1295" s="250"/>
    </row>
    <row r="1296" spans="1:8">
      <c r="A1296" s="250" t="s">
        <v>5772</v>
      </c>
      <c r="B1296" s="250" t="s">
        <v>4816</v>
      </c>
      <c r="C1296" s="251"/>
      <c r="D1296" s="10"/>
      <c r="E1296" s="10" t="s">
        <v>5773</v>
      </c>
      <c r="F1296" s="252">
        <v>3013470107</v>
      </c>
      <c r="G1296" s="250"/>
      <c r="H1296" s="250"/>
    </row>
    <row r="1297" spans="1:8">
      <c r="A1297" s="250" t="s">
        <v>5774</v>
      </c>
      <c r="B1297" s="250" t="s">
        <v>5775</v>
      </c>
      <c r="C1297" s="251">
        <v>302</v>
      </c>
      <c r="D1297" s="10"/>
      <c r="E1297" s="10"/>
      <c r="F1297" s="252">
        <v>3214590158</v>
      </c>
      <c r="G1297" s="250"/>
      <c r="H1297" s="250"/>
    </row>
    <row r="1298" spans="1:8">
      <c r="A1298" s="250" t="s">
        <v>4504</v>
      </c>
      <c r="B1298" s="250" t="s">
        <v>5776</v>
      </c>
      <c r="C1298" s="251">
        <v>201</v>
      </c>
      <c r="D1298" s="10" t="s">
        <v>5777</v>
      </c>
      <c r="E1298" s="10"/>
      <c r="F1298" s="252">
        <v>3208448620</v>
      </c>
      <c r="G1298" s="250"/>
      <c r="H1298" s="250"/>
    </row>
    <row r="1299" spans="1:8">
      <c r="A1299" s="250" t="s">
        <v>5778</v>
      </c>
      <c r="B1299" s="250" t="s">
        <v>5779</v>
      </c>
      <c r="C1299" s="251">
        <v>1001</v>
      </c>
      <c r="D1299" s="10" t="s">
        <v>2772</v>
      </c>
      <c r="E1299" s="10" t="s">
        <v>5780</v>
      </c>
      <c r="F1299" s="252">
        <v>3152349045</v>
      </c>
      <c r="G1299" s="250"/>
      <c r="H1299" s="250"/>
    </row>
    <row r="1300" spans="1:8">
      <c r="A1300" s="250" t="s">
        <v>5781</v>
      </c>
      <c r="B1300" s="250" t="s">
        <v>5782</v>
      </c>
      <c r="C1300" s="251">
        <v>402</v>
      </c>
      <c r="D1300" s="10" t="s">
        <v>5783</v>
      </c>
      <c r="E1300" s="10"/>
      <c r="F1300" s="252">
        <v>3004946237</v>
      </c>
      <c r="G1300" s="250"/>
      <c r="H1300" s="250"/>
    </row>
    <row r="1301" spans="1:8">
      <c r="A1301" s="250" t="s">
        <v>5784</v>
      </c>
      <c r="B1301" s="250" t="s">
        <v>5785</v>
      </c>
      <c r="C1301" s="251">
        <v>308</v>
      </c>
      <c r="D1301" s="10"/>
      <c r="E1301" s="10"/>
      <c r="F1301" s="252">
        <v>3004117614</v>
      </c>
      <c r="G1301" s="250"/>
      <c r="H1301" s="250"/>
    </row>
    <row r="1302" spans="1:8">
      <c r="A1302" s="250" t="s">
        <v>5786</v>
      </c>
      <c r="B1302" s="250" t="s">
        <v>5787</v>
      </c>
      <c r="C1302" s="251">
        <v>101</v>
      </c>
      <c r="D1302" s="10" t="s">
        <v>5788</v>
      </c>
      <c r="E1302" s="10" t="s">
        <v>5789</v>
      </c>
      <c r="F1302" s="252">
        <v>3196809151</v>
      </c>
      <c r="G1302" s="250"/>
      <c r="H1302" s="250"/>
    </row>
    <row r="1303" spans="1:8">
      <c r="A1303" s="250" t="s">
        <v>5790</v>
      </c>
      <c r="B1303" s="250" t="s">
        <v>5791</v>
      </c>
      <c r="C1303" s="251">
        <v>606</v>
      </c>
      <c r="D1303" s="10" t="s">
        <v>5792</v>
      </c>
      <c r="E1303" s="10"/>
      <c r="F1303" s="252">
        <v>3187161452</v>
      </c>
      <c r="G1303" s="250"/>
      <c r="H1303" s="250"/>
    </row>
    <row r="1304" spans="1:8">
      <c r="A1304" s="250" t="s">
        <v>5793</v>
      </c>
      <c r="B1304" s="250" t="s">
        <v>5794</v>
      </c>
      <c r="C1304" s="251">
        <v>304</v>
      </c>
      <c r="D1304" s="10" t="s">
        <v>5795</v>
      </c>
      <c r="E1304" s="10"/>
      <c r="F1304" s="252">
        <v>3219532144</v>
      </c>
      <c r="G1304" s="250"/>
      <c r="H1304" s="250"/>
    </row>
    <row r="1305" spans="1:8">
      <c r="A1305" s="250" t="s">
        <v>5796</v>
      </c>
      <c r="B1305" s="250" t="s">
        <v>5797</v>
      </c>
      <c r="C1305" s="251">
        <v>303</v>
      </c>
      <c r="D1305" s="10" t="s">
        <v>2762</v>
      </c>
      <c r="E1305" s="10"/>
      <c r="F1305" s="252">
        <v>3204749695</v>
      </c>
      <c r="G1305" s="250"/>
      <c r="H1305" s="250"/>
    </row>
    <row r="1306" spans="1:8">
      <c r="A1306" s="250" t="s">
        <v>5798</v>
      </c>
      <c r="B1306" s="250" t="s">
        <v>5799</v>
      </c>
      <c r="C1306" s="251">
        <v>502</v>
      </c>
      <c r="D1306" s="10" t="s">
        <v>5800</v>
      </c>
      <c r="E1306" s="10"/>
      <c r="F1306" s="252">
        <v>3106315213</v>
      </c>
      <c r="G1306" s="250"/>
      <c r="H1306" s="250"/>
    </row>
    <row r="1307" spans="1:8">
      <c r="A1307" s="250" t="s">
        <v>5801</v>
      </c>
      <c r="B1307" s="250" t="s">
        <v>5802</v>
      </c>
      <c r="C1307" s="251">
        <v>802</v>
      </c>
      <c r="D1307" s="10" t="s">
        <v>5803</v>
      </c>
      <c r="E1307" s="10"/>
      <c r="F1307" s="252">
        <v>3017839904</v>
      </c>
      <c r="G1307" s="250"/>
      <c r="H1307" s="250"/>
    </row>
    <row r="1308" spans="1:8">
      <c r="A1308" s="250" t="s">
        <v>5804</v>
      </c>
      <c r="B1308" s="250" t="s">
        <v>4894</v>
      </c>
      <c r="C1308" s="251">
        <v>808</v>
      </c>
      <c r="D1308" s="10"/>
      <c r="E1308" s="10"/>
      <c r="F1308" s="252">
        <v>3138860261</v>
      </c>
      <c r="G1308" s="250"/>
      <c r="H1308" s="250"/>
    </row>
    <row r="1309" spans="1:8">
      <c r="A1309" s="250" t="s">
        <v>5805</v>
      </c>
      <c r="B1309" s="250" t="s">
        <v>5806</v>
      </c>
      <c r="C1309" s="251">
        <v>406</v>
      </c>
      <c r="D1309" s="10" t="s">
        <v>3833</v>
      </c>
      <c r="E1309" s="10"/>
      <c r="F1309" s="252">
        <v>3166778762</v>
      </c>
      <c r="G1309" s="250"/>
      <c r="H1309" s="250"/>
    </row>
    <row r="1310" spans="1:8">
      <c r="A1310" s="250" t="s">
        <v>5807</v>
      </c>
      <c r="B1310" s="250" t="s">
        <v>5808</v>
      </c>
      <c r="C1310" s="251">
        <v>601</v>
      </c>
      <c r="D1310" s="10"/>
      <c r="E1310" s="10"/>
      <c r="F1310" s="252">
        <v>3013410605</v>
      </c>
      <c r="G1310" s="250"/>
      <c r="H1310" s="250"/>
    </row>
    <row r="1311" spans="1:8">
      <c r="A1311" s="250" t="s">
        <v>5809</v>
      </c>
      <c r="B1311" s="250" t="s">
        <v>5810</v>
      </c>
      <c r="C1311" s="251">
        <v>607</v>
      </c>
      <c r="D1311" s="10" t="s">
        <v>5811</v>
      </c>
      <c r="E1311" s="10"/>
      <c r="F1311" s="252">
        <v>3106780670</v>
      </c>
      <c r="G1311" s="250"/>
      <c r="H1311" s="250"/>
    </row>
    <row r="1312" spans="1:8">
      <c r="A1312" s="250" t="s">
        <v>5812</v>
      </c>
      <c r="B1312" s="250" t="s">
        <v>5813</v>
      </c>
      <c r="C1312" s="251">
        <v>501</v>
      </c>
      <c r="D1312" s="10"/>
      <c r="E1312" s="10"/>
      <c r="F1312" s="252">
        <v>3194330926</v>
      </c>
      <c r="G1312" s="250"/>
      <c r="H1312" s="250"/>
    </row>
    <row r="1313" spans="1:8">
      <c r="A1313" s="250" t="s">
        <v>5814</v>
      </c>
      <c r="B1313" s="250" t="s">
        <v>5815</v>
      </c>
      <c r="C1313" s="251">
        <v>905</v>
      </c>
      <c r="D1313" s="10" t="s">
        <v>5816</v>
      </c>
      <c r="E1313" s="10"/>
      <c r="F1313" s="252">
        <v>3104780982</v>
      </c>
      <c r="G1313" s="250"/>
      <c r="H1313" s="250"/>
    </row>
    <row r="1314" spans="1:8">
      <c r="A1314" s="250" t="s">
        <v>5817</v>
      </c>
      <c r="B1314" s="250" t="s">
        <v>5818</v>
      </c>
      <c r="C1314" s="251">
        <v>403</v>
      </c>
      <c r="D1314" s="10"/>
      <c r="E1314" s="10" t="s">
        <v>2914</v>
      </c>
      <c r="F1314" s="252">
        <v>3174288291</v>
      </c>
      <c r="G1314" s="250"/>
      <c r="H1314" s="250"/>
    </row>
    <row r="1315" spans="1:8">
      <c r="A1315" s="250" t="s">
        <v>5819</v>
      </c>
      <c r="B1315" s="250" t="s">
        <v>5820</v>
      </c>
      <c r="C1315" s="251">
        <v>1301</v>
      </c>
      <c r="D1315" s="10" t="s">
        <v>5821</v>
      </c>
      <c r="E1315" s="10"/>
      <c r="F1315" s="10">
        <v>3166904008</v>
      </c>
      <c r="G1315" s="250"/>
      <c r="H1315" s="250"/>
    </row>
    <row r="1316" spans="1:8">
      <c r="A1316" s="250" t="s">
        <v>5822</v>
      </c>
      <c r="B1316" s="250" t="s">
        <v>5823</v>
      </c>
      <c r="C1316" s="251">
        <v>603</v>
      </c>
      <c r="D1316" s="10" t="s">
        <v>5824</v>
      </c>
      <c r="E1316" s="10"/>
      <c r="F1316" s="252">
        <v>3143406117</v>
      </c>
      <c r="G1316" s="250"/>
      <c r="H1316" s="250"/>
    </row>
    <row r="1317" spans="1:8">
      <c r="A1317" s="250" t="s">
        <v>5825</v>
      </c>
      <c r="B1317" s="250" t="s">
        <v>5826</v>
      </c>
      <c r="C1317" s="251" t="s">
        <v>3398</v>
      </c>
      <c r="D1317" s="10" t="s">
        <v>5827</v>
      </c>
      <c r="E1317" s="10"/>
      <c r="F1317" s="252">
        <v>3008040416</v>
      </c>
      <c r="G1317" s="250"/>
      <c r="H1317" s="250"/>
    </row>
    <row r="1318" spans="1:8">
      <c r="A1318" s="250" t="s">
        <v>5828</v>
      </c>
      <c r="B1318" s="250" t="s">
        <v>5829</v>
      </c>
      <c r="C1318" s="251">
        <v>548</v>
      </c>
      <c r="D1318" s="10"/>
      <c r="E1318" s="10"/>
      <c r="F1318" s="252">
        <v>3185292069</v>
      </c>
      <c r="G1318" s="250"/>
      <c r="H1318" s="250"/>
    </row>
    <row r="1319" spans="1:8">
      <c r="A1319" s="250" t="s">
        <v>5830</v>
      </c>
      <c r="B1319" s="250" t="s">
        <v>5831</v>
      </c>
      <c r="C1319" s="251">
        <v>101</v>
      </c>
      <c r="D1319" s="10" t="s">
        <v>5832</v>
      </c>
      <c r="E1319" s="10"/>
      <c r="F1319" s="252">
        <v>3015358509</v>
      </c>
      <c r="G1319" s="250"/>
      <c r="H1319" s="250"/>
    </row>
    <row r="1320" spans="1:8">
      <c r="A1320" s="250" t="s">
        <v>5833</v>
      </c>
      <c r="B1320" s="250" t="s">
        <v>5820</v>
      </c>
      <c r="C1320" s="251" t="s">
        <v>5834</v>
      </c>
      <c r="D1320" s="10" t="s">
        <v>2721</v>
      </c>
      <c r="E1320" s="10"/>
      <c r="F1320" s="252">
        <v>3103156662</v>
      </c>
      <c r="G1320" s="250"/>
      <c r="H1320" s="250"/>
    </row>
    <row r="1321" spans="1:8">
      <c r="A1321" s="250" t="s">
        <v>5835</v>
      </c>
      <c r="B1321" s="250" t="s">
        <v>5836</v>
      </c>
      <c r="C1321" s="251">
        <v>304</v>
      </c>
      <c r="D1321" s="10" t="s">
        <v>5837</v>
      </c>
      <c r="E1321" s="10"/>
      <c r="F1321" s="252">
        <v>3024134975</v>
      </c>
      <c r="G1321" s="250"/>
      <c r="H1321" s="250"/>
    </row>
    <row r="1322" spans="1:8">
      <c r="A1322" s="250" t="s">
        <v>5838</v>
      </c>
      <c r="B1322" s="250" t="s">
        <v>5839</v>
      </c>
      <c r="C1322" s="251">
        <v>402</v>
      </c>
      <c r="D1322" s="10" t="s">
        <v>5840</v>
      </c>
      <c r="E1322" s="10"/>
      <c r="F1322" s="252">
        <v>3163364085</v>
      </c>
      <c r="G1322" s="250"/>
      <c r="H1322" s="250"/>
    </row>
    <row r="1323" spans="1:8">
      <c r="A1323" s="250" t="s">
        <v>5841</v>
      </c>
      <c r="B1323" s="250" t="s">
        <v>5842</v>
      </c>
      <c r="C1323" s="251">
        <v>102</v>
      </c>
      <c r="D1323" s="10" t="s">
        <v>5843</v>
      </c>
      <c r="E1323" s="10"/>
      <c r="F1323" s="252">
        <v>3153425245</v>
      </c>
      <c r="G1323" s="250"/>
      <c r="H1323" s="250"/>
    </row>
    <row r="1324" spans="1:8">
      <c r="A1324" s="250" t="s">
        <v>5844</v>
      </c>
      <c r="B1324" s="250" t="s">
        <v>5845</v>
      </c>
      <c r="C1324" s="251">
        <v>204</v>
      </c>
      <c r="D1324" s="10"/>
      <c r="E1324" s="10"/>
      <c r="F1324" s="252">
        <v>3214827521</v>
      </c>
      <c r="G1324" s="250"/>
      <c r="H1324" s="250"/>
    </row>
    <row r="1325" spans="1:8">
      <c r="A1325" s="250" t="s">
        <v>5846</v>
      </c>
      <c r="B1325" s="250" t="s">
        <v>5847</v>
      </c>
      <c r="C1325" s="251">
        <v>304</v>
      </c>
      <c r="D1325" s="10" t="s">
        <v>5848</v>
      </c>
      <c r="E1325" s="10" t="s">
        <v>4854</v>
      </c>
      <c r="F1325" s="252">
        <v>3103025584</v>
      </c>
      <c r="G1325" s="250"/>
      <c r="H1325" s="250"/>
    </row>
    <row r="1326" spans="1:8">
      <c r="A1326" s="250" t="s">
        <v>5849</v>
      </c>
      <c r="B1326" s="250" t="s">
        <v>5850</v>
      </c>
      <c r="C1326" s="251">
        <v>202</v>
      </c>
      <c r="D1326" s="10"/>
      <c r="E1326" s="10" t="s">
        <v>5851</v>
      </c>
      <c r="F1326" s="252">
        <v>3134046125</v>
      </c>
      <c r="G1326" s="250"/>
      <c r="H1326" s="250"/>
    </row>
    <row r="1327" spans="1:8">
      <c r="A1327" s="250" t="s">
        <v>5852</v>
      </c>
      <c r="B1327" s="250" t="s">
        <v>5853</v>
      </c>
      <c r="C1327" s="251">
        <v>401</v>
      </c>
      <c r="D1327" s="10" t="s">
        <v>5854</v>
      </c>
      <c r="E1327" s="10" t="s">
        <v>5532</v>
      </c>
      <c r="F1327" s="252">
        <v>3007405459</v>
      </c>
      <c r="G1327" s="250"/>
      <c r="H1327" s="250"/>
    </row>
    <row r="1328" spans="1:8">
      <c r="A1328" s="250" t="s">
        <v>334</v>
      </c>
      <c r="B1328" s="250" t="s">
        <v>5855</v>
      </c>
      <c r="C1328" s="251">
        <v>201</v>
      </c>
      <c r="D1328" s="10" t="s">
        <v>5856</v>
      </c>
      <c r="E1328" s="10"/>
      <c r="F1328" s="252">
        <v>3123634809</v>
      </c>
      <c r="G1328" s="250"/>
      <c r="H1328" s="250"/>
    </row>
    <row r="1329" spans="1:8">
      <c r="A1329" s="250" t="s">
        <v>5857</v>
      </c>
      <c r="B1329" s="250" t="s">
        <v>5858</v>
      </c>
      <c r="C1329" s="251" t="s">
        <v>5859</v>
      </c>
      <c r="D1329" s="269" t="s">
        <v>5407</v>
      </c>
      <c r="E1329" s="10"/>
      <c r="F1329" s="252">
        <v>3113446387</v>
      </c>
      <c r="G1329" s="250"/>
      <c r="H1329" s="250"/>
    </row>
    <row r="1330" spans="1:8">
      <c r="A1330" s="250" t="s">
        <v>5860</v>
      </c>
      <c r="B1330" s="250" t="s">
        <v>5861</v>
      </c>
      <c r="C1330" s="251">
        <v>616</v>
      </c>
      <c r="D1330" s="10" t="s">
        <v>5862</v>
      </c>
      <c r="E1330" s="10" t="s">
        <v>5863</v>
      </c>
      <c r="F1330" s="252">
        <v>3114536687</v>
      </c>
      <c r="G1330" s="250"/>
      <c r="H1330" s="250"/>
    </row>
    <row r="1331" spans="1:8">
      <c r="A1331" s="250" t="s">
        <v>5864</v>
      </c>
      <c r="B1331" s="250" t="s">
        <v>3510</v>
      </c>
      <c r="C1331" s="269">
        <v>1212</v>
      </c>
      <c r="D1331" s="10" t="s">
        <v>2762</v>
      </c>
      <c r="E1331" s="10"/>
      <c r="F1331" s="252">
        <v>3174039081</v>
      </c>
      <c r="G1331" s="250"/>
      <c r="H1331" s="250"/>
    </row>
    <row r="1332" spans="1:8">
      <c r="A1332" s="250" t="s">
        <v>5865</v>
      </c>
      <c r="B1332" s="250" t="s">
        <v>5866</v>
      </c>
      <c r="C1332" s="251">
        <v>404</v>
      </c>
      <c r="D1332" s="10"/>
      <c r="E1332" s="10" t="s">
        <v>5867</v>
      </c>
      <c r="F1332" s="252">
        <v>3044182457</v>
      </c>
      <c r="G1332" s="250"/>
      <c r="H1332" s="250"/>
    </row>
    <row r="1333" spans="1:8">
      <c r="A1333" s="250" t="s">
        <v>5868</v>
      </c>
      <c r="B1333" s="250" t="s">
        <v>5869</v>
      </c>
      <c r="C1333" s="251">
        <v>804</v>
      </c>
      <c r="D1333" s="10" t="s">
        <v>5870</v>
      </c>
      <c r="E1333" s="10"/>
      <c r="F1333" s="252">
        <v>3203480008</v>
      </c>
      <c r="G1333" s="250"/>
      <c r="H1333" s="250"/>
    </row>
    <row r="1334" spans="1:8">
      <c r="A1334" s="250" t="s">
        <v>5871</v>
      </c>
      <c r="B1334" s="250" t="s">
        <v>5872</v>
      </c>
      <c r="C1334" s="251">
        <v>402</v>
      </c>
      <c r="D1334" s="10" t="s">
        <v>5873</v>
      </c>
      <c r="E1334" s="10" t="s">
        <v>5867</v>
      </c>
      <c r="F1334" s="252">
        <v>3219611573</v>
      </c>
      <c r="G1334" s="250"/>
      <c r="H1334" s="250"/>
    </row>
    <row r="1335" spans="1:8">
      <c r="A1335" s="250" t="s">
        <v>5874</v>
      </c>
      <c r="B1335" s="250" t="s">
        <v>5875</v>
      </c>
      <c r="C1335" s="251">
        <v>410</v>
      </c>
      <c r="D1335" s="10"/>
      <c r="E1335" s="10" t="s">
        <v>5867</v>
      </c>
      <c r="F1335" s="252">
        <v>3175013865</v>
      </c>
      <c r="G1335" s="250"/>
      <c r="H1335" s="250"/>
    </row>
    <row r="1336" spans="1:8">
      <c r="A1336" s="250" t="s">
        <v>5876</v>
      </c>
      <c r="B1336" s="250" t="s">
        <v>5877</v>
      </c>
      <c r="C1336" s="251">
        <v>409</v>
      </c>
      <c r="D1336" s="10" t="s">
        <v>5878</v>
      </c>
      <c r="E1336" s="10"/>
      <c r="F1336" s="252">
        <v>3174404876</v>
      </c>
      <c r="G1336" s="250"/>
      <c r="H1336" s="250"/>
    </row>
    <row r="1337" spans="1:8">
      <c r="A1337" s="250" t="s">
        <v>5879</v>
      </c>
      <c r="B1337" s="250" t="s">
        <v>5880</v>
      </c>
      <c r="C1337" s="251">
        <v>1102</v>
      </c>
      <c r="D1337" s="10" t="s">
        <v>4501</v>
      </c>
      <c r="E1337" s="10"/>
      <c r="F1337" s="252">
        <v>3103236484</v>
      </c>
      <c r="G1337" s="250"/>
      <c r="H1337" s="250"/>
    </row>
    <row r="1338" spans="1:8">
      <c r="A1338" s="250" t="s">
        <v>5881</v>
      </c>
      <c r="B1338" s="250" t="s">
        <v>4500</v>
      </c>
      <c r="C1338" s="251">
        <v>107</v>
      </c>
      <c r="D1338" s="10" t="s">
        <v>5882</v>
      </c>
      <c r="E1338" s="10"/>
      <c r="F1338" s="252">
        <v>3124507883</v>
      </c>
      <c r="G1338" s="250"/>
      <c r="H1338" s="250"/>
    </row>
    <row r="1339" spans="1:8">
      <c r="A1339" s="250" t="s">
        <v>5883</v>
      </c>
      <c r="B1339" s="250" t="s">
        <v>5884</v>
      </c>
      <c r="C1339" s="251">
        <v>604</v>
      </c>
      <c r="D1339" s="10"/>
      <c r="E1339" s="10"/>
      <c r="F1339" s="252">
        <v>3193977208</v>
      </c>
      <c r="G1339" s="250"/>
      <c r="H1339" s="250"/>
    </row>
    <row r="1340" spans="1:8">
      <c r="A1340" s="250" t="s">
        <v>5885</v>
      </c>
      <c r="B1340" s="250" t="s">
        <v>5886</v>
      </c>
      <c r="C1340" s="251">
        <v>408</v>
      </c>
      <c r="D1340" s="10" t="s">
        <v>5887</v>
      </c>
      <c r="E1340" s="10"/>
      <c r="F1340" s="252">
        <v>3167411849</v>
      </c>
      <c r="G1340" s="250"/>
      <c r="H1340" s="250"/>
    </row>
    <row r="1341" spans="1:8">
      <c r="A1341" s="250" t="s">
        <v>5888</v>
      </c>
      <c r="B1341" s="250" t="s">
        <v>5889</v>
      </c>
      <c r="C1341" s="251">
        <v>802</v>
      </c>
      <c r="D1341" s="10" t="s">
        <v>4709</v>
      </c>
      <c r="E1341" s="10" t="s">
        <v>5588</v>
      </c>
      <c r="F1341" s="252">
        <v>3113538519</v>
      </c>
      <c r="G1341" s="250"/>
      <c r="H1341" s="250"/>
    </row>
    <row r="1342" spans="1:8">
      <c r="A1342" s="250" t="s">
        <v>5890</v>
      </c>
      <c r="B1342" s="250" t="s">
        <v>5891</v>
      </c>
      <c r="C1342" s="251">
        <v>503</v>
      </c>
      <c r="D1342" s="10" t="s">
        <v>2733</v>
      </c>
      <c r="E1342" s="10"/>
      <c r="F1342" s="252">
        <v>3103091203</v>
      </c>
      <c r="G1342" s="250"/>
      <c r="H1342" s="250"/>
    </row>
    <row r="1343" spans="1:8">
      <c r="A1343" s="250" t="s">
        <v>5892</v>
      </c>
      <c r="B1343" s="250" t="s">
        <v>5893</v>
      </c>
      <c r="C1343" s="251">
        <v>209</v>
      </c>
      <c r="D1343" s="10"/>
      <c r="E1343" s="10" t="s">
        <v>5867</v>
      </c>
      <c r="F1343" s="252">
        <v>3124348250</v>
      </c>
      <c r="G1343" s="250"/>
      <c r="H1343" s="250"/>
    </row>
    <row r="1344" spans="1:8">
      <c r="A1344" s="250" t="s">
        <v>5894</v>
      </c>
      <c r="B1344" s="250" t="s">
        <v>5895</v>
      </c>
      <c r="C1344" s="251"/>
      <c r="D1344" s="10"/>
      <c r="E1344" s="10"/>
      <c r="F1344" s="252">
        <v>3057039906</v>
      </c>
      <c r="G1344" s="250"/>
      <c r="H1344" s="250"/>
    </row>
    <row r="1345" spans="1:8">
      <c r="A1345" s="250" t="s">
        <v>5896</v>
      </c>
      <c r="B1345" s="250" t="s">
        <v>5897</v>
      </c>
      <c r="C1345" s="251">
        <v>302</v>
      </c>
      <c r="D1345" s="10" t="s">
        <v>5898</v>
      </c>
      <c r="E1345" s="10"/>
      <c r="F1345" s="252">
        <v>3023754405</v>
      </c>
      <c r="G1345" s="250"/>
      <c r="H1345" s="250"/>
    </row>
    <row r="1346" spans="1:8">
      <c r="A1346" s="250" t="s">
        <v>5899</v>
      </c>
      <c r="B1346" s="250" t="s">
        <v>5900</v>
      </c>
      <c r="C1346" s="251">
        <v>504</v>
      </c>
      <c r="D1346" s="10" t="s">
        <v>5901</v>
      </c>
      <c r="E1346" s="10" t="s">
        <v>5902</v>
      </c>
      <c r="F1346" s="252">
        <v>3006205563</v>
      </c>
      <c r="G1346" s="250"/>
      <c r="H1346" s="250"/>
    </row>
    <row r="1347" spans="1:8">
      <c r="A1347" s="250" t="s">
        <v>5903</v>
      </c>
      <c r="B1347" s="250" t="s">
        <v>4816</v>
      </c>
      <c r="C1347" s="251">
        <v>1010</v>
      </c>
      <c r="D1347" s="10" t="s">
        <v>4849</v>
      </c>
      <c r="E1347" s="10"/>
      <c r="F1347" s="252">
        <v>3176475716</v>
      </c>
      <c r="G1347" s="250"/>
      <c r="H1347" s="250"/>
    </row>
    <row r="1348" spans="1:8">
      <c r="A1348" s="250" t="s">
        <v>5904</v>
      </c>
      <c r="B1348" s="250" t="s">
        <v>5905</v>
      </c>
      <c r="C1348" s="251">
        <v>202</v>
      </c>
      <c r="D1348" s="10" t="s">
        <v>5906</v>
      </c>
      <c r="E1348" s="10" t="s">
        <v>5907</v>
      </c>
      <c r="F1348" s="252">
        <v>3142956891</v>
      </c>
      <c r="G1348" s="250"/>
      <c r="H1348" s="250"/>
    </row>
    <row r="1349" spans="1:8">
      <c r="A1349" s="250" t="s">
        <v>5908</v>
      </c>
      <c r="B1349" s="250" t="s">
        <v>5909</v>
      </c>
      <c r="C1349" s="251">
        <v>802</v>
      </c>
      <c r="D1349" s="10" t="s">
        <v>5910</v>
      </c>
      <c r="E1349" s="10"/>
      <c r="F1349" s="252">
        <v>3112860758</v>
      </c>
      <c r="G1349" s="250"/>
      <c r="H1349" s="250"/>
    </row>
    <row r="1350" spans="1:8">
      <c r="A1350" s="250" t="s">
        <v>5911</v>
      </c>
      <c r="B1350" s="250" t="s">
        <v>5912</v>
      </c>
      <c r="C1350" s="251">
        <v>501</v>
      </c>
      <c r="D1350" s="10" t="s">
        <v>5913</v>
      </c>
      <c r="E1350" s="10"/>
      <c r="F1350" s="252">
        <v>3102817550</v>
      </c>
      <c r="G1350" s="250"/>
      <c r="H1350" s="250"/>
    </row>
    <row r="1351" spans="1:8">
      <c r="A1351" s="250" t="s">
        <v>5914</v>
      </c>
      <c r="B1351" s="250" t="s">
        <v>5915</v>
      </c>
      <c r="C1351" s="251">
        <v>204</v>
      </c>
      <c r="D1351" s="10"/>
      <c r="E1351" s="10"/>
      <c r="F1351" s="252">
        <v>3002995213</v>
      </c>
      <c r="G1351" s="250"/>
      <c r="H1351" s="250"/>
    </row>
    <row r="1352" spans="1:8">
      <c r="A1352" s="250" t="s">
        <v>5916</v>
      </c>
      <c r="B1352" s="250" t="s">
        <v>5917</v>
      </c>
      <c r="C1352" s="251">
        <v>201</v>
      </c>
      <c r="D1352" s="10"/>
      <c r="E1352" s="10"/>
      <c r="F1352" s="252">
        <v>3165248851</v>
      </c>
      <c r="G1352" s="250"/>
      <c r="H1352" s="250"/>
    </row>
    <row r="1353" spans="1:8">
      <c r="A1353" s="250" t="s">
        <v>5918</v>
      </c>
      <c r="B1353" s="250" t="s">
        <v>5919</v>
      </c>
      <c r="C1353" s="251">
        <v>304</v>
      </c>
      <c r="D1353" s="10" t="s">
        <v>5920</v>
      </c>
      <c r="E1353" s="10"/>
      <c r="F1353" s="252">
        <v>3153718095</v>
      </c>
      <c r="G1353" s="250"/>
      <c r="H1353" s="250"/>
    </row>
    <row r="1354" spans="1:8">
      <c r="A1354" s="250" t="s">
        <v>5921</v>
      </c>
      <c r="B1354" s="250" t="s">
        <v>5922</v>
      </c>
      <c r="C1354" s="251">
        <v>323</v>
      </c>
      <c r="D1354" s="10"/>
      <c r="E1354" s="10"/>
      <c r="F1354" s="252">
        <v>3138913037</v>
      </c>
      <c r="G1354" s="250"/>
      <c r="H1354" s="250"/>
    </row>
    <row r="1355" spans="1:8">
      <c r="A1355" s="250" t="s">
        <v>5923</v>
      </c>
      <c r="B1355" s="250" t="s">
        <v>5924</v>
      </c>
      <c r="C1355" s="251">
        <v>401</v>
      </c>
      <c r="D1355" s="270"/>
      <c r="E1355" s="10"/>
      <c r="F1355" s="252">
        <v>3183517820</v>
      </c>
      <c r="G1355" s="250"/>
      <c r="H1355" s="250"/>
    </row>
    <row r="1356" spans="1:8">
      <c r="A1356" s="250" t="s">
        <v>5925</v>
      </c>
      <c r="B1356" s="250" t="s">
        <v>5926</v>
      </c>
      <c r="C1356" s="251">
        <v>412</v>
      </c>
      <c r="D1356" s="10" t="s">
        <v>5927</v>
      </c>
      <c r="E1356" s="10"/>
      <c r="F1356" s="252">
        <v>3015505059</v>
      </c>
      <c r="G1356" s="250"/>
      <c r="H1356" s="250"/>
    </row>
    <row r="1357" spans="1:8">
      <c r="A1357" s="250" t="s">
        <v>5928</v>
      </c>
      <c r="B1357" s="250" t="s">
        <v>5929</v>
      </c>
      <c r="C1357" s="251">
        <v>102</v>
      </c>
      <c r="D1357" s="10"/>
      <c r="E1357" s="10" t="s">
        <v>5867</v>
      </c>
      <c r="F1357" s="252">
        <v>3208263828</v>
      </c>
      <c r="G1357" s="250"/>
      <c r="H1357" s="250"/>
    </row>
    <row r="1358" spans="1:8">
      <c r="A1358" s="250" t="s">
        <v>5930</v>
      </c>
      <c r="B1358" s="250" t="s">
        <v>5931</v>
      </c>
      <c r="C1358" s="251"/>
      <c r="D1358" s="10" t="s">
        <v>2721</v>
      </c>
      <c r="E1358" s="10" t="s">
        <v>5932</v>
      </c>
      <c r="F1358" s="252">
        <v>3208091262</v>
      </c>
      <c r="G1358" s="250"/>
      <c r="H1358" s="250"/>
    </row>
    <row r="1359" spans="1:8">
      <c r="A1359" s="250" t="s">
        <v>5933</v>
      </c>
      <c r="B1359" s="250" t="s">
        <v>5934</v>
      </c>
      <c r="C1359" s="251">
        <v>602</v>
      </c>
      <c r="D1359" s="10"/>
      <c r="E1359" s="10"/>
      <c r="F1359" s="252">
        <v>3115991254</v>
      </c>
      <c r="G1359" s="250"/>
      <c r="H1359" s="250"/>
    </row>
    <row r="1360" spans="1:8">
      <c r="A1360" s="250" t="s">
        <v>5935</v>
      </c>
      <c r="B1360" s="250" t="s">
        <v>5936</v>
      </c>
      <c r="C1360" s="251">
        <v>201</v>
      </c>
      <c r="D1360" s="10"/>
      <c r="E1360" s="10"/>
      <c r="F1360" s="252">
        <v>3103348285</v>
      </c>
      <c r="G1360" s="250"/>
      <c r="H1360" s="250"/>
    </row>
    <row r="1361" spans="1:8">
      <c r="A1361" s="250" t="s">
        <v>5937</v>
      </c>
      <c r="B1361" s="250" t="s">
        <v>5938</v>
      </c>
      <c r="C1361" s="251">
        <v>1802</v>
      </c>
      <c r="D1361" s="10"/>
      <c r="E1361" s="10"/>
      <c r="F1361" s="252">
        <v>3143058047</v>
      </c>
      <c r="G1361" s="250"/>
      <c r="H1361" s="250"/>
    </row>
    <row r="1362" spans="1:8">
      <c r="A1362" s="250" t="s">
        <v>5939</v>
      </c>
      <c r="B1362" s="250" t="s">
        <v>5940</v>
      </c>
      <c r="C1362" s="251">
        <v>205</v>
      </c>
      <c r="D1362" s="10"/>
      <c r="E1362" s="10"/>
      <c r="F1362" s="252">
        <v>3229503152</v>
      </c>
      <c r="G1362" s="250"/>
      <c r="H1362" s="250"/>
    </row>
    <row r="1363" spans="1:8">
      <c r="A1363" s="250" t="s">
        <v>5941</v>
      </c>
      <c r="B1363" s="250" t="s">
        <v>5942</v>
      </c>
      <c r="C1363" s="251">
        <v>102</v>
      </c>
      <c r="D1363" s="10"/>
      <c r="E1363" s="10"/>
      <c r="F1363" s="252">
        <v>3013724963</v>
      </c>
      <c r="G1363" s="250"/>
      <c r="H1363" s="250"/>
    </row>
    <row r="1364" spans="1:8">
      <c r="A1364" s="250" t="s">
        <v>5943</v>
      </c>
      <c r="B1364" s="250" t="s">
        <v>5944</v>
      </c>
      <c r="C1364" s="251">
        <v>2205</v>
      </c>
      <c r="D1364" s="10" t="s">
        <v>5945</v>
      </c>
      <c r="E1364" s="10" t="s">
        <v>5946</v>
      </c>
      <c r="F1364" s="252">
        <v>3115828834</v>
      </c>
      <c r="G1364" s="250"/>
      <c r="H1364" s="250"/>
    </row>
    <row r="1365" spans="1:8">
      <c r="A1365" s="250" t="s">
        <v>5947</v>
      </c>
      <c r="B1365" s="250" t="s">
        <v>3326</v>
      </c>
      <c r="C1365" s="251">
        <v>409</v>
      </c>
      <c r="D1365" s="10" t="s">
        <v>5948</v>
      </c>
      <c r="E1365" s="10"/>
      <c r="F1365" s="252">
        <v>3186126499</v>
      </c>
      <c r="G1365" s="250"/>
      <c r="H1365" s="250"/>
    </row>
    <row r="1366" spans="1:8">
      <c r="A1366" s="250" t="s">
        <v>5949</v>
      </c>
      <c r="B1366" s="250" t="s">
        <v>5950</v>
      </c>
      <c r="C1366" s="251" t="s">
        <v>5951</v>
      </c>
      <c r="D1366" s="10" t="s">
        <v>5952</v>
      </c>
      <c r="E1366" s="10" t="s">
        <v>5953</v>
      </c>
      <c r="F1366" s="252">
        <v>3144860723</v>
      </c>
      <c r="G1366" s="250"/>
      <c r="H1366" s="250"/>
    </row>
    <row r="1367" spans="1:8">
      <c r="A1367" s="250" t="s">
        <v>5954</v>
      </c>
      <c r="B1367" s="250" t="s">
        <v>5955</v>
      </c>
      <c r="C1367" s="251">
        <v>404</v>
      </c>
      <c r="D1367" s="10" t="s">
        <v>5956</v>
      </c>
      <c r="E1367" s="10"/>
      <c r="F1367" s="252">
        <v>3148620708</v>
      </c>
      <c r="G1367" s="250"/>
      <c r="H1367" s="250"/>
    </row>
    <row r="1368" spans="1:8">
      <c r="A1368" s="250" t="s">
        <v>5957</v>
      </c>
      <c r="B1368" s="250" t="s">
        <v>5958</v>
      </c>
      <c r="C1368" s="251">
        <v>401</v>
      </c>
      <c r="D1368" s="10" t="s">
        <v>3752</v>
      </c>
      <c r="E1368" s="10" t="s">
        <v>5959</v>
      </c>
      <c r="F1368" s="252">
        <v>3057075321</v>
      </c>
      <c r="G1368" s="250"/>
      <c r="H1368" s="250"/>
    </row>
    <row r="1369" spans="1:8">
      <c r="A1369" s="250" t="s">
        <v>5960</v>
      </c>
      <c r="B1369" s="250" t="s">
        <v>5961</v>
      </c>
      <c r="C1369" s="251">
        <v>202</v>
      </c>
      <c r="D1369" s="271" t="s">
        <v>5962</v>
      </c>
      <c r="E1369" s="10"/>
      <c r="F1369" s="252">
        <v>3102251627</v>
      </c>
      <c r="G1369" s="250"/>
      <c r="H1369" s="250"/>
    </row>
    <row r="1370" spans="1:8">
      <c r="A1370" s="250" t="s">
        <v>5963</v>
      </c>
      <c r="B1370" s="250" t="s">
        <v>5964</v>
      </c>
      <c r="C1370" s="251" t="s">
        <v>3007</v>
      </c>
      <c r="D1370" s="10"/>
      <c r="E1370" s="10" t="s">
        <v>5965</v>
      </c>
      <c r="F1370" s="252">
        <v>3158755774</v>
      </c>
      <c r="G1370" s="250"/>
      <c r="H1370" s="250"/>
    </row>
    <row r="1371" spans="1:8">
      <c r="A1371" s="250" t="s">
        <v>5966</v>
      </c>
      <c r="B1371" s="250" t="s">
        <v>5967</v>
      </c>
      <c r="C1371" s="251">
        <v>504</v>
      </c>
      <c r="D1371" s="10" t="s">
        <v>5968</v>
      </c>
      <c r="E1371" s="10" t="s">
        <v>4598</v>
      </c>
      <c r="F1371" s="252">
        <v>3003142046</v>
      </c>
      <c r="G1371" s="250"/>
      <c r="H1371" s="250"/>
    </row>
    <row r="1372" spans="1:8">
      <c r="A1372" s="250" t="s">
        <v>5969</v>
      </c>
      <c r="B1372" s="250"/>
      <c r="C1372" s="251"/>
      <c r="D1372" s="10" t="s">
        <v>5970</v>
      </c>
      <c r="E1372" s="10"/>
      <c r="F1372" s="252">
        <v>3173796241</v>
      </c>
      <c r="G1372" s="250"/>
      <c r="H1372" s="250"/>
    </row>
    <row r="1373" spans="1:8">
      <c r="A1373" s="250" t="s">
        <v>5971</v>
      </c>
      <c r="B1373" s="250" t="s">
        <v>5972</v>
      </c>
      <c r="C1373" s="251">
        <v>402</v>
      </c>
      <c r="D1373" s="10" t="s">
        <v>5973</v>
      </c>
      <c r="E1373" s="10"/>
      <c r="F1373" s="252">
        <v>3157518456</v>
      </c>
      <c r="G1373" s="250"/>
      <c r="H1373" s="250"/>
    </row>
    <row r="1374" spans="1:8">
      <c r="A1374" s="250" t="s">
        <v>5974</v>
      </c>
      <c r="B1374" s="250" t="s">
        <v>5975</v>
      </c>
      <c r="C1374" s="251">
        <v>603</v>
      </c>
      <c r="D1374" s="10" t="s">
        <v>5976</v>
      </c>
      <c r="E1374" s="10"/>
      <c r="F1374" s="252">
        <v>3219307714</v>
      </c>
      <c r="G1374" s="250"/>
      <c r="H1374" s="250"/>
    </row>
    <row r="1375" spans="1:8">
      <c r="A1375" s="250" t="s">
        <v>5977</v>
      </c>
      <c r="B1375" s="250" t="s">
        <v>5978</v>
      </c>
      <c r="C1375" s="251">
        <v>602</v>
      </c>
      <c r="D1375" s="10"/>
      <c r="E1375" s="10"/>
      <c r="F1375" s="252">
        <v>3173628363</v>
      </c>
      <c r="G1375" s="250"/>
      <c r="H1375" s="250"/>
    </row>
    <row r="1376" spans="1:8">
      <c r="A1376" s="250" t="s">
        <v>5979</v>
      </c>
      <c r="B1376" s="250" t="s">
        <v>5980</v>
      </c>
      <c r="C1376" s="251">
        <v>201</v>
      </c>
      <c r="D1376" s="10"/>
      <c r="E1376" s="10" t="s">
        <v>5867</v>
      </c>
      <c r="F1376" s="252">
        <v>3122568048</v>
      </c>
      <c r="G1376" s="250"/>
      <c r="H1376" s="250"/>
    </row>
    <row r="1377" spans="1:8">
      <c r="A1377" s="250" t="s">
        <v>5981</v>
      </c>
      <c r="B1377" s="250"/>
      <c r="C1377" s="251"/>
      <c r="D1377" s="10" t="s">
        <v>5982</v>
      </c>
      <c r="E1377" s="10"/>
      <c r="F1377" s="252">
        <v>3105997425</v>
      </c>
      <c r="G1377" s="250"/>
      <c r="H1377" s="250"/>
    </row>
    <row r="1378" spans="1:8">
      <c r="A1378" s="250" t="s">
        <v>5983</v>
      </c>
      <c r="B1378" s="250" t="s">
        <v>3941</v>
      </c>
      <c r="C1378" s="251" t="s">
        <v>5984</v>
      </c>
      <c r="D1378" s="10" t="s">
        <v>5985</v>
      </c>
      <c r="E1378" s="10"/>
      <c r="F1378" s="252">
        <v>3213090131</v>
      </c>
      <c r="G1378" s="250"/>
      <c r="H1378" s="250"/>
    </row>
    <row r="1379" spans="1:8">
      <c r="A1379" s="250" t="s">
        <v>5986</v>
      </c>
      <c r="B1379" s="250" t="s">
        <v>5987</v>
      </c>
      <c r="C1379" s="251">
        <v>504</v>
      </c>
      <c r="D1379" s="10" t="s">
        <v>5279</v>
      </c>
      <c r="E1379" s="10"/>
      <c r="F1379" s="252">
        <v>3187258707</v>
      </c>
      <c r="G1379" s="250"/>
      <c r="H1379" s="250"/>
    </row>
    <row r="1380" spans="1:8">
      <c r="A1380" s="250" t="s">
        <v>5988</v>
      </c>
      <c r="B1380" s="250" t="s">
        <v>5989</v>
      </c>
      <c r="C1380" s="251">
        <v>304</v>
      </c>
      <c r="D1380" s="10" t="s">
        <v>5990</v>
      </c>
      <c r="E1380" s="10" t="s">
        <v>5991</v>
      </c>
      <c r="F1380" s="252">
        <v>3228272269</v>
      </c>
      <c r="G1380" s="250"/>
      <c r="H1380" s="250"/>
    </row>
    <row r="1381" spans="1:8">
      <c r="A1381" s="250" t="s">
        <v>5992</v>
      </c>
      <c r="B1381" s="250" t="s">
        <v>5993</v>
      </c>
      <c r="C1381" s="251" t="s">
        <v>5994</v>
      </c>
      <c r="D1381" s="10" t="s">
        <v>5995</v>
      </c>
      <c r="E1381" s="10"/>
      <c r="F1381" s="252">
        <v>3004359076</v>
      </c>
      <c r="G1381" s="250"/>
      <c r="H1381" s="250"/>
    </row>
    <row r="1382" spans="1:8">
      <c r="A1382" s="250" t="s">
        <v>5996</v>
      </c>
      <c r="B1382" s="250" t="s">
        <v>5997</v>
      </c>
      <c r="C1382" s="251" t="s">
        <v>5998</v>
      </c>
      <c r="D1382" s="10" t="s">
        <v>5999</v>
      </c>
      <c r="E1382" s="10"/>
      <c r="F1382" s="252">
        <v>971526079826</v>
      </c>
      <c r="G1382" s="250"/>
      <c r="H1382" s="250"/>
    </row>
    <row r="1383" spans="1:8">
      <c r="A1383" s="250" t="s">
        <v>6000</v>
      </c>
      <c r="B1383" s="250" t="s">
        <v>3373</v>
      </c>
      <c r="C1383" s="251">
        <v>201</v>
      </c>
      <c r="D1383" s="10" t="s">
        <v>2733</v>
      </c>
      <c r="E1383" s="10" t="s">
        <v>6001</v>
      </c>
      <c r="F1383" s="252">
        <v>3146852906</v>
      </c>
      <c r="G1383" s="250"/>
      <c r="H1383" s="250"/>
    </row>
    <row r="1384" spans="1:8">
      <c r="A1384" s="250" t="s">
        <v>6002</v>
      </c>
      <c r="B1384" s="250" t="s">
        <v>6003</v>
      </c>
      <c r="C1384" s="251">
        <v>207</v>
      </c>
      <c r="D1384" s="10" t="s">
        <v>6004</v>
      </c>
      <c r="E1384" s="10" t="s">
        <v>6005</v>
      </c>
      <c r="F1384" s="252">
        <v>3013534068</v>
      </c>
      <c r="G1384" s="250"/>
      <c r="H1384" s="250"/>
    </row>
    <row r="1385" spans="1:8">
      <c r="A1385" s="250" t="s">
        <v>6006</v>
      </c>
      <c r="B1385" s="250" t="s">
        <v>6007</v>
      </c>
      <c r="C1385" s="251">
        <v>301</v>
      </c>
      <c r="D1385" s="10" t="s">
        <v>6008</v>
      </c>
      <c r="E1385" s="10"/>
      <c r="F1385" s="252">
        <v>3202914856</v>
      </c>
      <c r="G1385" s="250"/>
      <c r="H1385" s="250"/>
    </row>
    <row r="1386" spans="1:8">
      <c r="A1386" s="250" t="s">
        <v>6009</v>
      </c>
      <c r="B1386" s="250" t="s">
        <v>6010</v>
      </c>
      <c r="C1386" s="251">
        <v>301</v>
      </c>
      <c r="D1386" s="10" t="s">
        <v>6011</v>
      </c>
      <c r="E1386" s="10"/>
      <c r="F1386" s="252">
        <v>3102014835</v>
      </c>
      <c r="G1386" s="250"/>
      <c r="H1386" s="250"/>
    </row>
    <row r="1387" spans="1:8">
      <c r="A1387" s="250" t="s">
        <v>6012</v>
      </c>
      <c r="B1387" s="250" t="s">
        <v>6013</v>
      </c>
      <c r="C1387" s="251">
        <v>914</v>
      </c>
      <c r="D1387" s="10"/>
      <c r="E1387" s="10" t="s">
        <v>6014</v>
      </c>
      <c r="F1387" s="252">
        <v>3015608675</v>
      </c>
      <c r="G1387" s="250"/>
      <c r="H1387" s="250"/>
    </row>
    <row r="1388" spans="1:8">
      <c r="A1388" s="250" t="s">
        <v>6015</v>
      </c>
      <c r="B1388" s="250" t="s">
        <v>6016</v>
      </c>
      <c r="C1388" s="251">
        <v>402</v>
      </c>
      <c r="D1388" s="10"/>
      <c r="E1388" s="10"/>
      <c r="F1388" s="252">
        <v>3165249511</v>
      </c>
      <c r="G1388" s="250"/>
      <c r="H1388" s="250"/>
    </row>
    <row r="1389" spans="1:8">
      <c r="A1389" s="250" t="s">
        <v>6017</v>
      </c>
      <c r="B1389" s="250" t="s">
        <v>6018</v>
      </c>
      <c r="C1389" s="251">
        <v>304</v>
      </c>
      <c r="D1389" s="10"/>
      <c r="E1389" s="10" t="s">
        <v>5532</v>
      </c>
      <c r="F1389" s="252">
        <v>3164648979</v>
      </c>
      <c r="G1389" s="250"/>
      <c r="H1389" s="250"/>
    </row>
    <row r="1390" spans="1:8">
      <c r="A1390" s="250" t="s">
        <v>6019</v>
      </c>
      <c r="B1390" s="250" t="s">
        <v>6020</v>
      </c>
      <c r="C1390" s="251" t="s">
        <v>3070</v>
      </c>
      <c r="D1390" s="10"/>
      <c r="E1390" s="10" t="s">
        <v>6014</v>
      </c>
      <c r="F1390" s="252">
        <v>3185713135</v>
      </c>
      <c r="G1390" s="250"/>
      <c r="H1390" s="250"/>
    </row>
    <row r="1391" spans="1:8">
      <c r="A1391" s="250" t="s">
        <v>6021</v>
      </c>
      <c r="B1391" s="250" t="s">
        <v>6018</v>
      </c>
      <c r="C1391" s="251">
        <v>304</v>
      </c>
      <c r="D1391" s="10"/>
      <c r="E1391" s="10" t="s">
        <v>5532</v>
      </c>
      <c r="F1391" s="252">
        <v>3132459881</v>
      </c>
      <c r="G1391" s="250"/>
      <c r="H1391" s="250"/>
    </row>
    <row r="1392" spans="1:8">
      <c r="A1392" s="250" t="s">
        <v>6022</v>
      </c>
      <c r="B1392" s="250" t="s">
        <v>6023</v>
      </c>
      <c r="C1392" s="251">
        <v>410</v>
      </c>
      <c r="D1392" s="10" t="s">
        <v>6024</v>
      </c>
      <c r="E1392" s="10"/>
      <c r="F1392" s="252">
        <v>3157968388</v>
      </c>
      <c r="G1392" s="250"/>
      <c r="H1392" s="250"/>
    </row>
    <row r="1393" spans="1:8">
      <c r="A1393" s="250" t="s">
        <v>6025</v>
      </c>
      <c r="B1393" s="250" t="s">
        <v>6026</v>
      </c>
      <c r="C1393" s="251"/>
      <c r="D1393" s="10"/>
      <c r="E1393" s="10" t="s">
        <v>5636</v>
      </c>
      <c r="F1393" s="252">
        <v>3138913045</v>
      </c>
      <c r="G1393" s="250"/>
      <c r="H1393" s="250"/>
    </row>
    <row r="1394" spans="1:8">
      <c r="A1394" s="250" t="s">
        <v>6027</v>
      </c>
      <c r="B1394" s="250" t="s">
        <v>6028</v>
      </c>
      <c r="C1394" s="251" t="s">
        <v>6029</v>
      </c>
      <c r="D1394" s="10"/>
      <c r="E1394" s="10"/>
      <c r="F1394" s="252">
        <v>3015504587</v>
      </c>
      <c r="G1394" s="250"/>
      <c r="H1394" s="250"/>
    </row>
    <row r="1395" spans="1:8">
      <c r="A1395" s="250" t="s">
        <v>6030</v>
      </c>
      <c r="B1395" s="250" t="s">
        <v>6031</v>
      </c>
      <c r="C1395" s="251" t="s">
        <v>6032</v>
      </c>
      <c r="D1395" s="10" t="s">
        <v>6033</v>
      </c>
      <c r="E1395" s="10"/>
      <c r="F1395" s="252">
        <v>3202349816</v>
      </c>
      <c r="G1395" s="250"/>
      <c r="H1395" s="250"/>
    </row>
    <row r="1396" spans="1:8">
      <c r="A1396" s="250" t="s">
        <v>6034</v>
      </c>
      <c r="B1396" s="250" t="s">
        <v>6035</v>
      </c>
      <c r="C1396" s="251">
        <v>203</v>
      </c>
      <c r="D1396" s="10" t="s">
        <v>6036</v>
      </c>
      <c r="E1396" s="10"/>
      <c r="F1396" s="252">
        <v>3114621143</v>
      </c>
      <c r="G1396" s="250"/>
      <c r="H1396" s="250"/>
    </row>
    <row r="1397" spans="1:8">
      <c r="A1397" s="250" t="s">
        <v>6037</v>
      </c>
      <c r="B1397" s="250" t="s">
        <v>6038</v>
      </c>
      <c r="C1397" s="251">
        <v>703</v>
      </c>
      <c r="D1397" s="10"/>
      <c r="E1397" s="10" t="s">
        <v>5711</v>
      </c>
      <c r="F1397" s="252">
        <v>3156638569</v>
      </c>
      <c r="G1397" s="250"/>
      <c r="H1397" s="250"/>
    </row>
    <row r="1398" spans="1:8">
      <c r="A1398" s="250" t="s">
        <v>6039</v>
      </c>
      <c r="B1398" s="250" t="s">
        <v>6040</v>
      </c>
      <c r="C1398" s="251">
        <v>619</v>
      </c>
      <c r="D1398" s="10"/>
      <c r="E1398" s="10"/>
      <c r="F1398" s="252">
        <v>3167409163</v>
      </c>
      <c r="G1398" s="250"/>
      <c r="H1398" s="250"/>
    </row>
    <row r="1399" spans="1:8">
      <c r="A1399" s="250" t="s">
        <v>6041</v>
      </c>
      <c r="B1399" s="250" t="s">
        <v>6042</v>
      </c>
      <c r="C1399" s="251">
        <v>302</v>
      </c>
      <c r="D1399" s="10"/>
      <c r="E1399" s="10"/>
      <c r="F1399" s="252">
        <v>3115320126</v>
      </c>
      <c r="G1399" s="250"/>
      <c r="H1399" s="250"/>
    </row>
    <row r="1400" spans="1:8">
      <c r="A1400" s="250" t="s">
        <v>6043</v>
      </c>
      <c r="B1400" s="250" t="s">
        <v>6044</v>
      </c>
      <c r="C1400" s="251">
        <v>501</v>
      </c>
      <c r="D1400" s="10"/>
      <c r="E1400" s="10"/>
      <c r="F1400" s="252">
        <v>3212050338</v>
      </c>
      <c r="G1400" s="250"/>
      <c r="H1400" s="250"/>
    </row>
    <row r="1401" spans="1:8">
      <c r="A1401" s="250" t="s">
        <v>6045</v>
      </c>
      <c r="B1401" s="250" t="s">
        <v>6046</v>
      </c>
      <c r="C1401" s="251">
        <v>402</v>
      </c>
      <c r="D1401" s="10" t="s">
        <v>6047</v>
      </c>
      <c r="E1401" s="10"/>
      <c r="F1401" s="252">
        <v>2975948050</v>
      </c>
      <c r="G1401" s="250"/>
      <c r="H1401" s="250"/>
    </row>
    <row r="1402" spans="1:8">
      <c r="A1402" s="250" t="s">
        <v>6048</v>
      </c>
      <c r="B1402" s="250" t="s">
        <v>4651</v>
      </c>
      <c r="C1402" s="272" t="s">
        <v>6049</v>
      </c>
      <c r="D1402" s="10" t="s">
        <v>6050</v>
      </c>
      <c r="E1402" s="10"/>
      <c r="F1402" s="252">
        <v>3508030775</v>
      </c>
      <c r="G1402" s="250"/>
      <c r="H1402" s="250"/>
    </row>
    <row r="1403" spans="1:8">
      <c r="A1403" s="250" t="s">
        <v>6051</v>
      </c>
      <c r="B1403" s="250" t="s">
        <v>6052</v>
      </c>
      <c r="C1403" s="251">
        <v>601</v>
      </c>
      <c r="D1403" s="10" t="s">
        <v>6053</v>
      </c>
      <c r="E1403" s="10"/>
      <c r="F1403" s="252">
        <v>3157471917</v>
      </c>
      <c r="G1403" s="250"/>
      <c r="H1403" s="250"/>
    </row>
    <row r="1404" spans="1:8">
      <c r="A1404" s="250" t="s">
        <v>6054</v>
      </c>
      <c r="B1404" s="250" t="s">
        <v>5056</v>
      </c>
      <c r="C1404" s="251">
        <v>606</v>
      </c>
      <c r="D1404" s="10" t="s">
        <v>6055</v>
      </c>
      <c r="E1404" s="10"/>
      <c r="F1404" s="252">
        <v>3118405733</v>
      </c>
      <c r="G1404" s="250"/>
      <c r="H1404" s="250"/>
    </row>
    <row r="1405" spans="1:8">
      <c r="A1405" s="250" t="s">
        <v>6056</v>
      </c>
      <c r="B1405" s="250" t="s">
        <v>6057</v>
      </c>
      <c r="C1405" s="251"/>
      <c r="D1405" s="10"/>
      <c r="E1405" s="10"/>
      <c r="F1405" s="252">
        <v>3013303818</v>
      </c>
      <c r="G1405" s="250"/>
      <c r="H1405" s="250"/>
    </row>
    <row r="1406" spans="1:8">
      <c r="A1406" s="250" t="s">
        <v>6058</v>
      </c>
      <c r="B1406" s="250" t="s">
        <v>6059</v>
      </c>
      <c r="C1406" s="251">
        <v>305</v>
      </c>
      <c r="D1406" s="10" t="s">
        <v>5273</v>
      </c>
      <c r="E1406" s="10" t="s">
        <v>2914</v>
      </c>
      <c r="F1406" s="252">
        <v>3172551462</v>
      </c>
      <c r="G1406" s="250"/>
      <c r="H1406" s="250"/>
    </row>
    <row r="1407" spans="1:8">
      <c r="A1407" s="250" t="s">
        <v>6060</v>
      </c>
      <c r="B1407" s="250" t="s">
        <v>5972</v>
      </c>
      <c r="C1407" s="251">
        <v>402</v>
      </c>
      <c r="D1407" s="10"/>
      <c r="E1407" s="10"/>
      <c r="F1407" s="252">
        <v>3108747831</v>
      </c>
      <c r="G1407" s="250"/>
      <c r="H1407" s="250"/>
    </row>
    <row r="1408" spans="1:8">
      <c r="A1408" s="250" t="s">
        <v>6061</v>
      </c>
      <c r="B1408" s="250" t="s">
        <v>3017</v>
      </c>
      <c r="C1408" s="251">
        <v>204</v>
      </c>
      <c r="D1408" s="10"/>
      <c r="E1408" s="10"/>
      <c r="F1408" s="252">
        <v>3003432243</v>
      </c>
      <c r="G1408" s="250"/>
      <c r="H1408" s="250"/>
    </row>
    <row r="1409" spans="1:8">
      <c r="A1409" s="250" t="s">
        <v>6062</v>
      </c>
      <c r="B1409" s="250" t="s">
        <v>6063</v>
      </c>
      <c r="C1409" s="251"/>
      <c r="D1409" s="10" t="s">
        <v>6064</v>
      </c>
      <c r="E1409" s="10"/>
      <c r="F1409" s="252">
        <v>3184226050</v>
      </c>
      <c r="G1409" s="250"/>
      <c r="H1409" s="250"/>
    </row>
    <row r="1410" spans="1:8">
      <c r="A1410" s="250" t="s">
        <v>6065</v>
      </c>
      <c r="B1410" s="250" t="s">
        <v>6066</v>
      </c>
      <c r="C1410" s="272">
        <v>603</v>
      </c>
      <c r="D1410" s="10" t="s">
        <v>6067</v>
      </c>
      <c r="E1410" s="10"/>
      <c r="F1410" s="252">
        <v>3005260008</v>
      </c>
      <c r="G1410" s="250"/>
      <c r="H1410" s="250"/>
    </row>
    <row r="1411" spans="1:8">
      <c r="A1411" s="250" t="s">
        <v>6068</v>
      </c>
      <c r="B1411" s="250" t="s">
        <v>6069</v>
      </c>
      <c r="C1411" s="251"/>
      <c r="D1411" s="10" t="s">
        <v>6070</v>
      </c>
      <c r="E1411" s="10"/>
      <c r="F1411" s="252">
        <v>3118012294</v>
      </c>
      <c r="G1411" s="250"/>
      <c r="H1411" s="250"/>
    </row>
    <row r="1412" spans="1:8">
      <c r="A1412" s="250" t="s">
        <v>6071</v>
      </c>
      <c r="B1412" s="250" t="s">
        <v>6072</v>
      </c>
      <c r="C1412" s="251">
        <v>402</v>
      </c>
      <c r="D1412" s="10"/>
      <c r="E1412" s="10" t="s">
        <v>5331</v>
      </c>
      <c r="F1412" s="252">
        <v>3203688013</v>
      </c>
      <c r="G1412" s="250"/>
      <c r="H1412" s="250"/>
    </row>
    <row r="1413" spans="1:8">
      <c r="A1413" s="250" t="s">
        <v>6073</v>
      </c>
      <c r="B1413" s="250" t="s">
        <v>2969</v>
      </c>
      <c r="C1413" s="251">
        <v>702</v>
      </c>
      <c r="D1413" s="10" t="s">
        <v>6074</v>
      </c>
      <c r="E1413" s="10"/>
      <c r="F1413" s="252">
        <v>3003905064</v>
      </c>
      <c r="G1413" s="250"/>
      <c r="H1413" s="250"/>
    </row>
    <row r="1414" spans="1:8">
      <c r="A1414" s="250" t="s">
        <v>6075</v>
      </c>
      <c r="B1414" s="250" t="s">
        <v>6076</v>
      </c>
      <c r="C1414" s="251">
        <v>202</v>
      </c>
      <c r="D1414" s="10"/>
      <c r="E1414" s="10"/>
      <c r="F1414" s="252">
        <v>3187351663</v>
      </c>
      <c r="G1414" s="250"/>
      <c r="H1414" s="250"/>
    </row>
    <row r="1415" spans="1:8">
      <c r="A1415" s="250" t="s">
        <v>6077</v>
      </c>
      <c r="B1415" s="250" t="s">
        <v>6078</v>
      </c>
      <c r="C1415" s="251">
        <v>302</v>
      </c>
      <c r="D1415" s="10" t="s">
        <v>6079</v>
      </c>
      <c r="E1415" s="10"/>
      <c r="F1415" s="252">
        <v>3168776192</v>
      </c>
      <c r="G1415" s="250"/>
      <c r="H1415" s="250"/>
    </row>
    <row r="1416" spans="1:8">
      <c r="A1416" s="250" t="s">
        <v>1145</v>
      </c>
      <c r="B1416" s="250" t="s">
        <v>6080</v>
      </c>
      <c r="C1416" s="251">
        <v>205</v>
      </c>
      <c r="D1416" s="10"/>
      <c r="E1416" s="10"/>
      <c r="F1416" s="252">
        <v>3202290156</v>
      </c>
      <c r="G1416" s="250"/>
      <c r="H1416" s="250"/>
    </row>
    <row r="1417" spans="1:8">
      <c r="A1417" s="250" t="s">
        <v>6081</v>
      </c>
      <c r="B1417" s="250" t="s">
        <v>5810</v>
      </c>
      <c r="C1417" s="251">
        <v>1103</v>
      </c>
      <c r="D1417" s="10" t="s">
        <v>6082</v>
      </c>
      <c r="E1417" s="10"/>
      <c r="F1417" s="252">
        <v>3126184137</v>
      </c>
      <c r="G1417" s="250"/>
      <c r="H1417" s="250"/>
    </row>
    <row r="1418" spans="1:8">
      <c r="A1418" s="250" t="s">
        <v>6083</v>
      </c>
      <c r="B1418" s="250" t="s">
        <v>6084</v>
      </c>
      <c r="C1418" s="251">
        <v>203</v>
      </c>
      <c r="D1418" s="10" t="s">
        <v>6085</v>
      </c>
      <c r="E1418" s="10"/>
      <c r="F1418" s="252">
        <v>3015484478</v>
      </c>
      <c r="G1418" s="250"/>
      <c r="H1418" s="250"/>
    </row>
    <row r="1419" spans="1:8">
      <c r="A1419" s="250" t="s">
        <v>6086</v>
      </c>
      <c r="B1419" s="250" t="s">
        <v>6087</v>
      </c>
      <c r="C1419" s="251" t="s">
        <v>5008</v>
      </c>
      <c r="D1419" s="10"/>
      <c r="E1419" s="10"/>
      <c r="F1419" s="252">
        <v>3176593261</v>
      </c>
      <c r="G1419" s="250"/>
      <c r="H1419" s="250"/>
    </row>
    <row r="1420" spans="1:8">
      <c r="A1420" s="250" t="s">
        <v>6088</v>
      </c>
      <c r="B1420" s="250" t="s">
        <v>6089</v>
      </c>
      <c r="C1420" s="251">
        <v>204</v>
      </c>
      <c r="D1420" s="10" t="s">
        <v>6090</v>
      </c>
      <c r="E1420" s="10"/>
      <c r="F1420" s="252">
        <v>3188371988</v>
      </c>
      <c r="G1420" s="250"/>
      <c r="H1420" s="250"/>
    </row>
    <row r="1421" spans="1:8">
      <c r="A1421" s="250" t="s">
        <v>6091</v>
      </c>
      <c r="B1421" s="250" t="s">
        <v>6092</v>
      </c>
      <c r="C1421" s="251">
        <v>1109</v>
      </c>
      <c r="D1421" s="10"/>
      <c r="E1421" s="10"/>
      <c r="F1421" s="252">
        <v>3102278544</v>
      </c>
      <c r="G1421" s="250"/>
      <c r="H1421" s="250"/>
    </row>
    <row r="1422" spans="1:8">
      <c r="A1422" s="250" t="s">
        <v>6093</v>
      </c>
      <c r="B1422" s="250" t="s">
        <v>6094</v>
      </c>
      <c r="C1422" s="251" t="s">
        <v>6095</v>
      </c>
      <c r="D1422" s="10" t="s">
        <v>6096</v>
      </c>
      <c r="E1422" s="10"/>
      <c r="F1422" s="252">
        <v>3208317911</v>
      </c>
      <c r="G1422" s="250"/>
      <c r="H1422" s="250"/>
    </row>
    <row r="1423" spans="1:8">
      <c r="A1423" s="250" t="s">
        <v>6097</v>
      </c>
      <c r="B1423" s="250" t="s">
        <v>6098</v>
      </c>
      <c r="C1423" s="251">
        <v>402</v>
      </c>
      <c r="D1423" s="10"/>
      <c r="E1423" s="10" t="s">
        <v>6099</v>
      </c>
      <c r="F1423" s="252">
        <v>3204419015</v>
      </c>
      <c r="G1423" s="250"/>
      <c r="H1423" s="250"/>
    </row>
    <row r="1424" spans="1:8">
      <c r="A1424" s="250" t="s">
        <v>6100</v>
      </c>
      <c r="B1424" s="250" t="s">
        <v>6101</v>
      </c>
      <c r="C1424" s="251">
        <v>723</v>
      </c>
      <c r="D1424" s="10" t="s">
        <v>6102</v>
      </c>
      <c r="E1424" s="10"/>
      <c r="F1424" s="252">
        <v>3108549862</v>
      </c>
      <c r="G1424" s="250"/>
      <c r="H1424" s="250"/>
    </row>
    <row r="1425" spans="1:8">
      <c r="A1425" s="250" t="s">
        <v>6103</v>
      </c>
      <c r="B1425" s="250" t="s">
        <v>4900</v>
      </c>
      <c r="C1425" s="251">
        <v>710</v>
      </c>
      <c r="D1425" s="10" t="s">
        <v>6104</v>
      </c>
      <c r="E1425" s="10"/>
      <c r="F1425" s="252">
        <v>3107947172</v>
      </c>
      <c r="G1425" s="250"/>
      <c r="H1425" s="250"/>
    </row>
    <row r="1426" spans="1:8">
      <c r="A1426" s="250" t="s">
        <v>6105</v>
      </c>
      <c r="B1426" s="250" t="s">
        <v>6106</v>
      </c>
      <c r="C1426" s="251">
        <v>401</v>
      </c>
      <c r="D1426" s="10" t="s">
        <v>6107</v>
      </c>
      <c r="E1426" s="10"/>
      <c r="F1426" s="252">
        <v>3138883859</v>
      </c>
      <c r="G1426" s="250"/>
      <c r="H1426" s="250"/>
    </row>
    <row r="1427" spans="1:8">
      <c r="A1427" s="250" t="s">
        <v>4151</v>
      </c>
      <c r="B1427" s="250" t="s">
        <v>6108</v>
      </c>
      <c r="C1427" s="251">
        <v>401</v>
      </c>
      <c r="D1427" s="10"/>
      <c r="E1427" s="10"/>
      <c r="F1427" s="252" t="s">
        <v>6109</v>
      </c>
      <c r="G1427" s="250"/>
      <c r="H1427" s="250"/>
    </row>
    <row r="1428" spans="1:8">
      <c r="A1428" s="250" t="s">
        <v>6110</v>
      </c>
      <c r="B1428" s="250" t="s">
        <v>6111</v>
      </c>
      <c r="C1428" s="251">
        <v>409</v>
      </c>
      <c r="D1428" s="10" t="s">
        <v>2733</v>
      </c>
      <c r="E1428" s="10" t="s">
        <v>6112</v>
      </c>
      <c r="F1428" s="252">
        <v>3209634371</v>
      </c>
      <c r="G1428" s="250"/>
      <c r="H1428" s="250"/>
    </row>
    <row r="1429" spans="1:8">
      <c r="A1429" s="250" t="s">
        <v>6113</v>
      </c>
      <c r="B1429" s="250" t="s">
        <v>5732</v>
      </c>
      <c r="C1429" s="251">
        <v>501</v>
      </c>
      <c r="D1429" s="10"/>
      <c r="E1429" s="10"/>
      <c r="F1429" s="252">
        <v>3107887354</v>
      </c>
      <c r="G1429" s="250"/>
      <c r="H1429" s="250"/>
    </row>
    <row r="1430" spans="1:8">
      <c r="A1430" s="250" t="s">
        <v>6114</v>
      </c>
      <c r="B1430" s="250" t="s">
        <v>6115</v>
      </c>
      <c r="C1430" s="251">
        <v>705</v>
      </c>
      <c r="D1430" s="10"/>
      <c r="E1430" s="10"/>
      <c r="F1430" s="252">
        <v>3163565228</v>
      </c>
      <c r="G1430" s="250"/>
      <c r="H1430" s="250"/>
    </row>
    <row r="1431" spans="1:8">
      <c r="A1431" s="250" t="s">
        <v>6116</v>
      </c>
      <c r="B1431" s="250" t="s">
        <v>6117</v>
      </c>
      <c r="C1431" s="251">
        <v>403</v>
      </c>
      <c r="D1431" s="10"/>
      <c r="E1431" s="10"/>
      <c r="F1431" s="252">
        <v>3132508374</v>
      </c>
      <c r="G1431" s="250"/>
      <c r="H1431" s="250"/>
    </row>
    <row r="1432" spans="1:8">
      <c r="A1432" s="250" t="s">
        <v>6118</v>
      </c>
      <c r="B1432" s="250" t="s">
        <v>6119</v>
      </c>
      <c r="C1432" s="251">
        <v>603</v>
      </c>
      <c r="D1432" s="10"/>
      <c r="E1432" s="10"/>
      <c r="F1432" s="252">
        <v>3103248634</v>
      </c>
      <c r="G1432" s="250"/>
      <c r="H1432" s="250"/>
    </row>
    <row r="1433" spans="1:8">
      <c r="A1433" s="250" t="s">
        <v>6120</v>
      </c>
      <c r="B1433" s="250" t="s">
        <v>6121</v>
      </c>
      <c r="C1433" s="251">
        <v>603</v>
      </c>
      <c r="D1433" s="10"/>
      <c r="E1433" s="10"/>
      <c r="F1433" s="252">
        <v>3133632618</v>
      </c>
      <c r="G1433" s="250"/>
      <c r="H1433" s="250"/>
    </row>
    <row r="1434" spans="1:8">
      <c r="A1434" s="250" t="s">
        <v>6122</v>
      </c>
      <c r="B1434" s="250" t="s">
        <v>6123</v>
      </c>
      <c r="C1434" s="251">
        <v>401</v>
      </c>
      <c r="D1434" s="10"/>
      <c r="E1434" s="10"/>
      <c r="F1434" s="252">
        <v>3152440143</v>
      </c>
      <c r="G1434" s="250"/>
      <c r="H1434" s="250"/>
    </row>
    <row r="1435" spans="1:8">
      <c r="A1435" s="250" t="s">
        <v>6124</v>
      </c>
      <c r="B1435" s="250" t="s">
        <v>6125</v>
      </c>
      <c r="C1435" s="251">
        <v>303</v>
      </c>
      <c r="D1435" s="10"/>
      <c r="E1435" s="10"/>
      <c r="F1435" s="252">
        <v>3006469246</v>
      </c>
      <c r="G1435" s="250"/>
      <c r="H1435" s="250"/>
    </row>
    <row r="1436" spans="1:8">
      <c r="A1436" s="250" t="s">
        <v>6126</v>
      </c>
      <c r="B1436" s="250" t="s">
        <v>6127</v>
      </c>
      <c r="C1436" s="251">
        <v>503</v>
      </c>
      <c r="D1436" s="10"/>
      <c r="E1436" s="10"/>
      <c r="F1436" s="252">
        <v>3153659566</v>
      </c>
      <c r="G1436" s="250"/>
      <c r="H1436" s="250"/>
    </row>
    <row r="1437" spans="1:8">
      <c r="A1437" s="250" t="s">
        <v>6128</v>
      </c>
      <c r="B1437" s="250" t="s">
        <v>6129</v>
      </c>
      <c r="C1437" s="251">
        <v>401</v>
      </c>
      <c r="D1437" s="10" t="s">
        <v>6130</v>
      </c>
      <c r="E1437" s="10"/>
      <c r="F1437" s="252">
        <v>3133702748</v>
      </c>
      <c r="G1437" s="250"/>
      <c r="H1437" s="250"/>
    </row>
    <row r="1438" spans="1:8">
      <c r="A1438" s="273" t="s">
        <v>6131</v>
      </c>
      <c r="B1438" s="250" t="s">
        <v>6132</v>
      </c>
      <c r="C1438" s="251">
        <v>303</v>
      </c>
      <c r="D1438" s="10"/>
      <c r="E1438" s="10"/>
      <c r="F1438" s="252">
        <v>3157669095</v>
      </c>
      <c r="G1438" s="250"/>
      <c r="H1438" s="250"/>
    </row>
    <row r="1439" spans="1:8">
      <c r="A1439" s="273" t="s">
        <v>6133</v>
      </c>
      <c r="B1439" s="250" t="s">
        <v>6134</v>
      </c>
      <c r="C1439" s="251">
        <v>302</v>
      </c>
      <c r="D1439" s="10"/>
      <c r="E1439" s="10"/>
      <c r="F1439" s="252">
        <v>3228914834</v>
      </c>
      <c r="G1439" s="250"/>
      <c r="H1439" s="250"/>
    </row>
    <row r="1440" spans="1:8">
      <c r="A1440" s="273" t="s">
        <v>6135</v>
      </c>
      <c r="B1440" s="250" t="s">
        <v>6136</v>
      </c>
      <c r="C1440" s="251">
        <v>612</v>
      </c>
      <c r="D1440" s="10"/>
      <c r="E1440" s="10"/>
      <c r="F1440" s="252">
        <v>3103033871</v>
      </c>
      <c r="G1440" s="250"/>
      <c r="H1440" s="250"/>
    </row>
    <row r="1441" spans="1:8">
      <c r="A1441" s="273" t="s">
        <v>6137</v>
      </c>
      <c r="B1441" s="250" t="s">
        <v>6084</v>
      </c>
      <c r="C1441" s="251">
        <v>203</v>
      </c>
      <c r="D1441" s="10" t="s">
        <v>6138</v>
      </c>
      <c r="E1441" s="10"/>
      <c r="F1441" s="252">
        <v>3107550023</v>
      </c>
      <c r="G1441" s="250"/>
      <c r="H1441" s="250"/>
    </row>
    <row r="1442" spans="1:8">
      <c r="A1442" s="273" t="s">
        <v>6139</v>
      </c>
      <c r="B1442" s="250" t="s">
        <v>6140</v>
      </c>
      <c r="C1442" s="251">
        <v>307</v>
      </c>
      <c r="D1442" s="10"/>
      <c r="E1442" s="10"/>
      <c r="F1442" s="252">
        <v>3013605801</v>
      </c>
      <c r="G1442" s="250"/>
      <c r="H1442" s="250"/>
    </row>
    <row r="1443" spans="1:8">
      <c r="A1443" s="273" t="s">
        <v>6141</v>
      </c>
      <c r="B1443" s="250" t="s">
        <v>6142</v>
      </c>
      <c r="C1443" s="251">
        <v>801</v>
      </c>
      <c r="D1443" s="10"/>
      <c r="E1443" s="10"/>
      <c r="F1443" s="252">
        <v>3102450919</v>
      </c>
      <c r="G1443" s="250"/>
      <c r="H1443" s="250"/>
    </row>
    <row r="1444" spans="1:8">
      <c r="A1444" s="273" t="s">
        <v>6143</v>
      </c>
      <c r="B1444" s="250" t="s">
        <v>6144</v>
      </c>
      <c r="C1444" s="251">
        <v>605</v>
      </c>
      <c r="D1444" s="10" t="s">
        <v>6145</v>
      </c>
      <c r="E1444" s="10"/>
      <c r="F1444" s="252">
        <v>3134337760</v>
      </c>
      <c r="G1444" s="250"/>
      <c r="H1444" s="250"/>
    </row>
    <row r="1445" spans="1:8">
      <c r="A1445" s="273" t="s">
        <v>6146</v>
      </c>
      <c r="B1445" s="250" t="s">
        <v>6147</v>
      </c>
      <c r="C1445" s="251" t="s">
        <v>3007</v>
      </c>
      <c r="D1445" s="10"/>
      <c r="E1445" s="10" t="s">
        <v>6148</v>
      </c>
      <c r="F1445" s="252">
        <v>3012083510</v>
      </c>
      <c r="G1445" s="250"/>
      <c r="H1445" s="250"/>
    </row>
    <row r="1446" spans="1:8">
      <c r="A1446" s="273" t="s">
        <v>6149</v>
      </c>
      <c r="B1446" s="250" t="s">
        <v>6150</v>
      </c>
      <c r="C1446" s="251">
        <v>501</v>
      </c>
      <c r="D1446" s="10"/>
      <c r="E1446" s="10"/>
      <c r="F1446" s="252">
        <v>3103349605</v>
      </c>
      <c r="G1446" s="250"/>
      <c r="H1446" s="250"/>
    </row>
    <row r="1447" spans="1:8">
      <c r="A1447" s="273" t="s">
        <v>6151</v>
      </c>
      <c r="B1447" s="250" t="s">
        <v>6152</v>
      </c>
      <c r="C1447" s="251">
        <v>803</v>
      </c>
      <c r="D1447" s="10" t="s">
        <v>6153</v>
      </c>
      <c r="E1447" s="10"/>
      <c r="F1447" s="252">
        <v>3182616171</v>
      </c>
      <c r="G1447" s="250"/>
      <c r="H1447" s="250"/>
    </row>
    <row r="1448" spans="1:8">
      <c r="A1448" s="273" t="s">
        <v>6154</v>
      </c>
      <c r="B1448" s="250" t="s">
        <v>6155</v>
      </c>
      <c r="C1448" s="251"/>
      <c r="D1448" s="10" t="s">
        <v>6156</v>
      </c>
      <c r="E1448" s="10"/>
      <c r="F1448" s="252">
        <v>3002429668</v>
      </c>
      <c r="G1448" s="250"/>
      <c r="H1448" s="250"/>
    </row>
    <row r="1449" spans="1:8">
      <c r="A1449" s="273" t="s">
        <v>6157</v>
      </c>
      <c r="B1449" s="250" t="s">
        <v>6158</v>
      </c>
      <c r="C1449" s="251">
        <v>404</v>
      </c>
      <c r="D1449" s="10" t="s">
        <v>6159</v>
      </c>
      <c r="E1449" s="10"/>
      <c r="F1449" s="252">
        <v>3012334847</v>
      </c>
      <c r="G1449" s="250"/>
      <c r="H1449" s="250"/>
    </row>
    <row r="1450" spans="1:8">
      <c r="A1450" s="273" t="s">
        <v>6160</v>
      </c>
      <c r="B1450" s="250" t="s">
        <v>6161</v>
      </c>
      <c r="C1450" s="251">
        <v>303</v>
      </c>
      <c r="D1450" s="10"/>
      <c r="E1450" s="10"/>
      <c r="F1450" s="252">
        <v>3134564788</v>
      </c>
      <c r="G1450" s="250"/>
      <c r="H1450" s="250"/>
    </row>
    <row r="1451" spans="1:8">
      <c r="A1451" s="273" t="s">
        <v>6162</v>
      </c>
      <c r="B1451" s="250" t="s">
        <v>6163</v>
      </c>
      <c r="C1451" s="251"/>
      <c r="D1451" s="10" t="s">
        <v>3463</v>
      </c>
      <c r="E1451" s="10"/>
      <c r="F1451" s="252">
        <v>3022610890</v>
      </c>
      <c r="G1451" s="250"/>
      <c r="H1451" s="250"/>
    </row>
    <row r="1452" spans="1:8">
      <c r="A1452" s="273" t="s">
        <v>6164</v>
      </c>
      <c r="B1452" s="250" t="s">
        <v>6165</v>
      </c>
      <c r="C1452" s="251">
        <v>502</v>
      </c>
      <c r="D1452" s="10" t="s">
        <v>6166</v>
      </c>
      <c r="E1452" s="10"/>
      <c r="F1452" s="252">
        <v>3125922511</v>
      </c>
      <c r="G1452" s="250"/>
      <c r="H1452" s="250"/>
    </row>
    <row r="1453" spans="1:8">
      <c r="A1453" s="273" t="s">
        <v>6167</v>
      </c>
      <c r="B1453" s="250" t="s">
        <v>6168</v>
      </c>
      <c r="C1453" s="251">
        <v>207</v>
      </c>
      <c r="D1453" s="10" t="s">
        <v>6169</v>
      </c>
      <c r="E1453" s="10"/>
      <c r="F1453" s="252">
        <v>3158527440</v>
      </c>
      <c r="G1453" s="250"/>
      <c r="H1453" s="250"/>
    </row>
    <row r="1454" spans="1:8">
      <c r="A1454" s="273" t="s">
        <v>6170</v>
      </c>
      <c r="B1454" s="250" t="s">
        <v>6171</v>
      </c>
      <c r="C1454" s="251">
        <v>503</v>
      </c>
      <c r="D1454" s="10" t="s">
        <v>6172</v>
      </c>
      <c r="E1454" s="10"/>
      <c r="F1454" s="252">
        <v>3015547339</v>
      </c>
      <c r="G1454" s="250"/>
      <c r="H1454" s="250"/>
    </row>
    <row r="1455" spans="1:8">
      <c r="A1455" s="273" t="s">
        <v>6173</v>
      </c>
      <c r="B1455" s="250" t="s">
        <v>6174</v>
      </c>
      <c r="C1455" s="251">
        <v>501</v>
      </c>
      <c r="D1455" s="10" t="s">
        <v>3808</v>
      </c>
      <c r="E1455" s="10"/>
      <c r="F1455" s="252">
        <v>3202088910</v>
      </c>
      <c r="G1455" s="250"/>
      <c r="H1455" s="250"/>
    </row>
    <row r="1456" spans="1:8">
      <c r="A1456" s="273" t="s">
        <v>6175</v>
      </c>
      <c r="B1456" s="250" t="s">
        <v>6176</v>
      </c>
      <c r="C1456" s="251">
        <v>101</v>
      </c>
      <c r="D1456" s="10"/>
      <c r="E1456" s="10"/>
      <c r="F1456" s="252">
        <v>3153191883</v>
      </c>
      <c r="G1456" s="250"/>
      <c r="H1456" s="250"/>
    </row>
    <row r="1457" spans="1:8">
      <c r="A1457" s="273" t="s">
        <v>1701</v>
      </c>
      <c r="B1457" s="250" t="s">
        <v>6177</v>
      </c>
      <c r="C1457" s="251">
        <v>501</v>
      </c>
      <c r="D1457" s="10" t="s">
        <v>6178</v>
      </c>
      <c r="E1457" s="10"/>
      <c r="F1457" s="252">
        <v>3183818928</v>
      </c>
      <c r="G1457" s="250"/>
      <c r="H1457" s="250"/>
    </row>
    <row r="1458" spans="1:8">
      <c r="A1458" s="273" t="s">
        <v>6179</v>
      </c>
      <c r="B1458" s="250" t="s">
        <v>6180</v>
      </c>
      <c r="C1458" s="251">
        <v>804</v>
      </c>
      <c r="D1458" s="10"/>
      <c r="E1458" s="10" t="s">
        <v>6181</v>
      </c>
      <c r="F1458" s="252">
        <v>3108586285</v>
      </c>
      <c r="G1458" s="250"/>
      <c r="H1458" s="250"/>
    </row>
    <row r="1459" spans="1:8">
      <c r="A1459" s="273" t="s">
        <v>6182</v>
      </c>
      <c r="B1459" s="250" t="s">
        <v>6183</v>
      </c>
      <c r="C1459" s="251">
        <v>301</v>
      </c>
      <c r="D1459" s="10" t="s">
        <v>6184</v>
      </c>
      <c r="E1459" s="10"/>
      <c r="F1459" s="252">
        <v>3016574129</v>
      </c>
      <c r="G1459" s="250"/>
      <c r="H1459" s="250"/>
    </row>
    <row r="1460" spans="1:8">
      <c r="A1460" s="273" t="s">
        <v>6185</v>
      </c>
      <c r="B1460" s="250" t="s">
        <v>6186</v>
      </c>
      <c r="C1460" s="251">
        <v>402</v>
      </c>
      <c r="D1460" s="10" t="s">
        <v>6187</v>
      </c>
      <c r="E1460" s="10"/>
      <c r="F1460" s="252">
        <v>3134117777</v>
      </c>
      <c r="G1460" s="250"/>
      <c r="H1460" s="250"/>
    </row>
    <row r="1461" spans="1:8">
      <c r="A1461" s="273" t="s">
        <v>6188</v>
      </c>
      <c r="B1461" s="250" t="s">
        <v>3091</v>
      </c>
      <c r="C1461" s="251">
        <v>404</v>
      </c>
      <c r="D1461" s="10" t="s">
        <v>6189</v>
      </c>
      <c r="E1461" s="10"/>
      <c r="F1461" s="252">
        <v>3124441013</v>
      </c>
      <c r="G1461" s="250"/>
      <c r="H1461" s="250"/>
    </row>
    <row r="1462" spans="1:8">
      <c r="A1462" s="273" t="s">
        <v>6190</v>
      </c>
      <c r="B1462" s="250" t="s">
        <v>6191</v>
      </c>
      <c r="C1462" s="251">
        <v>511</v>
      </c>
      <c r="D1462" s="10" t="s">
        <v>6192</v>
      </c>
      <c r="E1462" s="10" t="s">
        <v>4854</v>
      </c>
      <c r="F1462" s="252">
        <v>3017572391</v>
      </c>
      <c r="G1462" s="250"/>
      <c r="H1462" s="250"/>
    </row>
    <row r="1463" spans="1:8">
      <c r="A1463" s="273" t="s">
        <v>6193</v>
      </c>
      <c r="B1463" s="250" t="s">
        <v>6194</v>
      </c>
      <c r="C1463" s="251">
        <v>201</v>
      </c>
      <c r="D1463" s="10" t="s">
        <v>2733</v>
      </c>
      <c r="E1463" s="10"/>
      <c r="F1463" s="252">
        <v>3106168582</v>
      </c>
      <c r="G1463" s="250"/>
      <c r="H1463" s="250"/>
    </row>
    <row r="1464" spans="1:8">
      <c r="A1464" s="273" t="s">
        <v>6195</v>
      </c>
      <c r="B1464" s="250" t="s">
        <v>6196</v>
      </c>
      <c r="C1464" s="251">
        <v>502</v>
      </c>
      <c r="D1464" s="10"/>
      <c r="E1464" s="10" t="s">
        <v>5099</v>
      </c>
      <c r="F1464" s="252">
        <v>3135719588</v>
      </c>
      <c r="G1464" s="250"/>
      <c r="H1464" s="250"/>
    </row>
    <row r="1465" spans="1:8">
      <c r="A1465" s="273" t="s">
        <v>6197</v>
      </c>
      <c r="B1465" s="250" t="s">
        <v>6198</v>
      </c>
      <c r="C1465" s="251">
        <v>207</v>
      </c>
      <c r="D1465" s="10" t="s">
        <v>3752</v>
      </c>
      <c r="E1465" s="10"/>
      <c r="F1465" s="252" t="s">
        <v>6199</v>
      </c>
      <c r="G1465" s="250"/>
      <c r="H1465" s="250"/>
    </row>
    <row r="1466" spans="1:8">
      <c r="A1466" s="273" t="s">
        <v>6200</v>
      </c>
      <c r="B1466" s="250" t="s">
        <v>6201</v>
      </c>
      <c r="C1466" s="251"/>
      <c r="D1466" s="10" t="s">
        <v>6202</v>
      </c>
      <c r="E1466" s="10"/>
      <c r="F1466" s="252">
        <v>3133942981</v>
      </c>
      <c r="G1466" s="250"/>
      <c r="H1466" s="250"/>
    </row>
    <row r="1467" spans="1:8">
      <c r="A1467" s="273" t="s">
        <v>6203</v>
      </c>
      <c r="B1467" s="250" t="s">
        <v>5036</v>
      </c>
      <c r="C1467" s="251">
        <v>502</v>
      </c>
      <c r="D1467" s="10" t="s">
        <v>6204</v>
      </c>
      <c r="E1467" s="10"/>
      <c r="F1467" s="252">
        <v>3003292130</v>
      </c>
      <c r="G1467" s="250"/>
      <c r="H1467" s="250"/>
    </row>
    <row r="1468" spans="1:8">
      <c r="A1468" s="273" t="s">
        <v>6205</v>
      </c>
      <c r="B1468" s="250" t="s">
        <v>6206</v>
      </c>
      <c r="C1468" s="251">
        <v>101</v>
      </c>
      <c r="D1468" s="10" t="s">
        <v>6207</v>
      </c>
      <c r="E1468" s="10"/>
      <c r="F1468" s="252">
        <v>3142960393</v>
      </c>
      <c r="G1468" s="250"/>
      <c r="H1468" s="250"/>
    </row>
    <row r="1469" spans="1:8">
      <c r="A1469" s="273" t="s">
        <v>6208</v>
      </c>
      <c r="B1469" s="250" t="s">
        <v>6209</v>
      </c>
      <c r="C1469" s="251">
        <v>307</v>
      </c>
      <c r="D1469" s="10"/>
      <c r="E1469" s="10"/>
      <c r="F1469" s="252">
        <v>3187709800</v>
      </c>
      <c r="G1469" s="250"/>
      <c r="H1469" s="250"/>
    </row>
    <row r="1470" spans="1:8">
      <c r="A1470" s="273" t="s">
        <v>6210</v>
      </c>
      <c r="B1470" s="250" t="s">
        <v>6211</v>
      </c>
      <c r="C1470" s="251">
        <v>305</v>
      </c>
      <c r="D1470" s="10"/>
      <c r="E1470" s="10"/>
      <c r="F1470" s="252">
        <v>3202180381</v>
      </c>
      <c r="G1470" s="250"/>
      <c r="H1470" s="250"/>
    </row>
    <row r="1471" spans="1:8">
      <c r="A1471" s="273" t="s">
        <v>6212</v>
      </c>
      <c r="B1471" s="250" t="s">
        <v>3499</v>
      </c>
      <c r="C1471" s="251">
        <v>503</v>
      </c>
      <c r="D1471" s="10" t="s">
        <v>6213</v>
      </c>
      <c r="E1471" s="10"/>
      <c r="F1471" s="252">
        <v>3103322688</v>
      </c>
      <c r="G1471" s="250"/>
      <c r="H1471" s="250"/>
    </row>
    <row r="1472" spans="1:8">
      <c r="A1472" s="273" t="s">
        <v>6214</v>
      </c>
      <c r="B1472" s="250" t="s">
        <v>6215</v>
      </c>
      <c r="C1472" s="251"/>
      <c r="D1472" s="10" t="s">
        <v>6216</v>
      </c>
      <c r="E1472" s="10"/>
      <c r="F1472" s="252">
        <v>3123455761</v>
      </c>
      <c r="G1472" s="250"/>
      <c r="H1472" s="250"/>
    </row>
    <row r="1473" spans="1:8">
      <c r="A1473" s="273" t="s">
        <v>6217</v>
      </c>
      <c r="B1473" s="250" t="s">
        <v>6218</v>
      </c>
      <c r="C1473" s="251">
        <v>703</v>
      </c>
      <c r="D1473" s="10"/>
      <c r="E1473" s="10"/>
      <c r="F1473" s="252">
        <v>3102101383</v>
      </c>
      <c r="G1473" s="250"/>
      <c r="H1473" s="250"/>
    </row>
    <row r="1474" spans="1:8">
      <c r="A1474" s="273" t="s">
        <v>6219</v>
      </c>
      <c r="B1474" s="250" t="s">
        <v>6220</v>
      </c>
      <c r="C1474" s="251">
        <v>302</v>
      </c>
      <c r="D1474" s="10"/>
      <c r="E1474" s="10"/>
      <c r="F1474" s="252">
        <v>3158993356</v>
      </c>
      <c r="G1474" s="250"/>
      <c r="H1474" s="250"/>
    </row>
    <row r="1475" spans="1:8">
      <c r="A1475" s="273" t="s">
        <v>6221</v>
      </c>
      <c r="B1475" s="250" t="s">
        <v>5275</v>
      </c>
      <c r="C1475" s="251">
        <v>303</v>
      </c>
      <c r="D1475" s="10"/>
      <c r="E1475" s="10"/>
      <c r="F1475" s="252">
        <v>3223460813</v>
      </c>
      <c r="G1475" s="250"/>
      <c r="H1475" s="250"/>
    </row>
    <row r="1476" spans="1:8">
      <c r="A1476" s="273" t="s">
        <v>6222</v>
      </c>
      <c r="B1476" s="250" t="s">
        <v>6223</v>
      </c>
      <c r="C1476" s="251">
        <v>601</v>
      </c>
      <c r="D1476" s="10" t="s">
        <v>6224</v>
      </c>
      <c r="E1476" s="10"/>
      <c r="F1476" s="252">
        <v>3184534455</v>
      </c>
      <c r="G1476" s="250"/>
      <c r="H1476" s="250"/>
    </row>
    <row r="1477" spans="1:8">
      <c r="A1477" s="273" t="s">
        <v>6225</v>
      </c>
      <c r="B1477" s="250" t="s">
        <v>6226</v>
      </c>
      <c r="C1477" s="251">
        <v>305</v>
      </c>
      <c r="D1477" s="10"/>
      <c r="E1477" s="10"/>
      <c r="F1477" s="252">
        <v>3173315462</v>
      </c>
      <c r="G1477" s="250"/>
      <c r="H1477" s="250"/>
    </row>
    <row r="1478" spans="1:8">
      <c r="A1478" s="273" t="s">
        <v>6227</v>
      </c>
      <c r="B1478" s="250" t="s">
        <v>6228</v>
      </c>
      <c r="C1478" s="251">
        <v>1204</v>
      </c>
      <c r="D1478" s="10" t="s">
        <v>5832</v>
      </c>
      <c r="E1478" s="10"/>
      <c r="F1478" s="252">
        <v>3107887720</v>
      </c>
      <c r="G1478" s="10"/>
      <c r="H1478" s="10"/>
    </row>
    <row r="1479" spans="1:8">
      <c r="A1479" s="273" t="s">
        <v>6229</v>
      </c>
      <c r="B1479" s="250" t="s">
        <v>6230</v>
      </c>
      <c r="C1479" s="251">
        <v>104</v>
      </c>
      <c r="D1479" s="10" t="s">
        <v>6231</v>
      </c>
      <c r="E1479" s="10"/>
      <c r="F1479" s="252">
        <v>3166910060</v>
      </c>
      <c r="G1479" s="250"/>
      <c r="H1479" s="250"/>
    </row>
    <row r="1480" spans="1:8">
      <c r="A1480" s="273" t="s">
        <v>6232</v>
      </c>
      <c r="B1480" s="250" t="s">
        <v>6233</v>
      </c>
      <c r="C1480" s="251" t="s">
        <v>3007</v>
      </c>
      <c r="D1480" s="10" t="s">
        <v>6234</v>
      </c>
      <c r="E1480" s="10" t="s">
        <v>6235</v>
      </c>
      <c r="F1480" s="252">
        <v>3002138240</v>
      </c>
      <c r="G1480" s="250"/>
      <c r="H1480" s="250"/>
    </row>
    <row r="1481" spans="1:8">
      <c r="A1481" s="273" t="s">
        <v>6236</v>
      </c>
      <c r="B1481" s="250" t="s">
        <v>6237</v>
      </c>
      <c r="C1481" s="251">
        <v>201</v>
      </c>
      <c r="D1481" s="10" t="s">
        <v>2767</v>
      </c>
      <c r="E1481" s="10"/>
      <c r="F1481" s="252">
        <v>3166800180</v>
      </c>
      <c r="G1481" s="250"/>
      <c r="H1481" s="250"/>
    </row>
    <row r="1482" spans="1:8">
      <c r="A1482" s="273" t="s">
        <v>6238</v>
      </c>
      <c r="B1482" s="250" t="s">
        <v>3321</v>
      </c>
      <c r="C1482" s="251">
        <v>210</v>
      </c>
      <c r="D1482" s="10" t="s">
        <v>6239</v>
      </c>
      <c r="E1482" s="10"/>
      <c r="F1482" s="252">
        <v>3134246377</v>
      </c>
      <c r="G1482" s="250"/>
      <c r="H1482" s="250"/>
    </row>
    <row r="1483" spans="1:8">
      <c r="A1483" s="273" t="s">
        <v>6240</v>
      </c>
      <c r="B1483" s="250" t="s">
        <v>6241</v>
      </c>
      <c r="C1483" s="251">
        <v>404</v>
      </c>
      <c r="D1483" s="10" t="s">
        <v>6242</v>
      </c>
      <c r="E1483" s="10"/>
      <c r="F1483" s="252">
        <v>3176753786</v>
      </c>
      <c r="G1483" s="250"/>
      <c r="H1483" s="250"/>
    </row>
    <row r="1484" spans="1:8">
      <c r="A1484" s="273" t="s">
        <v>6243</v>
      </c>
      <c r="B1484" s="250" t="s">
        <v>6244</v>
      </c>
      <c r="C1484" s="251">
        <v>903</v>
      </c>
      <c r="D1484" s="10"/>
      <c r="E1484" s="10"/>
      <c r="F1484" s="252">
        <v>3004278452</v>
      </c>
      <c r="G1484" s="250"/>
      <c r="H1484" s="250"/>
    </row>
    <row r="1485" spans="1:8">
      <c r="A1485" s="273" t="s">
        <v>6245</v>
      </c>
      <c r="B1485" s="250" t="s">
        <v>3703</v>
      </c>
      <c r="C1485" s="251">
        <v>1702</v>
      </c>
      <c r="D1485" s="10" t="s">
        <v>6246</v>
      </c>
      <c r="E1485" s="10"/>
      <c r="F1485" s="252">
        <v>3153296922</v>
      </c>
      <c r="G1485" s="250">
        <v>21070744</v>
      </c>
      <c r="H1485" s="250" t="s">
        <v>6247</v>
      </c>
    </row>
    <row r="1486" spans="1:8">
      <c r="A1486" s="273" t="s">
        <v>6248</v>
      </c>
      <c r="B1486" s="250" t="s">
        <v>6249</v>
      </c>
      <c r="C1486" s="251" t="s">
        <v>3007</v>
      </c>
      <c r="D1486" s="10" t="s">
        <v>6250</v>
      </c>
      <c r="E1486" s="10"/>
      <c r="F1486" s="252">
        <v>3102110032</v>
      </c>
      <c r="G1486" s="250"/>
      <c r="H1486" s="250"/>
    </row>
    <row r="1487" spans="1:8">
      <c r="A1487" s="273" t="s">
        <v>6251</v>
      </c>
      <c r="B1487" s="250" t="s">
        <v>6252</v>
      </c>
      <c r="C1487" s="251">
        <v>201</v>
      </c>
      <c r="D1487" s="10"/>
      <c r="E1487" s="10"/>
      <c r="F1487" s="252">
        <v>3196612147</v>
      </c>
      <c r="G1487" s="250"/>
      <c r="H1487" s="250"/>
    </row>
    <row r="1488" spans="1:8">
      <c r="A1488" s="273" t="s">
        <v>6253</v>
      </c>
      <c r="B1488" s="250" t="s">
        <v>6254</v>
      </c>
      <c r="C1488" s="251">
        <v>104</v>
      </c>
      <c r="D1488" s="10"/>
      <c r="E1488" s="10" t="s">
        <v>6255</v>
      </c>
      <c r="F1488" s="252">
        <v>3004615498</v>
      </c>
      <c r="G1488" s="250"/>
      <c r="H1488" s="250"/>
    </row>
    <row r="1489" spans="1:8">
      <c r="A1489" s="273" t="s">
        <v>6256</v>
      </c>
      <c r="B1489" s="250" t="s">
        <v>6257</v>
      </c>
      <c r="C1489" s="251"/>
      <c r="D1489" s="10"/>
      <c r="E1489" s="10"/>
      <c r="F1489" s="252">
        <v>3214560067</v>
      </c>
      <c r="G1489" s="250"/>
      <c r="H1489" s="250"/>
    </row>
    <row r="1490" spans="1:8">
      <c r="A1490" s="273" t="s">
        <v>6258</v>
      </c>
      <c r="B1490" s="250" t="s">
        <v>6259</v>
      </c>
      <c r="C1490" s="251">
        <v>508</v>
      </c>
      <c r="D1490" s="10" t="s">
        <v>6260</v>
      </c>
      <c r="E1490" s="10"/>
      <c r="F1490" s="252">
        <v>3178948915</v>
      </c>
      <c r="G1490" s="250"/>
      <c r="H1490" s="250"/>
    </row>
    <row r="1491" spans="1:8">
      <c r="A1491" s="273" t="s">
        <v>6261</v>
      </c>
      <c r="B1491" s="250" t="s">
        <v>6262</v>
      </c>
      <c r="C1491" s="251">
        <v>301</v>
      </c>
      <c r="D1491" s="10"/>
      <c r="E1491" s="10" t="s">
        <v>5331</v>
      </c>
      <c r="F1491" s="252">
        <v>3202939150</v>
      </c>
      <c r="G1491" s="250"/>
      <c r="H1491" s="250"/>
    </row>
    <row r="1492" spans="1:8">
      <c r="A1492" s="273" t="s">
        <v>6263</v>
      </c>
      <c r="B1492" s="250" t="s">
        <v>6264</v>
      </c>
      <c r="C1492" s="251"/>
      <c r="D1492" s="10"/>
      <c r="E1492" s="10" t="s">
        <v>3116</v>
      </c>
      <c r="F1492" s="252">
        <v>3102685979</v>
      </c>
      <c r="G1492" s="250"/>
      <c r="H1492" s="250"/>
    </row>
    <row r="1493" spans="1:8">
      <c r="A1493" s="273" t="s">
        <v>6265</v>
      </c>
      <c r="B1493" s="250" t="s">
        <v>6266</v>
      </c>
      <c r="C1493" s="251">
        <v>504</v>
      </c>
      <c r="D1493" s="10" t="s">
        <v>6267</v>
      </c>
      <c r="E1493" s="10"/>
      <c r="F1493" s="252">
        <v>3158970795</v>
      </c>
      <c r="G1493" s="250"/>
      <c r="H1493" s="250"/>
    </row>
    <row r="1494" spans="1:8">
      <c r="A1494" s="273" t="s">
        <v>6268</v>
      </c>
      <c r="B1494" s="250" t="s">
        <v>6269</v>
      </c>
      <c r="C1494" s="251" t="s">
        <v>6270</v>
      </c>
      <c r="D1494" s="10" t="s">
        <v>6271</v>
      </c>
      <c r="E1494" s="10"/>
      <c r="F1494" s="252">
        <v>3174369967</v>
      </c>
      <c r="G1494" s="250"/>
      <c r="H1494" s="250"/>
    </row>
    <row r="1495" spans="1:8">
      <c r="A1495" s="273" t="s">
        <v>6272</v>
      </c>
      <c r="B1495" s="250" t="s">
        <v>6273</v>
      </c>
      <c r="C1495" s="251">
        <v>401</v>
      </c>
      <c r="D1495" s="10"/>
      <c r="E1495" s="10" t="s">
        <v>6274</v>
      </c>
      <c r="F1495" s="252">
        <v>3004312370</v>
      </c>
      <c r="G1495" s="250"/>
      <c r="H1495" s="250"/>
    </row>
    <row r="1496" spans="1:8">
      <c r="A1496" s="273" t="s">
        <v>6275</v>
      </c>
      <c r="B1496" s="250" t="s">
        <v>6276</v>
      </c>
      <c r="C1496" s="251">
        <v>101</v>
      </c>
      <c r="D1496" s="10"/>
      <c r="E1496" s="10"/>
      <c r="F1496" s="252">
        <v>3057845090</v>
      </c>
      <c r="G1496" s="250"/>
      <c r="H1496" s="250"/>
    </row>
    <row r="1497" spans="1:8">
      <c r="A1497" s="273" t="s">
        <v>6277</v>
      </c>
      <c r="B1497" s="250" t="s">
        <v>6278</v>
      </c>
      <c r="C1497" s="251" t="s">
        <v>3026</v>
      </c>
      <c r="D1497" s="10" t="s">
        <v>6279</v>
      </c>
      <c r="E1497" s="10" t="s">
        <v>6280</v>
      </c>
      <c r="F1497" s="252">
        <v>3103793626</v>
      </c>
      <c r="G1497" s="250"/>
      <c r="H1497" s="250"/>
    </row>
    <row r="1498" spans="1:8">
      <c r="A1498" s="273" t="s">
        <v>6281</v>
      </c>
      <c r="B1498" s="250" t="s">
        <v>6282</v>
      </c>
      <c r="C1498" s="251">
        <v>602</v>
      </c>
      <c r="D1498" s="10" t="s">
        <v>2733</v>
      </c>
      <c r="E1498" s="10"/>
      <c r="F1498" s="252">
        <v>3114459063</v>
      </c>
      <c r="G1498" s="250"/>
      <c r="H1498" s="250"/>
    </row>
    <row r="1499" spans="1:8">
      <c r="A1499" s="273" t="s">
        <v>6283</v>
      </c>
      <c r="B1499" s="250" t="s">
        <v>6284</v>
      </c>
      <c r="C1499" s="251">
        <v>1205</v>
      </c>
      <c r="D1499" s="10"/>
      <c r="E1499" s="10"/>
      <c r="F1499" s="252">
        <v>3002650494</v>
      </c>
      <c r="G1499" s="250"/>
      <c r="H1499" s="250"/>
    </row>
    <row r="1500" spans="1:8">
      <c r="A1500" s="273" t="s">
        <v>6285</v>
      </c>
      <c r="B1500" s="250" t="s">
        <v>6286</v>
      </c>
      <c r="C1500" s="251">
        <v>106</v>
      </c>
      <c r="D1500" s="10"/>
      <c r="E1500" s="10"/>
      <c r="F1500" s="252">
        <v>3044506535</v>
      </c>
      <c r="G1500" s="250"/>
      <c r="H1500" s="250"/>
    </row>
    <row r="1501" spans="1:8">
      <c r="A1501" s="273" t="s">
        <v>6287</v>
      </c>
      <c r="B1501" s="250" t="s">
        <v>6288</v>
      </c>
      <c r="C1501" s="251">
        <v>302</v>
      </c>
      <c r="D1501" s="10" t="s">
        <v>6289</v>
      </c>
      <c r="E1501" s="10"/>
      <c r="F1501" s="252">
        <v>3202772661</v>
      </c>
      <c r="G1501" s="250"/>
      <c r="H1501" s="250"/>
    </row>
    <row r="1502" spans="1:8">
      <c r="A1502" s="273" t="s">
        <v>6290</v>
      </c>
      <c r="B1502" s="250" t="s">
        <v>6291</v>
      </c>
      <c r="C1502" s="251" t="s">
        <v>6292</v>
      </c>
      <c r="D1502" s="10" t="s">
        <v>6293</v>
      </c>
      <c r="E1502" s="10"/>
      <c r="F1502" s="252">
        <v>3184249692</v>
      </c>
      <c r="G1502" s="250"/>
      <c r="H1502" s="250"/>
    </row>
    <row r="1503" spans="1:8">
      <c r="A1503" s="273" t="s">
        <v>6294</v>
      </c>
      <c r="B1503" s="250" t="s">
        <v>6295</v>
      </c>
      <c r="C1503" s="251">
        <v>403</v>
      </c>
      <c r="D1503" s="10"/>
      <c r="E1503" s="10"/>
      <c r="F1503" s="252">
        <v>3114910930</v>
      </c>
      <c r="G1503" s="250"/>
      <c r="H1503" s="250"/>
    </row>
    <row r="1504" spans="1:8">
      <c r="A1504" s="273" t="s">
        <v>6296</v>
      </c>
      <c r="B1504" s="250" t="s">
        <v>6297</v>
      </c>
      <c r="C1504" s="251">
        <v>904</v>
      </c>
      <c r="D1504" s="10"/>
      <c r="E1504" s="10"/>
      <c r="F1504" s="252">
        <v>3133979846</v>
      </c>
      <c r="G1504" s="250"/>
      <c r="H1504" s="250"/>
    </row>
    <row r="1505" spans="1:8">
      <c r="A1505" s="273" t="s">
        <v>6298</v>
      </c>
      <c r="B1505" s="250" t="s">
        <v>6299</v>
      </c>
      <c r="C1505" s="251" t="s">
        <v>6300</v>
      </c>
      <c r="D1505" s="10" t="s">
        <v>6301</v>
      </c>
      <c r="E1505" s="10"/>
      <c r="F1505" s="252">
        <v>3002760571</v>
      </c>
      <c r="G1505" s="250"/>
      <c r="H1505" s="250"/>
    </row>
    <row r="1506" spans="1:8">
      <c r="A1506" s="273" t="s">
        <v>6302</v>
      </c>
      <c r="B1506" s="250" t="s">
        <v>6303</v>
      </c>
      <c r="C1506" s="251" t="s">
        <v>3007</v>
      </c>
      <c r="D1506" s="10" t="s">
        <v>6304</v>
      </c>
      <c r="E1506" s="10" t="s">
        <v>6305</v>
      </c>
      <c r="F1506" s="252">
        <v>3115168869</v>
      </c>
      <c r="G1506" s="250"/>
      <c r="H1506" s="250"/>
    </row>
    <row r="1507" spans="1:8">
      <c r="A1507" s="273" t="s">
        <v>6306</v>
      </c>
      <c r="B1507" s="250" t="s">
        <v>6307</v>
      </c>
      <c r="C1507" s="251">
        <v>501</v>
      </c>
      <c r="D1507" s="10" t="s">
        <v>6308</v>
      </c>
      <c r="E1507" s="10"/>
      <c r="F1507" s="252">
        <v>3134415578</v>
      </c>
      <c r="G1507" s="250"/>
      <c r="H1507" s="250"/>
    </row>
    <row r="1508" spans="1:8">
      <c r="A1508" s="273" t="s">
        <v>6309</v>
      </c>
      <c r="B1508" s="250" t="s">
        <v>5926</v>
      </c>
      <c r="C1508" s="251">
        <v>502</v>
      </c>
      <c r="D1508" s="10" t="s">
        <v>3808</v>
      </c>
      <c r="E1508" s="10"/>
      <c r="F1508" s="252">
        <v>3213794948</v>
      </c>
      <c r="G1508" s="250"/>
      <c r="H1508" s="250"/>
    </row>
    <row r="1509" spans="1:8">
      <c r="A1509" s="273" t="s">
        <v>6310</v>
      </c>
      <c r="B1509" s="250" t="s">
        <v>6311</v>
      </c>
      <c r="C1509" s="251">
        <v>604</v>
      </c>
      <c r="D1509" s="10" t="s">
        <v>6312</v>
      </c>
      <c r="E1509" s="10" t="s">
        <v>5867</v>
      </c>
      <c r="F1509" s="252">
        <v>3217528562</v>
      </c>
      <c r="G1509" s="250"/>
      <c r="H1509" s="250"/>
    </row>
    <row r="1510" spans="1:8">
      <c r="A1510" s="273" t="s">
        <v>6313</v>
      </c>
      <c r="B1510" s="250" t="s">
        <v>6314</v>
      </c>
      <c r="C1510" s="251">
        <v>803</v>
      </c>
      <c r="D1510" s="10"/>
      <c r="E1510" s="10"/>
      <c r="F1510" s="252">
        <v>3213303690</v>
      </c>
      <c r="G1510" s="250"/>
      <c r="H1510" s="250"/>
    </row>
    <row r="1511" spans="1:8">
      <c r="A1511" s="273" t="s">
        <v>6315</v>
      </c>
      <c r="B1511" s="250" t="s">
        <v>6316</v>
      </c>
      <c r="C1511" s="251">
        <v>501</v>
      </c>
      <c r="D1511" s="10" t="s">
        <v>3104</v>
      </c>
      <c r="E1511" s="10"/>
      <c r="F1511" s="252">
        <v>3134313451</v>
      </c>
      <c r="G1511" s="250"/>
      <c r="H1511" s="250"/>
    </row>
    <row r="1512" spans="1:8">
      <c r="A1512" s="273" t="s">
        <v>6317</v>
      </c>
      <c r="B1512" s="250" t="s">
        <v>6318</v>
      </c>
      <c r="C1512" s="251">
        <v>508</v>
      </c>
      <c r="D1512" s="10" t="s">
        <v>6319</v>
      </c>
      <c r="E1512" s="10" t="s">
        <v>5711</v>
      </c>
      <c r="F1512" s="252">
        <v>3102242931</v>
      </c>
      <c r="G1512" s="250"/>
      <c r="H1512" s="250"/>
    </row>
    <row r="1513" spans="1:8">
      <c r="A1513" s="273" t="s">
        <v>6320</v>
      </c>
      <c r="B1513" s="250" t="s">
        <v>5412</v>
      </c>
      <c r="C1513" s="251">
        <v>703</v>
      </c>
      <c r="D1513" s="10" t="s">
        <v>4709</v>
      </c>
      <c r="E1513" s="10" t="s">
        <v>6321</v>
      </c>
      <c r="F1513" s="252">
        <v>3046410629</v>
      </c>
      <c r="G1513" s="250"/>
      <c r="H1513" s="250"/>
    </row>
    <row r="1514" spans="1:8">
      <c r="A1514" s="273" t="s">
        <v>6322</v>
      </c>
      <c r="B1514" s="250" t="s">
        <v>6323</v>
      </c>
      <c r="C1514" s="251">
        <v>302</v>
      </c>
      <c r="D1514" s="10" t="s">
        <v>2772</v>
      </c>
      <c r="E1514" s="10"/>
      <c r="F1514" s="252">
        <v>3212153836</v>
      </c>
      <c r="G1514" s="250"/>
      <c r="H1514" s="250"/>
    </row>
    <row r="1515" spans="1:8">
      <c r="A1515" s="273" t="s">
        <v>6324</v>
      </c>
      <c r="B1515" s="250" t="s">
        <v>3679</v>
      </c>
      <c r="C1515" s="251">
        <v>702</v>
      </c>
      <c r="D1515" s="10"/>
      <c r="E1515" s="10" t="s">
        <v>6325</v>
      </c>
      <c r="F1515" s="252">
        <v>3203777531</v>
      </c>
      <c r="G1515" s="250"/>
      <c r="H1515" s="250"/>
    </row>
    <row r="1516" spans="1:8">
      <c r="A1516" s="273" t="s">
        <v>6326</v>
      </c>
      <c r="B1516" s="250" t="s">
        <v>6327</v>
      </c>
      <c r="C1516" s="251">
        <v>218</v>
      </c>
      <c r="D1516" s="10"/>
      <c r="E1516" s="10" t="s">
        <v>6328</v>
      </c>
      <c r="F1516" s="252">
        <v>3043653914</v>
      </c>
      <c r="G1516" s="250"/>
      <c r="H1516" s="250"/>
    </row>
    <row r="1517" spans="1:8">
      <c r="A1517" s="273" t="s">
        <v>6329</v>
      </c>
      <c r="B1517" s="250" t="s">
        <v>6330</v>
      </c>
      <c r="C1517" s="251">
        <v>508</v>
      </c>
      <c r="D1517" s="10"/>
      <c r="E1517" s="10"/>
      <c r="F1517" s="252">
        <v>3013561138</v>
      </c>
      <c r="G1517" s="250"/>
      <c r="H1517" s="250"/>
    </row>
    <row r="1518" spans="1:8">
      <c r="A1518" s="273" t="s">
        <v>6331</v>
      </c>
      <c r="B1518" s="250" t="s">
        <v>6332</v>
      </c>
      <c r="C1518" s="251"/>
      <c r="D1518" s="10"/>
      <c r="E1518" s="10" t="s">
        <v>6333</v>
      </c>
      <c r="F1518" s="252">
        <v>3112654651</v>
      </c>
      <c r="G1518" s="250"/>
      <c r="H1518" s="250"/>
    </row>
    <row r="1519" spans="1:8">
      <c r="A1519" s="273" t="s">
        <v>6334</v>
      </c>
      <c r="B1519" s="250" t="s">
        <v>6335</v>
      </c>
      <c r="C1519" s="251">
        <v>303</v>
      </c>
      <c r="D1519" s="10" t="s">
        <v>6336</v>
      </c>
      <c r="E1519" s="10"/>
      <c r="F1519" s="252">
        <v>3184652775</v>
      </c>
      <c r="G1519" s="250"/>
      <c r="H1519" s="250"/>
    </row>
    <row r="1520" spans="1:8">
      <c r="A1520" s="273" t="s">
        <v>6337</v>
      </c>
      <c r="B1520" s="250" t="s">
        <v>6338</v>
      </c>
      <c r="C1520" s="251">
        <v>205</v>
      </c>
      <c r="D1520" s="10" t="s">
        <v>2721</v>
      </c>
      <c r="E1520" s="10" t="s">
        <v>6339</v>
      </c>
      <c r="F1520" s="252">
        <v>34655791181</v>
      </c>
      <c r="G1520" s="250"/>
      <c r="H1520" s="250"/>
    </row>
    <row r="1521" spans="1:8">
      <c r="A1521" s="273" t="s">
        <v>6340</v>
      </c>
      <c r="B1521" s="250" t="s">
        <v>6341</v>
      </c>
      <c r="C1521" s="251">
        <v>703</v>
      </c>
      <c r="D1521" s="10" t="s">
        <v>6342</v>
      </c>
      <c r="E1521" s="10"/>
      <c r="F1521" s="252">
        <v>3108095509</v>
      </c>
      <c r="G1521" s="250"/>
      <c r="H1521" s="250"/>
    </row>
    <row r="1522" spans="1:8">
      <c r="A1522" s="273" t="s">
        <v>6343</v>
      </c>
      <c r="B1522" s="250" t="s">
        <v>6344</v>
      </c>
      <c r="C1522" s="251">
        <v>101</v>
      </c>
      <c r="D1522" s="10" t="s">
        <v>4047</v>
      </c>
      <c r="E1522" s="10"/>
      <c r="F1522" s="252">
        <v>3125887611</v>
      </c>
      <c r="G1522" s="250"/>
      <c r="H1522" s="250"/>
    </row>
    <row r="1523" spans="1:8">
      <c r="A1523" s="273" t="s">
        <v>6345</v>
      </c>
      <c r="B1523" s="250" t="s">
        <v>6346</v>
      </c>
      <c r="C1523" s="251" t="s">
        <v>6347</v>
      </c>
      <c r="D1523" s="10"/>
      <c r="E1523" s="10"/>
      <c r="F1523" s="252">
        <v>3208953804</v>
      </c>
      <c r="G1523" s="250"/>
      <c r="H1523" s="250"/>
    </row>
    <row r="1524" spans="1:8">
      <c r="A1524" s="273" t="s">
        <v>6348</v>
      </c>
      <c r="B1524" s="250" t="s">
        <v>6349</v>
      </c>
      <c r="C1524" s="251">
        <v>201</v>
      </c>
      <c r="D1524" s="10" t="s">
        <v>6350</v>
      </c>
      <c r="E1524" s="10" t="s">
        <v>3116</v>
      </c>
      <c r="F1524" s="252">
        <v>3102926750</v>
      </c>
      <c r="G1524" s="250"/>
      <c r="H1524" s="250"/>
    </row>
    <row r="1525" spans="1:8">
      <c r="A1525" s="273" t="s">
        <v>6351</v>
      </c>
      <c r="B1525" s="250" t="s">
        <v>6352</v>
      </c>
      <c r="C1525" s="251">
        <v>406</v>
      </c>
      <c r="D1525" s="10"/>
      <c r="E1525" s="10"/>
      <c r="F1525" s="252">
        <v>3160281858</v>
      </c>
      <c r="G1525" s="250"/>
      <c r="H1525" s="250"/>
    </row>
    <row r="1526" spans="1:8">
      <c r="A1526" s="273" t="s">
        <v>6353</v>
      </c>
      <c r="B1526" s="250" t="s">
        <v>6354</v>
      </c>
      <c r="C1526" s="251" t="s">
        <v>6355</v>
      </c>
      <c r="D1526" s="10" t="s">
        <v>6356</v>
      </c>
      <c r="E1526" s="10"/>
      <c r="F1526" s="252">
        <v>3229037651</v>
      </c>
      <c r="G1526" s="250"/>
      <c r="H1526" s="250"/>
    </row>
    <row r="1527" spans="1:8">
      <c r="A1527" s="274" t="s">
        <v>6357</v>
      </c>
      <c r="B1527" s="250" t="s">
        <v>6358</v>
      </c>
      <c r="C1527" s="251">
        <v>601</v>
      </c>
      <c r="D1527" s="10"/>
      <c r="E1527" s="10" t="s">
        <v>6359</v>
      </c>
      <c r="F1527" s="252">
        <v>3134118888</v>
      </c>
      <c r="G1527" s="250"/>
      <c r="H1527" s="250"/>
    </row>
    <row r="1528" spans="1:8">
      <c r="A1528" s="274" t="s">
        <v>6360</v>
      </c>
      <c r="B1528" s="250" t="s">
        <v>6361</v>
      </c>
      <c r="C1528" s="251">
        <v>801</v>
      </c>
      <c r="D1528" s="10"/>
      <c r="E1528" s="10"/>
      <c r="F1528" s="252">
        <v>3146814771</v>
      </c>
      <c r="G1528" s="250"/>
      <c r="H1528" s="250"/>
    </row>
    <row r="1529" spans="1:8">
      <c r="A1529" s="274" t="s">
        <v>6362</v>
      </c>
      <c r="B1529" s="250" t="s">
        <v>6363</v>
      </c>
      <c r="C1529" s="251" t="s">
        <v>6364</v>
      </c>
      <c r="D1529" s="10" t="s">
        <v>6365</v>
      </c>
      <c r="E1529" s="10"/>
      <c r="F1529" s="252">
        <v>3202251688</v>
      </c>
      <c r="G1529" s="250"/>
      <c r="H1529" s="250"/>
    </row>
    <row r="1530" spans="1:8">
      <c r="A1530" s="274" t="s">
        <v>6366</v>
      </c>
      <c r="B1530" s="250" t="s">
        <v>6367</v>
      </c>
      <c r="C1530" s="251">
        <v>102</v>
      </c>
      <c r="D1530" s="10" t="s">
        <v>6368</v>
      </c>
      <c r="E1530" s="10"/>
      <c r="F1530" s="252">
        <v>3184896419</v>
      </c>
      <c r="G1530" s="250"/>
      <c r="H1530" s="250"/>
    </row>
    <row r="1531" spans="1:8">
      <c r="A1531" s="274" t="s">
        <v>6369</v>
      </c>
      <c r="B1531" s="250" t="s">
        <v>6370</v>
      </c>
      <c r="C1531" s="251">
        <v>403</v>
      </c>
      <c r="D1531" s="10"/>
      <c r="E1531" s="10"/>
      <c r="F1531" s="252">
        <v>3102780435</v>
      </c>
      <c r="G1531" s="250"/>
      <c r="H1531" s="250"/>
    </row>
    <row r="1532" spans="1:8">
      <c r="A1532" s="274" t="s">
        <v>6371</v>
      </c>
      <c r="B1532" s="250" t="s">
        <v>6372</v>
      </c>
      <c r="C1532" s="251">
        <v>904</v>
      </c>
      <c r="D1532" s="10" t="s">
        <v>6373</v>
      </c>
      <c r="E1532" s="10"/>
      <c r="F1532" s="252">
        <v>3144328356</v>
      </c>
      <c r="G1532" s="250"/>
      <c r="H1532" s="250"/>
    </row>
    <row r="1533" spans="1:8">
      <c r="A1533" s="274" t="s">
        <v>6374</v>
      </c>
      <c r="B1533" s="250" t="s">
        <v>6375</v>
      </c>
      <c r="C1533" s="251" t="s">
        <v>3398</v>
      </c>
      <c r="D1533" s="10"/>
      <c r="E1533" s="10" t="s">
        <v>6376</v>
      </c>
      <c r="F1533" s="252">
        <v>3132427661</v>
      </c>
      <c r="G1533" s="250"/>
      <c r="H1533" s="250"/>
    </row>
    <row r="1534" spans="1:8">
      <c r="A1534" s="274" t="s">
        <v>6377</v>
      </c>
      <c r="B1534" s="250" t="s">
        <v>6378</v>
      </c>
      <c r="C1534" s="251">
        <v>102</v>
      </c>
      <c r="D1534" s="10"/>
      <c r="E1534" s="10"/>
      <c r="F1534" s="252">
        <v>3153748849</v>
      </c>
      <c r="G1534" s="250"/>
      <c r="H1534" s="250"/>
    </row>
    <row r="1535" spans="1:8">
      <c r="A1535" s="274" t="s">
        <v>6379</v>
      </c>
      <c r="B1535" s="250" t="s">
        <v>6380</v>
      </c>
      <c r="C1535" s="251">
        <v>705</v>
      </c>
      <c r="D1535" s="10" t="s">
        <v>6381</v>
      </c>
      <c r="E1535" s="10"/>
      <c r="F1535" s="252">
        <v>3005355820</v>
      </c>
      <c r="G1535" s="250"/>
      <c r="H1535" s="250"/>
    </row>
    <row r="1536" spans="1:8">
      <c r="A1536" s="274" t="s">
        <v>6382</v>
      </c>
      <c r="B1536" s="250" t="s">
        <v>6383</v>
      </c>
      <c r="C1536" s="251">
        <v>302</v>
      </c>
      <c r="D1536" s="10"/>
      <c r="E1536" s="10"/>
      <c r="F1536" s="252">
        <v>3197586388</v>
      </c>
      <c r="G1536" s="250"/>
      <c r="H1536" s="250"/>
    </row>
    <row r="1537" spans="1:8">
      <c r="A1537" s="147" t="s">
        <v>6384</v>
      </c>
      <c r="B1537" s="5"/>
      <c r="C1537" s="263"/>
      <c r="D1537" s="5"/>
      <c r="E1537" s="5"/>
      <c r="F1537" s="264">
        <v>3197165657</v>
      </c>
      <c r="G1537" s="5"/>
      <c r="H1537" s="5"/>
    </row>
    <row r="1538" spans="1:8">
      <c r="A1538" s="274" t="s">
        <v>6385</v>
      </c>
      <c r="B1538" s="250" t="s">
        <v>6386</v>
      </c>
      <c r="C1538" s="251">
        <v>102</v>
      </c>
      <c r="D1538" s="10" t="s">
        <v>6387</v>
      </c>
      <c r="E1538" s="10" t="s">
        <v>6388</v>
      </c>
      <c r="F1538" s="252">
        <v>3107686837</v>
      </c>
      <c r="G1538" s="250"/>
      <c r="H1538" s="250"/>
    </row>
    <row r="1539" spans="1:8">
      <c r="A1539" s="274" t="s">
        <v>6389</v>
      </c>
      <c r="B1539" s="250" t="s">
        <v>6390</v>
      </c>
      <c r="C1539" s="251">
        <v>201</v>
      </c>
      <c r="D1539" s="10"/>
      <c r="E1539" s="10"/>
      <c r="F1539" s="252">
        <v>3102548426</v>
      </c>
      <c r="G1539" s="250"/>
      <c r="H1539" s="250"/>
    </row>
    <row r="1540" spans="1:8">
      <c r="A1540" s="274" t="s">
        <v>6391</v>
      </c>
      <c r="B1540" s="250" t="s">
        <v>6392</v>
      </c>
      <c r="C1540" s="251" t="s">
        <v>3007</v>
      </c>
      <c r="D1540" s="10"/>
      <c r="E1540" s="10" t="s">
        <v>5099</v>
      </c>
      <c r="F1540" s="252">
        <v>3207053785</v>
      </c>
      <c r="G1540" s="250"/>
      <c r="H1540" s="250"/>
    </row>
    <row r="1541" spans="1:8">
      <c r="A1541" s="274" t="s">
        <v>6393</v>
      </c>
      <c r="B1541" s="250" t="s">
        <v>6394</v>
      </c>
      <c r="C1541" s="251">
        <v>305</v>
      </c>
      <c r="D1541" s="10" t="s">
        <v>6395</v>
      </c>
      <c r="E1541" s="10"/>
      <c r="F1541" s="252">
        <v>3043894267</v>
      </c>
      <c r="G1541" s="250"/>
      <c r="H1541" s="250"/>
    </row>
    <row r="1542" spans="1:8">
      <c r="A1542" s="274" t="s">
        <v>6396</v>
      </c>
      <c r="B1542" s="250" t="s">
        <v>6397</v>
      </c>
      <c r="C1542" s="251">
        <v>404</v>
      </c>
      <c r="D1542" s="10" t="s">
        <v>6398</v>
      </c>
      <c r="E1542" s="10" t="s">
        <v>5773</v>
      </c>
      <c r="F1542" s="252">
        <v>3157899927</v>
      </c>
      <c r="G1542" s="250"/>
      <c r="H1542" s="250"/>
    </row>
    <row r="1543" spans="1:8">
      <c r="A1543" s="274" t="s">
        <v>6399</v>
      </c>
      <c r="B1543" s="250" t="s">
        <v>6400</v>
      </c>
      <c r="C1543" s="251">
        <v>207</v>
      </c>
      <c r="D1543" s="10"/>
      <c r="E1543" s="10"/>
      <c r="F1543" s="252">
        <v>3155601629</v>
      </c>
      <c r="G1543" s="250"/>
      <c r="H1543" s="250"/>
    </row>
    <row r="1544" spans="1:8">
      <c r="A1544" s="274" t="s">
        <v>6401</v>
      </c>
      <c r="B1544" s="250" t="s">
        <v>6402</v>
      </c>
      <c r="C1544" s="251">
        <v>404</v>
      </c>
      <c r="D1544" s="10"/>
      <c r="E1544" s="10"/>
      <c r="F1544" s="252">
        <v>3106134858</v>
      </c>
      <c r="G1544" s="250"/>
      <c r="H1544" s="250"/>
    </row>
    <row r="1545" spans="1:8">
      <c r="A1545" s="274" t="s">
        <v>6403</v>
      </c>
      <c r="B1545" s="250" t="s">
        <v>6404</v>
      </c>
      <c r="C1545" s="251">
        <v>505</v>
      </c>
      <c r="D1545" s="10"/>
      <c r="E1545" s="10"/>
      <c r="F1545" s="252">
        <v>3184521886</v>
      </c>
      <c r="G1545" s="250"/>
      <c r="H1545" s="250"/>
    </row>
    <row r="1546" spans="1:8">
      <c r="A1546" s="274" t="s">
        <v>6405</v>
      </c>
      <c r="B1546" s="250" t="s">
        <v>6406</v>
      </c>
      <c r="C1546" s="251">
        <v>1715</v>
      </c>
      <c r="D1546" s="10" t="s">
        <v>2721</v>
      </c>
      <c r="E1546" s="10"/>
      <c r="F1546" s="252">
        <v>3213131561</v>
      </c>
      <c r="G1546" s="250"/>
      <c r="H1546" s="250"/>
    </row>
    <row r="1547" spans="1:8">
      <c r="A1547" s="274" t="s">
        <v>6407</v>
      </c>
      <c r="B1547" s="250" t="s">
        <v>6408</v>
      </c>
      <c r="C1547" s="251"/>
      <c r="D1547" s="10"/>
      <c r="E1547" s="10"/>
      <c r="F1547" s="252" t="s">
        <v>6409</v>
      </c>
      <c r="G1547" s="250"/>
      <c r="H1547" s="250"/>
    </row>
    <row r="1548" spans="1:8">
      <c r="A1548" s="274" t="s">
        <v>6410</v>
      </c>
      <c r="B1548" s="250" t="s">
        <v>6076</v>
      </c>
      <c r="C1548" s="251">
        <v>601</v>
      </c>
      <c r="D1548" s="10" t="s">
        <v>6074</v>
      </c>
      <c r="E1548" s="10" t="s">
        <v>6411</v>
      </c>
      <c r="F1548" s="252">
        <v>3125684085</v>
      </c>
      <c r="G1548" s="250"/>
      <c r="H1548" s="250"/>
    </row>
    <row r="1549" spans="1:8">
      <c r="A1549" s="274" t="s">
        <v>6412</v>
      </c>
      <c r="B1549" s="250" t="s">
        <v>6413</v>
      </c>
      <c r="C1549" s="251">
        <v>310</v>
      </c>
      <c r="D1549" s="10" t="s">
        <v>6414</v>
      </c>
      <c r="E1549" s="10" t="s">
        <v>5532</v>
      </c>
      <c r="F1549" s="252">
        <v>3163250299</v>
      </c>
      <c r="G1549" s="250"/>
      <c r="H1549" s="250"/>
    </row>
    <row r="1550" spans="1:8">
      <c r="A1550" s="274" t="s">
        <v>6415</v>
      </c>
      <c r="B1550" s="250" t="s">
        <v>6416</v>
      </c>
      <c r="C1550" s="251">
        <v>202</v>
      </c>
      <c r="D1550" s="10" t="s">
        <v>6417</v>
      </c>
      <c r="E1550" s="10" t="s">
        <v>6388</v>
      </c>
      <c r="F1550" s="252">
        <v>3148689559</v>
      </c>
      <c r="G1550" s="250"/>
      <c r="H1550" s="250"/>
    </row>
    <row r="1551" spans="1:8">
      <c r="A1551" s="274" t="s">
        <v>6418</v>
      </c>
      <c r="B1551" s="250" t="s">
        <v>3350</v>
      </c>
      <c r="C1551" s="251">
        <v>203</v>
      </c>
      <c r="D1551" s="10"/>
      <c r="E1551" s="10"/>
      <c r="F1551" s="252">
        <v>3134942452</v>
      </c>
      <c r="G1551" s="250"/>
      <c r="H1551" s="250"/>
    </row>
    <row r="1552" spans="1:8">
      <c r="A1552" s="274" t="s">
        <v>6419</v>
      </c>
      <c r="B1552" s="250" t="s">
        <v>6420</v>
      </c>
      <c r="C1552" s="251">
        <v>502</v>
      </c>
      <c r="D1552" s="10" t="s">
        <v>6421</v>
      </c>
      <c r="E1552" s="10"/>
      <c r="F1552" s="252">
        <v>3153179990</v>
      </c>
      <c r="G1552" s="250"/>
      <c r="H1552" s="250"/>
    </row>
    <row r="1553" spans="1:8">
      <c r="A1553" s="274" t="s">
        <v>6422</v>
      </c>
      <c r="B1553" s="250" t="s">
        <v>6423</v>
      </c>
      <c r="C1553" s="251"/>
      <c r="D1553" s="10"/>
      <c r="E1553" s="10"/>
      <c r="F1553" s="252">
        <v>3027122727</v>
      </c>
      <c r="G1553" s="252"/>
      <c r="H1553" s="252"/>
    </row>
    <row r="1554" spans="1:8">
      <c r="A1554" s="274" t="s">
        <v>6424</v>
      </c>
      <c r="B1554" s="250" t="s">
        <v>5080</v>
      </c>
      <c r="C1554" s="251">
        <v>1203</v>
      </c>
      <c r="D1554" s="10" t="s">
        <v>6425</v>
      </c>
      <c r="E1554" s="10"/>
      <c r="F1554" s="252">
        <v>3164679549</v>
      </c>
      <c r="G1554" s="250"/>
      <c r="H1554" s="250"/>
    </row>
    <row r="1555" spans="1:8">
      <c r="A1555" s="274" t="s">
        <v>6426</v>
      </c>
      <c r="B1555" s="250" t="s">
        <v>6427</v>
      </c>
      <c r="C1555" s="251">
        <v>1305</v>
      </c>
      <c r="D1555" s="10"/>
      <c r="E1555" s="10"/>
      <c r="F1555" s="252">
        <v>3183955138</v>
      </c>
      <c r="G1555" s="250"/>
      <c r="H1555" s="250"/>
    </row>
    <row r="1556" spans="1:8">
      <c r="A1556" s="274" t="s">
        <v>6428</v>
      </c>
      <c r="B1556" s="250" t="s">
        <v>6429</v>
      </c>
      <c r="C1556" s="251">
        <v>603</v>
      </c>
      <c r="D1556" s="10"/>
      <c r="E1556" s="10"/>
      <c r="F1556" s="252">
        <v>3016599557</v>
      </c>
      <c r="G1556" s="250"/>
      <c r="H1556" s="250"/>
    </row>
    <row r="1557" spans="1:8">
      <c r="A1557" s="274" t="s">
        <v>6430</v>
      </c>
      <c r="B1557" s="250" t="s">
        <v>6431</v>
      </c>
      <c r="C1557" s="251" t="s">
        <v>3070</v>
      </c>
      <c r="D1557" s="10"/>
      <c r="E1557" s="10"/>
      <c r="F1557" s="252">
        <v>3005555267</v>
      </c>
      <c r="G1557" s="250"/>
      <c r="H1557" s="250"/>
    </row>
    <row r="1558" spans="1:8">
      <c r="A1558" s="274" t="s">
        <v>6432</v>
      </c>
      <c r="B1558" s="250" t="s">
        <v>6433</v>
      </c>
      <c r="C1558" s="251">
        <v>504</v>
      </c>
      <c r="D1558" s="10"/>
      <c r="E1558" s="10"/>
      <c r="F1558" s="252">
        <v>3142265481</v>
      </c>
      <c r="G1558" s="250"/>
      <c r="H1558" s="250"/>
    </row>
    <row r="1559" spans="1:8">
      <c r="A1559" s="274" t="s">
        <v>6434</v>
      </c>
      <c r="B1559" s="250" t="s">
        <v>6435</v>
      </c>
      <c r="C1559" s="251">
        <v>202</v>
      </c>
      <c r="D1559" s="10"/>
      <c r="E1559" s="10"/>
      <c r="F1559" s="252">
        <v>3106995807</v>
      </c>
      <c r="G1559" s="250"/>
      <c r="H1559" s="250"/>
    </row>
    <row r="1560" spans="1:8">
      <c r="A1560" s="274" t="s">
        <v>6436</v>
      </c>
      <c r="B1560" s="250" t="s">
        <v>6437</v>
      </c>
      <c r="C1560" s="251"/>
      <c r="D1560" s="10"/>
      <c r="E1560" s="10"/>
      <c r="F1560" s="252">
        <v>3156095542</v>
      </c>
      <c r="G1560" s="250"/>
      <c r="H1560" s="250"/>
    </row>
    <row r="1561" spans="1:8">
      <c r="A1561" s="274" t="s">
        <v>6438</v>
      </c>
      <c r="B1561" s="250" t="s">
        <v>6439</v>
      </c>
      <c r="C1561" s="251">
        <v>1002</v>
      </c>
      <c r="D1561" s="10"/>
      <c r="E1561" s="10"/>
      <c r="F1561" s="252">
        <v>3134230998</v>
      </c>
      <c r="G1561" s="250"/>
      <c r="H1561" s="250"/>
    </row>
    <row r="1562" spans="1:8">
      <c r="A1562" s="274" t="s">
        <v>6440</v>
      </c>
      <c r="B1562" s="250" t="s">
        <v>6441</v>
      </c>
      <c r="C1562" s="251">
        <v>503</v>
      </c>
      <c r="D1562" s="10"/>
      <c r="E1562" s="10"/>
      <c r="F1562" s="252">
        <v>3202325411</v>
      </c>
      <c r="G1562" s="250"/>
      <c r="H1562" s="250"/>
    </row>
    <row r="1563" spans="1:8">
      <c r="A1563" s="274" t="s">
        <v>6442</v>
      </c>
      <c r="B1563" s="250" t="s">
        <v>6443</v>
      </c>
      <c r="C1563" s="251">
        <v>105</v>
      </c>
      <c r="D1563" s="10" t="s">
        <v>6444</v>
      </c>
      <c r="E1563" s="10"/>
      <c r="F1563" s="252">
        <v>3163723058</v>
      </c>
      <c r="G1563" s="250"/>
      <c r="H1563" s="250"/>
    </row>
    <row r="1564" spans="1:8">
      <c r="A1564" s="274" t="s">
        <v>6445</v>
      </c>
      <c r="B1564" s="250" t="s">
        <v>6446</v>
      </c>
      <c r="C1564" s="251">
        <v>204</v>
      </c>
      <c r="D1564" s="10"/>
      <c r="E1564" s="10"/>
      <c r="F1564" s="252">
        <v>3102151922</v>
      </c>
      <c r="G1564" s="250"/>
      <c r="H1564" s="250"/>
    </row>
    <row r="1565" spans="1:8">
      <c r="A1565" s="274" t="s">
        <v>6447</v>
      </c>
      <c r="B1565" s="250" t="s">
        <v>5664</v>
      </c>
      <c r="C1565" s="251">
        <v>1710</v>
      </c>
      <c r="D1565" s="10" t="s">
        <v>6448</v>
      </c>
      <c r="E1565" s="10" t="s">
        <v>5588</v>
      </c>
      <c r="F1565" s="252">
        <v>3123516364</v>
      </c>
      <c r="G1565" s="250"/>
      <c r="H1565" s="250"/>
    </row>
    <row r="1566" spans="1:8">
      <c r="A1566" s="274" t="s">
        <v>6449</v>
      </c>
      <c r="B1566" s="250" t="s">
        <v>6450</v>
      </c>
      <c r="C1566" s="251">
        <v>202</v>
      </c>
      <c r="D1566" s="10"/>
      <c r="E1566" s="10"/>
      <c r="F1566" s="252">
        <v>3228945232</v>
      </c>
      <c r="G1566" s="250"/>
      <c r="H1566" s="250"/>
    </row>
    <row r="1567" spans="1:8">
      <c r="A1567" s="274" t="s">
        <v>6451</v>
      </c>
      <c r="B1567" s="250" t="s">
        <v>6452</v>
      </c>
      <c r="C1567" s="251">
        <v>1102</v>
      </c>
      <c r="D1567" s="10" t="s">
        <v>2767</v>
      </c>
      <c r="E1567" s="10"/>
      <c r="F1567" s="252">
        <v>3142943323</v>
      </c>
      <c r="G1567" s="250"/>
      <c r="H1567" s="250"/>
    </row>
    <row r="1568" spans="1:8">
      <c r="A1568" s="274" t="s">
        <v>6453</v>
      </c>
      <c r="B1568" s="250" t="s">
        <v>4876</v>
      </c>
      <c r="C1568" s="251">
        <v>503</v>
      </c>
      <c r="D1568" s="10" t="s">
        <v>6454</v>
      </c>
      <c r="E1568" s="10"/>
      <c r="F1568" s="252">
        <v>3059152324</v>
      </c>
      <c r="G1568" s="250"/>
      <c r="H1568" s="250"/>
    </row>
    <row r="1569" spans="1:8">
      <c r="A1569" s="274" t="s">
        <v>6455</v>
      </c>
      <c r="B1569" s="250" t="s">
        <v>6456</v>
      </c>
      <c r="C1569" s="251" t="s">
        <v>6457</v>
      </c>
      <c r="D1569" s="10" t="s">
        <v>6458</v>
      </c>
      <c r="E1569" s="10"/>
      <c r="F1569" s="252">
        <v>3203453159</v>
      </c>
      <c r="G1569" s="250"/>
      <c r="H1569" s="250"/>
    </row>
    <row r="1570" spans="1:8">
      <c r="A1570" s="274" t="s">
        <v>6459</v>
      </c>
      <c r="B1570" s="250" t="s">
        <v>6460</v>
      </c>
      <c r="C1570" s="251">
        <v>410</v>
      </c>
      <c r="D1570" s="10" t="s">
        <v>2721</v>
      </c>
      <c r="E1570" s="10"/>
      <c r="F1570" s="252">
        <v>3138504616</v>
      </c>
      <c r="G1570" s="250"/>
      <c r="H1570" s="250"/>
    </row>
    <row r="1571" spans="1:8">
      <c r="A1571" s="274" t="s">
        <v>4232</v>
      </c>
      <c r="B1571" s="250" t="s">
        <v>4040</v>
      </c>
      <c r="C1571" s="251">
        <v>202</v>
      </c>
      <c r="D1571" s="10"/>
      <c r="E1571" s="10"/>
      <c r="F1571" s="252">
        <v>3108584124</v>
      </c>
      <c r="G1571" s="250"/>
      <c r="H1571" s="250"/>
    </row>
    <row r="1572" spans="1:8">
      <c r="A1572" s="274" t="s">
        <v>6461</v>
      </c>
      <c r="B1572" s="250" t="s">
        <v>6462</v>
      </c>
      <c r="C1572" s="251" t="s">
        <v>3007</v>
      </c>
      <c r="D1572" s="10"/>
      <c r="E1572" s="10" t="s">
        <v>6463</v>
      </c>
      <c r="F1572" s="252">
        <v>3204354292</v>
      </c>
      <c r="G1572" s="250"/>
      <c r="H1572" s="250"/>
    </row>
    <row r="1573" spans="1:8">
      <c r="A1573" s="274" t="s">
        <v>6464</v>
      </c>
      <c r="B1573" s="250" t="s">
        <v>6278</v>
      </c>
      <c r="C1573" s="251" t="s">
        <v>4987</v>
      </c>
      <c r="D1573" s="10" t="s">
        <v>6465</v>
      </c>
      <c r="E1573" s="10"/>
      <c r="F1573" s="252">
        <v>3108075204</v>
      </c>
      <c r="G1573" s="250"/>
      <c r="H1573" s="250"/>
    </row>
    <row r="1574" spans="1:8">
      <c r="A1574" s="274" t="s">
        <v>6466</v>
      </c>
      <c r="B1574" s="250" t="s">
        <v>6467</v>
      </c>
      <c r="C1574" s="251">
        <v>407</v>
      </c>
      <c r="D1574" s="10" t="s">
        <v>6468</v>
      </c>
      <c r="E1574" s="10"/>
      <c r="F1574" s="252">
        <v>3178541936</v>
      </c>
      <c r="G1574" s="250"/>
      <c r="H1574" s="250"/>
    </row>
    <row r="1575" spans="1:8">
      <c r="A1575" s="275" t="s">
        <v>6469</v>
      </c>
      <c r="B1575" s="250" t="s">
        <v>6470</v>
      </c>
      <c r="C1575" s="251">
        <v>101</v>
      </c>
      <c r="D1575" s="10"/>
      <c r="E1575" s="10"/>
      <c r="F1575" s="252">
        <v>3152419462</v>
      </c>
      <c r="G1575" s="276">
        <v>46073</v>
      </c>
      <c r="H1575" s="250"/>
    </row>
    <row r="1576" spans="1:8">
      <c r="A1576" s="275" t="s">
        <v>6471</v>
      </c>
      <c r="B1576" s="250" t="s">
        <v>6472</v>
      </c>
      <c r="C1576" s="251">
        <v>403</v>
      </c>
      <c r="D1576" s="10" t="s">
        <v>6473</v>
      </c>
      <c r="E1576" s="10" t="s">
        <v>6333</v>
      </c>
      <c r="F1576" s="252">
        <v>3174325888</v>
      </c>
      <c r="G1576" s="276">
        <v>46073</v>
      </c>
      <c r="H1576" s="250"/>
    </row>
    <row r="1577" spans="1:8">
      <c r="A1577" s="275" t="s">
        <v>6474</v>
      </c>
      <c r="B1577" s="250" t="s">
        <v>5926</v>
      </c>
      <c r="C1577" s="251">
        <v>301</v>
      </c>
      <c r="D1577" s="10" t="s">
        <v>6475</v>
      </c>
      <c r="E1577" s="10"/>
      <c r="F1577" s="252">
        <v>3124315161</v>
      </c>
      <c r="G1577" s="276">
        <v>46073</v>
      </c>
      <c r="H1577" s="250"/>
    </row>
    <row r="1578" spans="1:8">
      <c r="A1578" s="275" t="s">
        <v>6476</v>
      </c>
      <c r="B1578" s="250" t="s">
        <v>6477</v>
      </c>
      <c r="C1578" s="251"/>
      <c r="D1578" s="10"/>
      <c r="E1578" s="10"/>
      <c r="F1578" s="252">
        <v>3046535256</v>
      </c>
      <c r="G1578" s="276">
        <v>46073</v>
      </c>
      <c r="H1578" s="250"/>
    </row>
    <row r="1579" spans="1:8">
      <c r="A1579" s="275" t="s">
        <v>6478</v>
      </c>
      <c r="B1579" s="250" t="s">
        <v>6394</v>
      </c>
      <c r="C1579" s="251">
        <v>207</v>
      </c>
      <c r="D1579" s="10"/>
      <c r="E1579" s="10"/>
      <c r="F1579" s="252">
        <v>3127044910</v>
      </c>
      <c r="G1579" s="276">
        <v>46073</v>
      </c>
      <c r="H1579" s="250"/>
    </row>
    <row r="1580" spans="1:8">
      <c r="A1580" s="275" t="s">
        <v>6479</v>
      </c>
      <c r="B1580" s="250" t="s">
        <v>6480</v>
      </c>
      <c r="C1580" s="251">
        <v>505</v>
      </c>
      <c r="D1580" s="10" t="s">
        <v>6481</v>
      </c>
      <c r="E1580" s="10" t="s">
        <v>6482</v>
      </c>
      <c r="F1580" s="252">
        <v>3166164644</v>
      </c>
      <c r="G1580" s="276">
        <v>46073</v>
      </c>
      <c r="H1580" s="250"/>
    </row>
    <row r="1581" spans="1:8">
      <c r="A1581" s="275" t="s">
        <v>6483</v>
      </c>
      <c r="B1581" s="250" t="s">
        <v>6484</v>
      </c>
      <c r="C1581" s="251">
        <v>808</v>
      </c>
      <c r="D1581" s="10"/>
      <c r="E1581" s="10"/>
      <c r="F1581" s="252">
        <v>3164700107</v>
      </c>
      <c r="G1581" s="276">
        <v>46073</v>
      </c>
      <c r="H1581" s="250"/>
    </row>
    <row r="1582" spans="1:8">
      <c r="A1582" s="275" t="s">
        <v>6485</v>
      </c>
      <c r="B1582" s="250" t="s">
        <v>6486</v>
      </c>
      <c r="C1582" s="251">
        <v>503</v>
      </c>
      <c r="D1582" s="10" t="s">
        <v>3463</v>
      </c>
      <c r="E1582" s="10"/>
      <c r="F1582" s="252">
        <v>3167425570</v>
      </c>
      <c r="G1582" s="276">
        <v>46073</v>
      </c>
      <c r="H1582" s="250"/>
    </row>
    <row r="1583" spans="1:8">
      <c r="A1583" s="275" t="s">
        <v>6487</v>
      </c>
      <c r="B1583" s="250" t="s">
        <v>6488</v>
      </c>
      <c r="C1583" s="251">
        <v>902</v>
      </c>
      <c r="D1583" s="10" t="s">
        <v>6489</v>
      </c>
      <c r="E1583" s="10" t="s">
        <v>6490</v>
      </c>
      <c r="F1583" s="252">
        <v>3208518629</v>
      </c>
      <c r="G1583" s="276">
        <v>46073</v>
      </c>
      <c r="H1583" s="250"/>
    </row>
    <row r="1584" spans="1:8">
      <c r="A1584" s="275" t="s">
        <v>6491</v>
      </c>
      <c r="B1584" s="250" t="s">
        <v>6492</v>
      </c>
      <c r="C1584" s="251">
        <v>301</v>
      </c>
      <c r="D1584" s="10" t="s">
        <v>2733</v>
      </c>
      <c r="E1584" s="10" t="s">
        <v>6493</v>
      </c>
      <c r="F1584" s="252">
        <v>3243993752</v>
      </c>
      <c r="G1584" s="276">
        <v>46073</v>
      </c>
      <c r="H1584" s="250"/>
    </row>
    <row r="1585" spans="1:8">
      <c r="A1585" s="275" t="s">
        <v>6494</v>
      </c>
      <c r="B1585" s="250" t="s">
        <v>6495</v>
      </c>
      <c r="C1585" s="251">
        <v>202</v>
      </c>
      <c r="D1585" s="10" t="s">
        <v>2733</v>
      </c>
      <c r="E1585" s="10" t="s">
        <v>6496</v>
      </c>
      <c r="F1585" s="252">
        <v>3166750260</v>
      </c>
      <c r="G1585" s="276">
        <v>46073</v>
      </c>
      <c r="H1585" s="250"/>
    </row>
    <row r="1586" spans="1:8">
      <c r="A1586" s="275" t="s">
        <v>6497</v>
      </c>
      <c r="B1586" s="250" t="s">
        <v>6498</v>
      </c>
      <c r="C1586" s="251">
        <v>401</v>
      </c>
      <c r="D1586" s="10" t="s">
        <v>6499</v>
      </c>
      <c r="E1586" s="10"/>
      <c r="F1586" s="252">
        <v>3044545722</v>
      </c>
      <c r="G1586" s="276">
        <v>46073</v>
      </c>
      <c r="H1586" s="250"/>
    </row>
    <row r="1587" spans="1:8">
      <c r="A1587" s="275" t="s">
        <v>6500</v>
      </c>
      <c r="B1587" s="250" t="s">
        <v>6488</v>
      </c>
      <c r="C1587" s="251">
        <v>304</v>
      </c>
      <c r="D1587" s="10" t="s">
        <v>6501</v>
      </c>
      <c r="E1587" s="10" t="s">
        <v>5789</v>
      </c>
      <c r="F1587" s="252">
        <v>3124241662</v>
      </c>
      <c r="G1587" s="276">
        <v>46073</v>
      </c>
      <c r="H1587" s="250"/>
    </row>
    <row r="1588" spans="1:8">
      <c r="A1588" s="275" t="s">
        <v>6502</v>
      </c>
      <c r="B1588" s="250" t="s">
        <v>6503</v>
      </c>
      <c r="C1588" s="251">
        <v>501</v>
      </c>
      <c r="D1588" s="10" t="s">
        <v>6504</v>
      </c>
      <c r="E1588" s="10"/>
      <c r="F1588" s="252">
        <v>3102680713</v>
      </c>
      <c r="G1588" s="276">
        <v>46073</v>
      </c>
      <c r="H1588" s="250"/>
    </row>
    <row r="1589" spans="1:8">
      <c r="A1589" s="275" t="s">
        <v>6505</v>
      </c>
      <c r="B1589" s="250" t="s">
        <v>6506</v>
      </c>
      <c r="C1589" s="251">
        <v>409</v>
      </c>
      <c r="D1589" s="10"/>
      <c r="E1589" s="10"/>
      <c r="F1589" s="252">
        <v>3204061788</v>
      </c>
      <c r="G1589" s="276">
        <v>46073</v>
      </c>
      <c r="H1589" s="250"/>
    </row>
    <row r="1590" spans="1:8">
      <c r="A1590" s="275" t="s">
        <v>6507</v>
      </c>
      <c r="B1590" s="250" t="s">
        <v>6508</v>
      </c>
      <c r="C1590" s="251">
        <v>203</v>
      </c>
      <c r="D1590" s="10" t="s">
        <v>6509</v>
      </c>
      <c r="E1590" s="10"/>
      <c r="F1590" s="252">
        <v>3183852473</v>
      </c>
      <c r="G1590" s="276">
        <v>46073</v>
      </c>
      <c r="H1590" s="250"/>
    </row>
    <row r="1591" spans="1:8">
      <c r="A1591" s="275" t="s">
        <v>6510</v>
      </c>
      <c r="B1591" s="250" t="s">
        <v>6511</v>
      </c>
      <c r="C1591" s="251">
        <v>502</v>
      </c>
      <c r="D1591" s="10" t="s">
        <v>3463</v>
      </c>
      <c r="E1591" s="10"/>
      <c r="F1591" s="252">
        <v>3106974344</v>
      </c>
      <c r="G1591" s="276">
        <v>46073</v>
      </c>
      <c r="H1591" s="250"/>
    </row>
    <row r="1592" spans="1:8">
      <c r="A1592" s="275" t="s">
        <v>6512</v>
      </c>
      <c r="B1592" s="250" t="s">
        <v>6513</v>
      </c>
      <c r="C1592" s="251">
        <v>702</v>
      </c>
      <c r="D1592" s="10" t="s">
        <v>6514</v>
      </c>
      <c r="E1592" s="10"/>
      <c r="F1592" s="252">
        <v>3124503748</v>
      </c>
      <c r="G1592" s="276">
        <v>46073</v>
      </c>
      <c r="H1592" s="250"/>
    </row>
    <row r="1593" spans="1:8">
      <c r="A1593" s="275" t="s">
        <v>6515</v>
      </c>
      <c r="B1593" s="250" t="s">
        <v>6516</v>
      </c>
      <c r="C1593" s="251" t="s">
        <v>6517</v>
      </c>
      <c r="D1593" s="10"/>
      <c r="E1593" s="10"/>
      <c r="F1593" s="252">
        <v>3003845247</v>
      </c>
      <c r="G1593" s="276">
        <v>46073</v>
      </c>
      <c r="H1593" s="250"/>
    </row>
    <row r="1594" spans="1:8">
      <c r="A1594" s="275" t="s">
        <v>6518</v>
      </c>
      <c r="B1594" s="250" t="s">
        <v>6519</v>
      </c>
      <c r="C1594" s="251">
        <v>501</v>
      </c>
      <c r="D1594" s="10" t="s">
        <v>6520</v>
      </c>
      <c r="E1594" s="10"/>
      <c r="F1594" s="252">
        <v>3102905237</v>
      </c>
      <c r="G1594" s="276">
        <v>46073</v>
      </c>
      <c r="H1594" s="250"/>
    </row>
    <row r="1595" spans="1:8">
      <c r="A1595" s="275" t="s">
        <v>6521</v>
      </c>
      <c r="B1595" s="250" t="s">
        <v>6522</v>
      </c>
      <c r="C1595" s="251">
        <v>508</v>
      </c>
      <c r="D1595" s="10" t="s">
        <v>6523</v>
      </c>
      <c r="E1595" s="10"/>
      <c r="F1595" s="252">
        <v>3116417576</v>
      </c>
      <c r="G1595" s="276">
        <v>46073</v>
      </c>
      <c r="H1595" s="250"/>
    </row>
    <row r="1596" spans="1:8">
      <c r="A1596" s="275" t="s">
        <v>6524</v>
      </c>
      <c r="B1596" s="250" t="s">
        <v>6525</v>
      </c>
      <c r="C1596" s="251">
        <v>201</v>
      </c>
      <c r="D1596" s="10" t="s">
        <v>6526</v>
      </c>
      <c r="E1596" s="10" t="s">
        <v>6099</v>
      </c>
      <c r="F1596" s="252">
        <v>3108098831</v>
      </c>
      <c r="G1596" s="276">
        <v>46073</v>
      </c>
      <c r="H1596" s="250"/>
    </row>
    <row r="1597" spans="1:8">
      <c r="A1597" s="275" t="s">
        <v>6527</v>
      </c>
      <c r="B1597" s="250" t="s">
        <v>4572</v>
      </c>
      <c r="C1597" s="251">
        <v>301</v>
      </c>
      <c r="D1597" s="10" t="s">
        <v>4573</v>
      </c>
      <c r="E1597" s="10" t="s">
        <v>6339</v>
      </c>
      <c r="F1597" s="252">
        <v>3103020690</v>
      </c>
      <c r="G1597" s="276">
        <v>46073</v>
      </c>
      <c r="H1597" s="250"/>
    </row>
    <row r="1598" spans="1:8">
      <c r="A1598" s="275" t="s">
        <v>6528</v>
      </c>
      <c r="B1598" s="250" t="s">
        <v>6529</v>
      </c>
      <c r="C1598" s="251">
        <v>801</v>
      </c>
      <c r="D1598" s="10"/>
      <c r="E1598" s="10"/>
      <c r="F1598" s="252">
        <v>3115136991</v>
      </c>
      <c r="G1598" s="276">
        <v>46073</v>
      </c>
      <c r="H1598" s="250"/>
    </row>
    <row r="1599" spans="1:8">
      <c r="A1599" s="275" t="s">
        <v>6530</v>
      </c>
      <c r="B1599" s="250" t="s">
        <v>6531</v>
      </c>
      <c r="C1599" s="251">
        <v>1202</v>
      </c>
      <c r="D1599" s="10" t="s">
        <v>6532</v>
      </c>
      <c r="E1599" s="10"/>
      <c r="F1599" s="252">
        <v>3136452802</v>
      </c>
      <c r="G1599" s="276">
        <v>46073</v>
      </c>
      <c r="H1599" s="250"/>
    </row>
    <row r="1600" spans="1:8">
      <c r="A1600" s="275" t="s">
        <v>6533</v>
      </c>
      <c r="B1600" s="250" t="s">
        <v>6534</v>
      </c>
      <c r="C1600" s="251">
        <v>301</v>
      </c>
      <c r="D1600" s="10" t="s">
        <v>6535</v>
      </c>
      <c r="E1600" s="10"/>
      <c r="F1600" s="252">
        <v>3153352754</v>
      </c>
      <c r="G1600" s="276">
        <v>46073</v>
      </c>
      <c r="H1600" s="250"/>
    </row>
    <row r="1601" spans="1:8">
      <c r="A1601" s="275" t="s">
        <v>6536</v>
      </c>
      <c r="B1601" s="250" t="s">
        <v>6537</v>
      </c>
      <c r="C1601" s="251">
        <v>103</v>
      </c>
      <c r="D1601" s="10"/>
      <c r="E1601" s="10"/>
      <c r="F1601" s="252">
        <v>3108502121</v>
      </c>
      <c r="G1601" s="276">
        <v>46073</v>
      </c>
      <c r="H1601" s="250"/>
    </row>
    <row r="1602" spans="1:8">
      <c r="A1602" s="275" t="s">
        <v>6538</v>
      </c>
      <c r="B1602" s="250" t="s">
        <v>6539</v>
      </c>
      <c r="C1602" s="251">
        <v>502</v>
      </c>
      <c r="D1602" s="10"/>
      <c r="E1602" s="10" t="s">
        <v>6339</v>
      </c>
      <c r="F1602" s="252">
        <v>3013645447</v>
      </c>
      <c r="G1602" s="276">
        <v>46073</v>
      </c>
      <c r="H1602" s="250"/>
    </row>
    <row r="1603" spans="1:8">
      <c r="A1603" s="275" t="s">
        <v>6540</v>
      </c>
      <c r="B1603" s="250" t="s">
        <v>6541</v>
      </c>
      <c r="C1603" s="251">
        <v>510</v>
      </c>
      <c r="D1603" s="10" t="s">
        <v>6542</v>
      </c>
      <c r="E1603" s="10"/>
      <c r="F1603" s="252">
        <v>3107636034</v>
      </c>
      <c r="G1603" s="276">
        <v>46073</v>
      </c>
      <c r="H1603" s="250"/>
    </row>
    <row r="1604" spans="1:8">
      <c r="A1604" s="275" t="s">
        <v>6543</v>
      </c>
      <c r="B1604" s="250" t="s">
        <v>6544</v>
      </c>
      <c r="C1604" s="251">
        <v>401</v>
      </c>
      <c r="D1604" s="10"/>
      <c r="E1604" s="10"/>
      <c r="F1604" s="252">
        <v>3175175594</v>
      </c>
      <c r="G1604" s="276">
        <v>46073</v>
      </c>
      <c r="H1604" s="250"/>
    </row>
    <row r="1605" spans="1:8">
      <c r="A1605" s="275" t="s">
        <v>6545</v>
      </c>
      <c r="B1605" s="250" t="s">
        <v>6546</v>
      </c>
      <c r="C1605" s="251">
        <v>201</v>
      </c>
      <c r="D1605" s="10" t="s">
        <v>6547</v>
      </c>
      <c r="E1605" s="10" t="s">
        <v>6548</v>
      </c>
      <c r="F1605" s="252">
        <v>3108814889</v>
      </c>
      <c r="G1605" s="276">
        <v>46073</v>
      </c>
      <c r="H1605" s="250"/>
    </row>
    <row r="1606" spans="1:8">
      <c r="A1606" s="277" t="s">
        <v>6549</v>
      </c>
      <c r="B1606" s="250" t="s">
        <v>6550</v>
      </c>
      <c r="C1606" s="251">
        <v>1005</v>
      </c>
      <c r="D1606" s="10" t="s">
        <v>6551</v>
      </c>
      <c r="E1606" s="10"/>
      <c r="F1606" s="252">
        <v>3107695456</v>
      </c>
      <c r="G1606" s="276">
        <v>46073</v>
      </c>
      <c r="H1606" s="250"/>
    </row>
    <row r="1607" spans="1:8">
      <c r="A1607" s="275" t="s">
        <v>6552</v>
      </c>
      <c r="B1607" s="250" t="s">
        <v>6553</v>
      </c>
      <c r="C1607" s="251" t="s">
        <v>3007</v>
      </c>
      <c r="D1607" s="10"/>
      <c r="E1607" s="10"/>
      <c r="F1607" s="252">
        <v>3184288256</v>
      </c>
      <c r="G1607" s="276">
        <v>46073</v>
      </c>
      <c r="H1607" s="250"/>
    </row>
    <row r="1608" spans="1:8">
      <c r="A1608" s="275" t="s">
        <v>6554</v>
      </c>
      <c r="B1608" s="250" t="s">
        <v>6555</v>
      </c>
      <c r="C1608" s="251">
        <v>206</v>
      </c>
      <c r="D1608" s="10" t="s">
        <v>6556</v>
      </c>
      <c r="E1608" s="10"/>
      <c r="F1608" s="252">
        <v>3003284837</v>
      </c>
      <c r="G1608" s="276">
        <v>46073</v>
      </c>
      <c r="H1608" s="250"/>
    </row>
    <row r="1609" spans="1:8">
      <c r="A1609" s="275" t="s">
        <v>6557</v>
      </c>
      <c r="B1609" s="250" t="s">
        <v>5886</v>
      </c>
      <c r="C1609" s="251">
        <v>208</v>
      </c>
      <c r="D1609" s="10" t="s">
        <v>6558</v>
      </c>
      <c r="E1609" s="10"/>
      <c r="F1609" s="252">
        <v>3135123705</v>
      </c>
      <c r="G1609" s="276">
        <v>46073</v>
      </c>
      <c r="H1609" s="250"/>
    </row>
    <row r="1610" spans="1:8">
      <c r="A1610" s="275" t="s">
        <v>6559</v>
      </c>
      <c r="B1610" s="250" t="s">
        <v>6560</v>
      </c>
      <c r="C1610" s="251">
        <v>601</v>
      </c>
      <c r="D1610" s="10" t="s">
        <v>6561</v>
      </c>
      <c r="E1610" s="10"/>
      <c r="F1610" s="252">
        <v>3144901900</v>
      </c>
      <c r="G1610" s="276">
        <v>46073</v>
      </c>
      <c r="H1610" s="250"/>
    </row>
    <row r="1611" spans="1:8">
      <c r="A1611" s="275" t="s">
        <v>6562</v>
      </c>
      <c r="B1611" s="250" t="s">
        <v>6563</v>
      </c>
      <c r="C1611" s="251">
        <v>201</v>
      </c>
      <c r="D1611" s="10"/>
      <c r="E1611" s="10"/>
      <c r="F1611" s="252">
        <v>3124542702</v>
      </c>
      <c r="G1611" s="276">
        <v>46073</v>
      </c>
      <c r="H1611" s="250"/>
    </row>
    <row r="1612" spans="1:8">
      <c r="A1612" s="275" t="s">
        <v>6564</v>
      </c>
      <c r="B1612" s="250" t="s">
        <v>6327</v>
      </c>
      <c r="C1612" s="251">
        <v>205</v>
      </c>
      <c r="D1612" s="10" t="s">
        <v>6565</v>
      </c>
      <c r="E1612" s="10"/>
      <c r="F1612" s="252">
        <v>3162559450</v>
      </c>
      <c r="G1612" s="276">
        <v>46073</v>
      </c>
      <c r="H1612" s="250"/>
    </row>
    <row r="1613" spans="1:8">
      <c r="A1613" s="275" t="s">
        <v>6566</v>
      </c>
      <c r="B1613" s="250" t="s">
        <v>6567</v>
      </c>
      <c r="C1613" s="251"/>
      <c r="D1613" s="10"/>
      <c r="E1613" s="10"/>
      <c r="F1613" s="252">
        <v>3103432085</v>
      </c>
      <c r="G1613" s="276">
        <v>46073</v>
      </c>
      <c r="H1613" s="250"/>
    </row>
    <row r="1614" spans="1:8">
      <c r="A1614" s="275" t="s">
        <v>6568</v>
      </c>
      <c r="B1614" s="250" t="s">
        <v>6569</v>
      </c>
      <c r="C1614" s="251">
        <v>903</v>
      </c>
      <c r="D1614" s="10" t="s">
        <v>6570</v>
      </c>
      <c r="E1614" s="10"/>
      <c r="F1614" s="252">
        <v>3183246852</v>
      </c>
      <c r="G1614" s="276">
        <v>46073</v>
      </c>
      <c r="H1614" s="250"/>
    </row>
    <row r="1615" spans="1:8">
      <c r="A1615" s="275" t="s">
        <v>6571</v>
      </c>
      <c r="B1615" s="250" t="s">
        <v>6572</v>
      </c>
      <c r="C1615" s="251">
        <v>402</v>
      </c>
      <c r="D1615" s="10"/>
      <c r="E1615" s="10"/>
      <c r="F1615" s="252">
        <v>3194467134</v>
      </c>
      <c r="G1615" s="276">
        <v>46073</v>
      </c>
      <c r="H1615" s="250"/>
    </row>
    <row r="1616" spans="1:8">
      <c r="A1616" s="275" t="s">
        <v>6573</v>
      </c>
      <c r="B1616" s="250" t="s">
        <v>6574</v>
      </c>
      <c r="C1616" s="251">
        <v>604</v>
      </c>
      <c r="D1616" s="10" t="s">
        <v>6575</v>
      </c>
      <c r="E1616" s="10"/>
      <c r="F1616" s="252">
        <v>3013382180</v>
      </c>
      <c r="G1616" s="276">
        <v>46073</v>
      </c>
      <c r="H1616" s="250"/>
    </row>
    <row r="1617" spans="1:8">
      <c r="A1617" s="275" t="s">
        <v>6576</v>
      </c>
      <c r="B1617" s="250" t="s">
        <v>6577</v>
      </c>
      <c r="C1617" s="251">
        <v>202</v>
      </c>
      <c r="D1617" s="10"/>
      <c r="E1617" s="10"/>
      <c r="F1617" s="252">
        <v>3143942663</v>
      </c>
      <c r="G1617" s="276">
        <v>46073</v>
      </c>
      <c r="H1617" s="250"/>
    </row>
    <row r="1618" spans="1:8">
      <c r="A1618" s="275" t="s">
        <v>6578</v>
      </c>
      <c r="B1618" s="250" t="s">
        <v>6579</v>
      </c>
      <c r="C1618" s="251">
        <v>103</v>
      </c>
      <c r="D1618" s="10"/>
      <c r="E1618" s="10" t="s">
        <v>5867</v>
      </c>
      <c r="F1618" s="252">
        <v>3158696581</v>
      </c>
      <c r="G1618" s="276">
        <v>46073</v>
      </c>
      <c r="H1618" s="250"/>
    </row>
    <row r="1619" spans="1:8">
      <c r="A1619" s="275" t="s">
        <v>6580</v>
      </c>
      <c r="B1619" s="250" t="s">
        <v>6581</v>
      </c>
      <c r="C1619" s="251">
        <v>125</v>
      </c>
      <c r="D1619" s="10" t="s">
        <v>6582</v>
      </c>
      <c r="E1619" s="10"/>
      <c r="F1619" s="252" t="s">
        <v>6583</v>
      </c>
      <c r="G1619" s="276">
        <v>46073</v>
      </c>
      <c r="H1619" s="250"/>
    </row>
    <row r="1620" spans="1:8">
      <c r="A1620" s="275" t="s">
        <v>6584</v>
      </c>
      <c r="B1620" s="250" t="s">
        <v>6585</v>
      </c>
      <c r="C1620" s="251">
        <v>103</v>
      </c>
      <c r="D1620" s="10"/>
      <c r="E1620" s="10"/>
      <c r="F1620" s="252" t="s">
        <v>6586</v>
      </c>
      <c r="G1620" s="276">
        <v>46073</v>
      </c>
      <c r="H1620" s="250"/>
    </row>
    <row r="1621" spans="1:8">
      <c r="A1621" s="275" t="s">
        <v>6587</v>
      </c>
      <c r="B1621" s="250" t="s">
        <v>6588</v>
      </c>
      <c r="C1621" s="251">
        <v>1508</v>
      </c>
      <c r="D1621" s="10" t="s">
        <v>6589</v>
      </c>
      <c r="E1621" s="10"/>
      <c r="F1621" s="252">
        <v>3156067642</v>
      </c>
      <c r="G1621" s="276">
        <v>46073</v>
      </c>
      <c r="H1621" s="250"/>
    </row>
    <row r="1622" spans="1:8">
      <c r="A1622" s="278" t="s">
        <v>6590</v>
      </c>
      <c r="B1622" s="250" t="s">
        <v>6591</v>
      </c>
      <c r="C1622" s="251">
        <v>1008</v>
      </c>
      <c r="D1622" s="10" t="s">
        <v>5856</v>
      </c>
      <c r="E1622" s="10"/>
      <c r="F1622" s="252">
        <v>3142133188</v>
      </c>
      <c r="G1622" s="276">
        <v>46073</v>
      </c>
      <c r="H1622" s="250"/>
    </row>
    <row r="1623" spans="1:8">
      <c r="A1623" s="278" t="s">
        <v>6592</v>
      </c>
      <c r="B1623" s="250" t="s">
        <v>6593</v>
      </c>
      <c r="C1623" s="251">
        <v>402</v>
      </c>
      <c r="D1623" s="10" t="s">
        <v>6594</v>
      </c>
      <c r="E1623" s="10"/>
      <c r="F1623" s="252">
        <v>3202852984</v>
      </c>
      <c r="G1623" s="276">
        <v>46073</v>
      </c>
      <c r="H1623" s="250"/>
    </row>
    <row r="1624" spans="1:8">
      <c r="A1624" s="278" t="s">
        <v>6595</v>
      </c>
      <c r="B1624" s="250" t="s">
        <v>6596</v>
      </c>
      <c r="C1624" s="251">
        <v>910</v>
      </c>
      <c r="D1624" s="10" t="s">
        <v>6597</v>
      </c>
      <c r="E1624" s="10"/>
      <c r="F1624" s="252">
        <v>3002021471</v>
      </c>
      <c r="G1624" s="276">
        <v>46073</v>
      </c>
      <c r="H1624" s="250"/>
    </row>
    <row r="1625" spans="1:8">
      <c r="A1625" s="278" t="s">
        <v>6598</v>
      </c>
      <c r="B1625" s="250" t="s">
        <v>6599</v>
      </c>
      <c r="C1625" s="251">
        <v>207</v>
      </c>
      <c r="D1625" s="10"/>
      <c r="E1625" s="10"/>
      <c r="F1625" s="252">
        <v>3138182098</v>
      </c>
      <c r="G1625" s="276">
        <v>46073</v>
      </c>
      <c r="H1625" s="250"/>
    </row>
    <row r="1626" spans="1:8">
      <c r="A1626" s="278" t="s">
        <v>6600</v>
      </c>
      <c r="B1626" s="250" t="s">
        <v>6601</v>
      </c>
      <c r="C1626" s="251">
        <v>1416</v>
      </c>
      <c r="D1626" s="10" t="s">
        <v>6602</v>
      </c>
      <c r="E1626" s="10"/>
      <c r="F1626" s="252">
        <v>3004870768</v>
      </c>
      <c r="G1626" s="276">
        <v>46073</v>
      </c>
      <c r="H1626" s="250"/>
    </row>
    <row r="1627" spans="1:8">
      <c r="A1627" s="278" t="s">
        <v>6603</v>
      </c>
      <c r="B1627" s="250" t="s">
        <v>6604</v>
      </c>
      <c r="C1627" s="251">
        <v>101</v>
      </c>
      <c r="D1627" s="10" t="s">
        <v>6605</v>
      </c>
      <c r="E1627" s="10"/>
      <c r="F1627" s="252">
        <v>3008163383</v>
      </c>
      <c r="G1627" s="276">
        <v>46073</v>
      </c>
      <c r="H1627" s="250"/>
    </row>
    <row r="1628" spans="1:8">
      <c r="A1628" s="278" t="s">
        <v>6606</v>
      </c>
      <c r="B1628" s="250" t="s">
        <v>6607</v>
      </c>
      <c r="C1628" s="251"/>
      <c r="D1628" s="10" t="s">
        <v>6608</v>
      </c>
      <c r="E1628" s="10"/>
      <c r="F1628" s="252">
        <v>3164662160</v>
      </c>
      <c r="G1628" s="276">
        <v>46073</v>
      </c>
      <c r="H1628" s="250"/>
    </row>
    <row r="1629" spans="1:8">
      <c r="A1629" s="278" t="s">
        <v>6609</v>
      </c>
      <c r="B1629" s="250" t="s">
        <v>6610</v>
      </c>
      <c r="C1629" s="251"/>
      <c r="D1629" s="10" t="s">
        <v>4958</v>
      </c>
      <c r="E1629" s="10" t="s">
        <v>6611</v>
      </c>
      <c r="F1629" s="252">
        <v>3182854722</v>
      </c>
      <c r="G1629" s="276">
        <v>46073</v>
      </c>
      <c r="H1629" s="250"/>
    </row>
    <row r="1630" spans="1:8">
      <c r="A1630" s="278" t="s">
        <v>6612</v>
      </c>
      <c r="B1630" s="250" t="s">
        <v>6613</v>
      </c>
      <c r="C1630" s="251">
        <v>1002</v>
      </c>
      <c r="D1630" s="10" t="s">
        <v>6614</v>
      </c>
      <c r="E1630" s="10"/>
      <c r="F1630" s="252">
        <v>3102873553</v>
      </c>
      <c r="G1630" s="276">
        <v>46073</v>
      </c>
      <c r="H1630" s="250"/>
    </row>
    <row r="1631" spans="1:8">
      <c r="A1631" s="278" t="s">
        <v>6615</v>
      </c>
      <c r="B1631" s="250" t="s">
        <v>6616</v>
      </c>
      <c r="C1631" s="251">
        <v>305</v>
      </c>
      <c r="D1631" s="10" t="s">
        <v>6617</v>
      </c>
      <c r="E1631" s="10"/>
      <c r="F1631" s="252">
        <v>3168131512</v>
      </c>
      <c r="G1631" s="276">
        <v>46073</v>
      </c>
      <c r="H1631" s="250"/>
    </row>
    <row r="1632" spans="1:8">
      <c r="A1632" s="278" t="s">
        <v>6618</v>
      </c>
      <c r="B1632" s="250" t="s">
        <v>6619</v>
      </c>
      <c r="C1632" s="251">
        <v>1001</v>
      </c>
      <c r="D1632" s="10" t="s">
        <v>6620</v>
      </c>
      <c r="E1632" s="10" t="s">
        <v>6621</v>
      </c>
      <c r="F1632" s="252">
        <v>3174251354</v>
      </c>
      <c r="G1632" s="276">
        <v>46073</v>
      </c>
      <c r="H1632" s="250"/>
    </row>
    <row r="1633" spans="1:8">
      <c r="A1633" s="278" t="s">
        <v>6622</v>
      </c>
      <c r="B1633" s="250" t="s">
        <v>6623</v>
      </c>
      <c r="C1633" s="251">
        <v>407</v>
      </c>
      <c r="D1633" s="10" t="s">
        <v>6624</v>
      </c>
      <c r="E1633" s="10"/>
      <c r="F1633" s="252">
        <v>3155069234</v>
      </c>
      <c r="G1633" s="276">
        <v>46073</v>
      </c>
      <c r="H1633" s="250"/>
    </row>
    <row r="1634" spans="1:8">
      <c r="A1634" s="278" t="s">
        <v>6625</v>
      </c>
      <c r="B1634" s="250" t="s">
        <v>6626</v>
      </c>
      <c r="C1634" s="251" t="s">
        <v>6627</v>
      </c>
      <c r="D1634" s="10" t="s">
        <v>6628</v>
      </c>
      <c r="E1634" s="10"/>
      <c r="F1634" s="252">
        <v>3134993990</v>
      </c>
      <c r="G1634" s="276">
        <v>46073</v>
      </c>
      <c r="H1634" s="250"/>
    </row>
    <row r="1635" spans="1:8">
      <c r="A1635" s="278" t="s">
        <v>6629</v>
      </c>
      <c r="B1635" s="250" t="s">
        <v>6630</v>
      </c>
      <c r="C1635" s="251">
        <v>201</v>
      </c>
      <c r="D1635" s="10" t="s">
        <v>6631</v>
      </c>
      <c r="E1635" s="10"/>
      <c r="F1635" s="252">
        <v>3118245087</v>
      </c>
      <c r="G1635" s="276">
        <v>46073</v>
      </c>
      <c r="H1635" s="250"/>
    </row>
    <row r="1636" spans="1:8">
      <c r="A1636" s="278" t="s">
        <v>6632</v>
      </c>
      <c r="B1636" s="250" t="s">
        <v>6633</v>
      </c>
      <c r="C1636" s="251">
        <v>501</v>
      </c>
      <c r="D1636" s="10" t="s">
        <v>6634</v>
      </c>
      <c r="E1636" s="10"/>
      <c r="F1636" s="252">
        <v>3203706885</v>
      </c>
      <c r="G1636" s="276">
        <v>46073</v>
      </c>
      <c r="H1636" s="250"/>
    </row>
    <row r="1637" spans="1:8">
      <c r="A1637" s="278" t="s">
        <v>6635</v>
      </c>
      <c r="B1637" s="250" t="s">
        <v>6636</v>
      </c>
      <c r="C1637" s="251" t="s">
        <v>2936</v>
      </c>
      <c r="D1637" s="10" t="s">
        <v>6637</v>
      </c>
      <c r="E1637" s="10" t="s">
        <v>6638</v>
      </c>
      <c r="F1637" s="252">
        <v>3116458251</v>
      </c>
      <c r="G1637" s="276">
        <v>46073</v>
      </c>
      <c r="H1637" s="250"/>
    </row>
    <row r="1638" spans="1:8">
      <c r="A1638" s="278" t="s">
        <v>6639</v>
      </c>
      <c r="B1638" s="250" t="s">
        <v>6640</v>
      </c>
      <c r="C1638" s="251">
        <v>508</v>
      </c>
      <c r="D1638" s="10"/>
      <c r="E1638" s="10"/>
      <c r="F1638" s="252">
        <v>3133760223</v>
      </c>
      <c r="G1638" s="276">
        <v>46073</v>
      </c>
      <c r="H1638" s="250"/>
    </row>
    <row r="1639" spans="1:8">
      <c r="A1639" s="278" t="s">
        <v>6641</v>
      </c>
      <c r="B1639" s="250" t="s">
        <v>6642</v>
      </c>
      <c r="C1639" s="251" t="s">
        <v>6643</v>
      </c>
      <c r="D1639" s="10"/>
      <c r="E1639" s="10"/>
      <c r="F1639" s="252">
        <v>3103286608</v>
      </c>
      <c r="G1639" s="276">
        <v>46073</v>
      </c>
      <c r="H1639" s="250"/>
    </row>
    <row r="1640" spans="1:8">
      <c r="A1640" s="278" t="s">
        <v>6644</v>
      </c>
      <c r="B1640" s="250" t="s">
        <v>6645</v>
      </c>
      <c r="C1640" s="251">
        <v>1612</v>
      </c>
      <c r="D1640" s="10" t="s">
        <v>6646</v>
      </c>
      <c r="E1640" s="10"/>
      <c r="F1640" s="252">
        <v>3214716377</v>
      </c>
      <c r="G1640" s="276">
        <v>46073</v>
      </c>
      <c r="H1640" s="250"/>
    </row>
    <row r="1641" spans="1:8">
      <c r="A1641" s="278" t="s">
        <v>6647</v>
      </c>
      <c r="B1641" s="250" t="s">
        <v>6648</v>
      </c>
      <c r="C1641" s="251">
        <v>902</v>
      </c>
      <c r="D1641" s="10"/>
      <c r="E1641" s="10"/>
      <c r="F1641" s="252">
        <v>3102123370</v>
      </c>
      <c r="G1641" s="276">
        <v>46073</v>
      </c>
      <c r="H1641" s="250"/>
    </row>
    <row r="1642" spans="1:8">
      <c r="A1642" s="278" t="s">
        <v>6649</v>
      </c>
      <c r="B1642" s="250" t="s">
        <v>6650</v>
      </c>
      <c r="C1642" s="251"/>
      <c r="D1642" s="10" t="s">
        <v>6651</v>
      </c>
      <c r="E1642" s="10"/>
      <c r="F1642" s="252">
        <v>3203489752</v>
      </c>
      <c r="G1642" s="276">
        <v>46073</v>
      </c>
      <c r="H1642" s="250"/>
    </row>
    <row r="1643" spans="1:8">
      <c r="A1643" s="278" t="s">
        <v>6652</v>
      </c>
      <c r="B1643" s="250" t="s">
        <v>6653</v>
      </c>
      <c r="C1643" s="251">
        <v>2202</v>
      </c>
      <c r="D1643" s="10" t="s">
        <v>6654</v>
      </c>
      <c r="E1643" s="10"/>
      <c r="F1643" s="252">
        <v>3103974596</v>
      </c>
      <c r="G1643" s="276">
        <v>46073</v>
      </c>
      <c r="H1643" s="250"/>
    </row>
    <row r="1644" spans="1:8">
      <c r="A1644" s="278" t="s">
        <v>6655</v>
      </c>
      <c r="B1644" s="250" t="s">
        <v>6656</v>
      </c>
      <c r="C1644" s="251">
        <v>4</v>
      </c>
      <c r="D1644" s="10" t="s">
        <v>6657</v>
      </c>
      <c r="E1644" s="10"/>
      <c r="F1644" s="258">
        <v>3017925190</v>
      </c>
      <c r="G1644" s="276">
        <v>46073</v>
      </c>
      <c r="H1644" s="250"/>
    </row>
    <row r="1645" spans="1:8">
      <c r="A1645" s="278" t="s">
        <v>6658</v>
      </c>
      <c r="B1645" s="250" t="s">
        <v>6659</v>
      </c>
      <c r="C1645" s="251">
        <v>807</v>
      </c>
      <c r="D1645" s="10"/>
      <c r="E1645" s="10"/>
      <c r="F1645" s="252">
        <v>3102199203</v>
      </c>
      <c r="G1645" s="276">
        <v>46073</v>
      </c>
      <c r="H1645" s="250"/>
    </row>
    <row r="1646" spans="1:8">
      <c r="A1646" s="278" t="s">
        <v>6660</v>
      </c>
      <c r="B1646" s="250" t="s">
        <v>6661</v>
      </c>
      <c r="C1646" s="251">
        <v>502</v>
      </c>
      <c r="D1646" s="10" t="s">
        <v>6662</v>
      </c>
      <c r="E1646" s="10"/>
      <c r="F1646" s="252">
        <v>3043409433</v>
      </c>
      <c r="G1646" s="276">
        <v>46073</v>
      </c>
      <c r="H1646" s="250"/>
    </row>
    <row r="1647" spans="1:8">
      <c r="A1647" s="278" t="s">
        <v>6663</v>
      </c>
      <c r="B1647" s="250" t="s">
        <v>6664</v>
      </c>
      <c r="C1647" s="251"/>
      <c r="D1647" s="10" t="s">
        <v>6665</v>
      </c>
      <c r="E1647" s="10"/>
      <c r="F1647" s="252">
        <v>3106875516</v>
      </c>
      <c r="G1647" s="276">
        <v>46073</v>
      </c>
      <c r="H1647" s="250"/>
    </row>
    <row r="1648" spans="1:8">
      <c r="A1648" s="278" t="s">
        <v>6666</v>
      </c>
      <c r="B1648" s="250" t="s">
        <v>6667</v>
      </c>
      <c r="C1648" s="251">
        <v>301</v>
      </c>
      <c r="D1648" s="10"/>
      <c r="E1648" s="10"/>
      <c r="F1648" s="252">
        <v>3108757723</v>
      </c>
      <c r="G1648" s="276">
        <v>46073</v>
      </c>
      <c r="H1648" s="250"/>
    </row>
    <row r="1649" spans="1:8">
      <c r="A1649" s="278" t="s">
        <v>6668</v>
      </c>
      <c r="B1649" s="250" t="s">
        <v>6669</v>
      </c>
      <c r="C1649" s="251">
        <v>503</v>
      </c>
      <c r="D1649" s="10"/>
      <c r="E1649" s="10"/>
      <c r="F1649" s="252">
        <v>3114435056</v>
      </c>
      <c r="G1649" s="276">
        <v>46073</v>
      </c>
      <c r="H1649" s="250"/>
    </row>
    <row r="1650" spans="1:8">
      <c r="A1650" s="278" t="s">
        <v>6670</v>
      </c>
      <c r="B1650" s="250" t="s">
        <v>5555</v>
      </c>
      <c r="C1650" s="251">
        <v>507</v>
      </c>
      <c r="D1650" s="10" t="s">
        <v>6671</v>
      </c>
      <c r="E1650" s="10"/>
      <c r="F1650" s="252">
        <v>3108687012</v>
      </c>
      <c r="G1650" s="276">
        <v>46073</v>
      </c>
      <c r="H1650" s="250"/>
    </row>
    <row r="1651" spans="1:8">
      <c r="A1651" s="278" t="s">
        <v>6672</v>
      </c>
      <c r="B1651" s="250" t="s">
        <v>6673</v>
      </c>
      <c r="C1651" s="251">
        <v>1403</v>
      </c>
      <c r="D1651" s="10" t="s">
        <v>6674</v>
      </c>
      <c r="E1651" s="10"/>
      <c r="F1651" s="252" t="s">
        <v>6675</v>
      </c>
      <c r="G1651" s="276">
        <v>46073</v>
      </c>
      <c r="H1651" s="250"/>
    </row>
    <row r="1652" spans="1:8">
      <c r="A1652" s="278" t="s">
        <v>6676</v>
      </c>
      <c r="B1652" s="250" t="s">
        <v>6677</v>
      </c>
      <c r="C1652" s="251">
        <v>608</v>
      </c>
      <c r="D1652" s="10"/>
      <c r="E1652" s="10"/>
      <c r="F1652" s="252">
        <v>3153558857</v>
      </c>
      <c r="G1652" s="276">
        <v>46073</v>
      </c>
      <c r="H1652" s="250"/>
    </row>
    <row r="1653" spans="1:8">
      <c r="A1653" s="278" t="s">
        <v>6678</v>
      </c>
      <c r="B1653" s="250" t="s">
        <v>6679</v>
      </c>
      <c r="C1653" s="251"/>
      <c r="D1653" s="10"/>
      <c r="E1653" s="10"/>
      <c r="F1653" s="252">
        <v>3045617074</v>
      </c>
      <c r="G1653" s="276">
        <v>46073</v>
      </c>
      <c r="H1653" s="250"/>
    </row>
    <row r="1654" spans="1:8">
      <c r="A1654" s="278" t="s">
        <v>6680</v>
      </c>
      <c r="B1654" s="250" t="s">
        <v>6681</v>
      </c>
      <c r="C1654" s="251">
        <v>302</v>
      </c>
      <c r="D1654" s="10" t="s">
        <v>6682</v>
      </c>
      <c r="E1654" s="10"/>
      <c r="F1654" s="252">
        <v>3115746124</v>
      </c>
      <c r="G1654" s="276">
        <v>46073</v>
      </c>
      <c r="H1654" s="250"/>
    </row>
    <row r="1655" spans="1:8">
      <c r="A1655" s="278" t="s">
        <v>6683</v>
      </c>
      <c r="B1655" s="250" t="s">
        <v>6684</v>
      </c>
      <c r="C1655" s="251">
        <v>506</v>
      </c>
      <c r="D1655" s="10" t="s">
        <v>6685</v>
      </c>
      <c r="E1655" s="10" t="s">
        <v>6686</v>
      </c>
      <c r="F1655" s="252">
        <v>3167418002</v>
      </c>
      <c r="G1655" s="276">
        <v>46073</v>
      </c>
      <c r="H1655" s="250"/>
    </row>
    <row r="1656" spans="1:8">
      <c r="A1656" s="278" t="s">
        <v>6687</v>
      </c>
      <c r="B1656" s="250" t="s">
        <v>6688</v>
      </c>
      <c r="C1656" s="251">
        <v>601</v>
      </c>
      <c r="D1656" s="10" t="s">
        <v>6689</v>
      </c>
      <c r="E1656" s="10" t="s">
        <v>6325</v>
      </c>
      <c r="F1656" s="252">
        <v>3175361121</v>
      </c>
      <c r="G1656" s="276">
        <v>46073</v>
      </c>
      <c r="H1656" s="250"/>
    </row>
    <row r="1657" spans="1:8">
      <c r="A1657" s="278" t="s">
        <v>6690</v>
      </c>
      <c r="B1657" s="250" t="s">
        <v>6691</v>
      </c>
      <c r="C1657" s="251" t="s">
        <v>6692</v>
      </c>
      <c r="D1657" s="10" t="s">
        <v>6693</v>
      </c>
      <c r="E1657" s="10"/>
      <c r="F1657" s="252">
        <v>3160240990</v>
      </c>
      <c r="G1657" s="276">
        <v>46073</v>
      </c>
      <c r="H1657" s="250"/>
    </row>
    <row r="1658" spans="1:8">
      <c r="A1658" s="278" t="s">
        <v>6694</v>
      </c>
      <c r="B1658" s="250" t="s">
        <v>6695</v>
      </c>
      <c r="C1658" s="251">
        <v>904</v>
      </c>
      <c r="D1658" s="10"/>
      <c r="E1658" s="10"/>
      <c r="F1658" s="252">
        <v>3124877020</v>
      </c>
      <c r="G1658" s="276">
        <v>46073</v>
      </c>
      <c r="H1658" s="250"/>
    </row>
    <row r="1659" spans="1:8">
      <c r="A1659" s="278" t="s">
        <v>6696</v>
      </c>
      <c r="B1659" s="250" t="s">
        <v>6697</v>
      </c>
      <c r="C1659" s="251">
        <v>403</v>
      </c>
      <c r="D1659" s="10"/>
      <c r="E1659" s="10"/>
      <c r="F1659" s="252">
        <v>3008081755</v>
      </c>
      <c r="G1659" s="276">
        <v>46073</v>
      </c>
      <c r="H1659" s="250"/>
    </row>
    <row r="1660" spans="1:8">
      <c r="A1660" s="278" t="s">
        <v>6698</v>
      </c>
      <c r="B1660" s="250" t="s">
        <v>6699</v>
      </c>
      <c r="C1660" s="251" t="s">
        <v>4958</v>
      </c>
      <c r="D1660" s="10" t="s">
        <v>6700</v>
      </c>
      <c r="E1660" s="10"/>
      <c r="F1660" s="252">
        <v>3182822816</v>
      </c>
      <c r="G1660" s="276">
        <v>46073</v>
      </c>
      <c r="H1660" s="250"/>
    </row>
    <row r="1661" spans="1:8">
      <c r="A1661" s="279" t="s">
        <v>6701</v>
      </c>
      <c r="B1661" s="250" t="s">
        <v>6702</v>
      </c>
      <c r="C1661" s="251"/>
      <c r="D1661" s="10"/>
      <c r="E1661" s="10"/>
      <c r="F1661" s="252">
        <v>3212382070</v>
      </c>
      <c r="G1661" s="276">
        <v>46073</v>
      </c>
      <c r="H1661" s="250"/>
    </row>
    <row r="1662" spans="1:8">
      <c r="A1662" s="238" t="s">
        <v>6703</v>
      </c>
      <c r="B1662" s="250" t="s">
        <v>6704</v>
      </c>
      <c r="C1662" s="251">
        <v>302</v>
      </c>
      <c r="D1662" s="10" t="s">
        <v>6705</v>
      </c>
      <c r="E1662" s="10" t="s">
        <v>5532</v>
      </c>
      <c r="F1662" s="252">
        <v>3006069511</v>
      </c>
      <c r="G1662" s="280">
        <v>46072</v>
      </c>
      <c r="H1662" s="250"/>
    </row>
    <row r="1663" spans="1:8">
      <c r="A1663" s="238" t="s">
        <v>6706</v>
      </c>
      <c r="B1663" s="250" t="s">
        <v>6707</v>
      </c>
      <c r="C1663" s="251">
        <v>507</v>
      </c>
      <c r="D1663" s="10"/>
      <c r="E1663" s="10"/>
      <c r="F1663" s="252">
        <v>3132099799</v>
      </c>
      <c r="G1663" s="280">
        <v>46072</v>
      </c>
      <c r="H1663" s="250"/>
    </row>
    <row r="1664" spans="1:8">
      <c r="A1664" s="238" t="s">
        <v>6708</v>
      </c>
      <c r="B1664" s="250" t="s">
        <v>6709</v>
      </c>
      <c r="C1664" s="251">
        <v>408</v>
      </c>
      <c r="D1664" s="10"/>
      <c r="E1664" s="10"/>
      <c r="F1664" s="252">
        <v>3204013859</v>
      </c>
      <c r="G1664" s="280">
        <v>46072</v>
      </c>
      <c r="H1664" s="250"/>
    </row>
    <row r="1665" spans="1:8">
      <c r="A1665" s="238" t="s">
        <v>6710</v>
      </c>
      <c r="B1665" s="250" t="s">
        <v>6711</v>
      </c>
      <c r="C1665" s="251">
        <v>301</v>
      </c>
      <c r="D1665" s="10" t="s">
        <v>6712</v>
      </c>
      <c r="E1665" s="10" t="s">
        <v>6001</v>
      </c>
      <c r="F1665" s="252">
        <v>3017852000</v>
      </c>
      <c r="G1665" s="280">
        <v>46072</v>
      </c>
      <c r="H1665" s="250"/>
    </row>
    <row r="1666" spans="1:8">
      <c r="A1666" s="238" t="s">
        <v>6713</v>
      </c>
      <c r="B1666" s="250" t="s">
        <v>6714</v>
      </c>
      <c r="C1666" s="251"/>
      <c r="D1666" s="10"/>
      <c r="E1666" s="10"/>
      <c r="F1666" s="252">
        <v>3219131273</v>
      </c>
      <c r="G1666" s="280">
        <v>46072</v>
      </c>
      <c r="H1666" s="250"/>
    </row>
    <row r="1667" spans="1:8">
      <c r="A1667" s="238" t="s">
        <v>6715</v>
      </c>
      <c r="B1667" s="250" t="s">
        <v>6681</v>
      </c>
      <c r="C1667" s="251">
        <v>803</v>
      </c>
      <c r="D1667" s="10" t="s">
        <v>6716</v>
      </c>
      <c r="E1667" s="10"/>
      <c r="F1667" s="252">
        <v>3134244667</v>
      </c>
      <c r="G1667" s="280">
        <v>46072</v>
      </c>
      <c r="H1667" s="250"/>
    </row>
    <row r="1668" spans="1:8">
      <c r="A1668" s="238" t="s">
        <v>6717</v>
      </c>
      <c r="B1668" s="250" t="s">
        <v>6718</v>
      </c>
      <c r="C1668" s="251">
        <v>503</v>
      </c>
      <c r="D1668" s="10"/>
      <c r="E1668" s="10"/>
      <c r="F1668" s="252">
        <v>3153259611</v>
      </c>
      <c r="G1668" s="280">
        <v>46072</v>
      </c>
      <c r="H1668" s="250"/>
    </row>
    <row r="1669" spans="1:8">
      <c r="A1669" s="238" t="s">
        <v>6719</v>
      </c>
      <c r="B1669" s="250" t="s">
        <v>6720</v>
      </c>
      <c r="C1669" s="251">
        <v>509</v>
      </c>
      <c r="D1669" s="10" t="s">
        <v>6721</v>
      </c>
      <c r="E1669" s="10"/>
      <c r="F1669" s="252">
        <v>3112104537</v>
      </c>
      <c r="G1669" s="280">
        <v>46072</v>
      </c>
      <c r="H1669" s="250"/>
    </row>
    <row r="1670" spans="1:8">
      <c r="A1670" s="238" t="s">
        <v>6722</v>
      </c>
      <c r="B1670" s="250" t="s">
        <v>6723</v>
      </c>
      <c r="C1670" s="251"/>
      <c r="D1670" s="10"/>
      <c r="E1670" s="10"/>
      <c r="F1670" s="252">
        <v>3508382066</v>
      </c>
      <c r="G1670" s="280">
        <v>46072</v>
      </c>
      <c r="H1670" s="250"/>
    </row>
    <row r="1671" spans="1:8">
      <c r="A1671" s="238" t="s">
        <v>6724</v>
      </c>
      <c r="B1671" s="250" t="s">
        <v>6725</v>
      </c>
      <c r="C1671" s="251">
        <v>201</v>
      </c>
      <c r="D1671" s="10"/>
      <c r="E1671" s="10"/>
      <c r="F1671" s="252">
        <v>3153153457</v>
      </c>
      <c r="G1671" s="280">
        <v>46072</v>
      </c>
      <c r="H1671" s="250"/>
    </row>
    <row r="1672" spans="1:8">
      <c r="A1672" s="238" t="s">
        <v>6726</v>
      </c>
      <c r="B1672" s="250" t="s">
        <v>4176</v>
      </c>
      <c r="C1672" s="251">
        <v>204</v>
      </c>
      <c r="D1672" s="10" t="s">
        <v>2815</v>
      </c>
      <c r="E1672" s="10"/>
      <c r="F1672" s="252">
        <v>3158101322</v>
      </c>
      <c r="G1672" s="280">
        <v>46072</v>
      </c>
      <c r="H1672" s="250"/>
    </row>
    <row r="1673" spans="1:8">
      <c r="A1673" s="238" t="s">
        <v>6727</v>
      </c>
      <c r="B1673" s="250" t="s">
        <v>6728</v>
      </c>
      <c r="C1673" s="251">
        <v>303</v>
      </c>
      <c r="D1673" s="10" t="s">
        <v>2733</v>
      </c>
      <c r="E1673" s="10" t="s">
        <v>6729</v>
      </c>
      <c r="F1673" s="252">
        <v>3102553536</v>
      </c>
      <c r="G1673" s="280">
        <v>46072</v>
      </c>
      <c r="H1673" s="250"/>
    </row>
    <row r="1674" spans="1:8">
      <c r="A1674" s="238" t="s">
        <v>6730</v>
      </c>
      <c r="B1674" s="250" t="s">
        <v>6731</v>
      </c>
      <c r="C1674" s="251">
        <v>202</v>
      </c>
      <c r="D1674" s="10" t="s">
        <v>4898</v>
      </c>
      <c r="E1674" s="10"/>
      <c r="F1674" s="252">
        <v>3158442475</v>
      </c>
      <c r="G1674" s="280">
        <v>46072</v>
      </c>
      <c r="H1674" s="250"/>
    </row>
    <row r="1675" spans="1:8">
      <c r="A1675" s="238" t="s">
        <v>6732</v>
      </c>
      <c r="B1675" s="250" t="s">
        <v>6733</v>
      </c>
      <c r="C1675" s="261">
        <v>809</v>
      </c>
      <c r="D1675" s="10"/>
      <c r="E1675" s="10"/>
      <c r="F1675" s="252">
        <v>3102044953</v>
      </c>
      <c r="G1675" s="280">
        <v>46072</v>
      </c>
      <c r="H1675" s="250"/>
    </row>
    <row r="1676" spans="1:8">
      <c r="A1676" s="238" t="s">
        <v>6734</v>
      </c>
      <c r="B1676" s="250" t="s">
        <v>6735</v>
      </c>
      <c r="C1676" s="251">
        <v>602</v>
      </c>
      <c r="D1676" s="10" t="s">
        <v>6736</v>
      </c>
      <c r="E1676" s="10"/>
      <c r="F1676" s="252">
        <v>19545521615</v>
      </c>
      <c r="G1676" s="280">
        <v>46072</v>
      </c>
      <c r="H1676" s="250"/>
    </row>
    <row r="1677" spans="1:8">
      <c r="A1677" s="238" t="s">
        <v>6737</v>
      </c>
      <c r="B1677" s="281" t="s">
        <v>6633</v>
      </c>
      <c r="C1677" s="282">
        <v>1302</v>
      </c>
      <c r="D1677" s="282" t="s">
        <v>6738</v>
      </c>
      <c r="E1677" s="282"/>
      <c r="F1677" s="262">
        <v>3102263925</v>
      </c>
      <c r="G1677" s="280">
        <v>46072</v>
      </c>
      <c r="H1677" s="282"/>
    </row>
    <row r="1678" spans="1:8">
      <c r="A1678" s="238" t="s">
        <v>6739</v>
      </c>
      <c r="B1678" s="256" t="s">
        <v>6740</v>
      </c>
      <c r="C1678" s="261">
        <v>409</v>
      </c>
      <c r="D1678" s="11" t="s">
        <v>2721</v>
      </c>
      <c r="E1678" s="11"/>
      <c r="F1678" s="262">
        <v>3233171477</v>
      </c>
      <c r="G1678" s="280">
        <v>46072</v>
      </c>
      <c r="H1678" s="256"/>
    </row>
    <row r="1679" spans="1:8">
      <c r="A1679" s="238" t="s">
        <v>6741</v>
      </c>
      <c r="B1679" s="256" t="s">
        <v>6742</v>
      </c>
      <c r="C1679" s="261">
        <v>204</v>
      </c>
      <c r="D1679" s="11" t="s">
        <v>6743</v>
      </c>
      <c r="E1679" s="11"/>
      <c r="F1679" s="262">
        <v>3216388892</v>
      </c>
      <c r="G1679" s="280">
        <v>46072</v>
      </c>
      <c r="H1679" s="256"/>
    </row>
    <row r="1680" spans="1:8">
      <c r="A1680" s="238" t="s">
        <v>6744</v>
      </c>
      <c r="B1680" s="256" t="s">
        <v>6745</v>
      </c>
      <c r="C1680" s="261">
        <v>701</v>
      </c>
      <c r="D1680" s="11" t="s">
        <v>6746</v>
      </c>
      <c r="E1680" s="11"/>
      <c r="F1680" s="262">
        <v>3102007872</v>
      </c>
      <c r="G1680" s="280">
        <v>46072</v>
      </c>
      <c r="H1680" s="256"/>
    </row>
    <row r="1681" spans="1:8">
      <c r="A1681" s="238" t="s">
        <v>6747</v>
      </c>
      <c r="B1681" s="250" t="s">
        <v>5587</v>
      </c>
      <c r="C1681" s="251">
        <v>502</v>
      </c>
      <c r="D1681" s="10" t="s">
        <v>5585</v>
      </c>
      <c r="E1681" s="10" t="s">
        <v>5588</v>
      </c>
      <c r="F1681" s="252">
        <v>3014671340</v>
      </c>
      <c r="G1681" s="280">
        <v>46072</v>
      </c>
      <c r="H1681" s="250"/>
    </row>
    <row r="1682" spans="1:8">
      <c r="A1682" s="238" t="s">
        <v>6748</v>
      </c>
      <c r="B1682" s="250" t="s">
        <v>6749</v>
      </c>
      <c r="C1682" s="251">
        <v>305</v>
      </c>
      <c r="D1682" s="10"/>
      <c r="E1682" s="10"/>
      <c r="F1682" s="252">
        <v>3208036209</v>
      </c>
      <c r="G1682" s="280">
        <v>46072</v>
      </c>
      <c r="H1682" s="250"/>
    </row>
    <row r="1683" spans="1:8">
      <c r="A1683" s="238" t="s">
        <v>6750</v>
      </c>
      <c r="B1683" s="250" t="s">
        <v>6751</v>
      </c>
      <c r="C1683" s="251">
        <v>2601</v>
      </c>
      <c r="D1683" s="10"/>
      <c r="E1683" s="10"/>
      <c r="F1683" s="252">
        <v>3187880886</v>
      </c>
      <c r="G1683" s="280">
        <v>46072</v>
      </c>
      <c r="H1683" s="250"/>
    </row>
    <row r="1684" spans="1:8">
      <c r="A1684" s="238" t="s">
        <v>6752</v>
      </c>
      <c r="B1684" s="250" t="s">
        <v>6753</v>
      </c>
      <c r="C1684" s="251">
        <v>502</v>
      </c>
      <c r="D1684" s="10"/>
      <c r="E1684" s="10"/>
      <c r="F1684" s="252">
        <v>3103320546</v>
      </c>
      <c r="G1684" s="280">
        <v>46072</v>
      </c>
      <c r="H1684" s="250"/>
    </row>
    <row r="1685" spans="1:8">
      <c r="A1685" s="238" t="s">
        <v>6754</v>
      </c>
      <c r="B1685" s="250" t="s">
        <v>6755</v>
      </c>
      <c r="C1685" s="251" t="s">
        <v>6756</v>
      </c>
      <c r="D1685" s="10" t="s">
        <v>6757</v>
      </c>
      <c r="E1685" s="10" t="s">
        <v>10630</v>
      </c>
      <c r="F1685" s="252">
        <v>3209822346</v>
      </c>
      <c r="G1685" s="280">
        <v>46072</v>
      </c>
      <c r="H1685" s="250"/>
    </row>
    <row r="1686" spans="1:8">
      <c r="A1686" s="238" t="s">
        <v>6758</v>
      </c>
      <c r="B1686" s="250" t="s">
        <v>6707</v>
      </c>
      <c r="C1686" s="251"/>
      <c r="D1686" s="10"/>
      <c r="E1686" s="10"/>
      <c r="F1686" s="252">
        <v>3213436193</v>
      </c>
      <c r="G1686" s="280">
        <v>46072</v>
      </c>
      <c r="H1686" s="250"/>
    </row>
    <row r="1687" spans="1:8">
      <c r="A1687" s="238" t="s">
        <v>6759</v>
      </c>
      <c r="B1687" s="250" t="s">
        <v>6760</v>
      </c>
      <c r="C1687" s="251">
        <v>206</v>
      </c>
      <c r="D1687" s="10" t="s">
        <v>6761</v>
      </c>
      <c r="E1687" s="10"/>
      <c r="F1687" s="252">
        <v>3138564048</v>
      </c>
      <c r="G1687" s="280">
        <v>46072</v>
      </c>
      <c r="H1687" s="250"/>
    </row>
    <row r="1688" spans="1:8">
      <c r="A1688" s="238" t="s">
        <v>6762</v>
      </c>
      <c r="B1688" s="250" t="s">
        <v>6763</v>
      </c>
      <c r="C1688" s="251">
        <v>504</v>
      </c>
      <c r="D1688" s="10" t="s">
        <v>6764</v>
      </c>
      <c r="E1688" s="10"/>
      <c r="F1688" s="252">
        <v>3043780111</v>
      </c>
      <c r="G1688" s="280">
        <v>46072</v>
      </c>
      <c r="H1688" s="250"/>
    </row>
    <row r="1689" spans="1:8">
      <c r="A1689" s="238" t="s">
        <v>6765</v>
      </c>
      <c r="B1689" s="250" t="s">
        <v>6766</v>
      </c>
      <c r="C1689" s="251">
        <v>505</v>
      </c>
      <c r="D1689" s="10"/>
      <c r="E1689" s="10"/>
      <c r="F1689" s="252">
        <v>3003324452</v>
      </c>
      <c r="G1689" s="280">
        <v>46072</v>
      </c>
      <c r="H1689" s="250"/>
    </row>
    <row r="1690" spans="1:8">
      <c r="A1690" s="238" t="s">
        <v>6767</v>
      </c>
      <c r="B1690" s="250" t="s">
        <v>6768</v>
      </c>
      <c r="C1690" s="251">
        <v>405</v>
      </c>
      <c r="D1690" s="10"/>
      <c r="E1690" s="10"/>
      <c r="F1690" s="252">
        <v>3116021335</v>
      </c>
      <c r="G1690" s="280">
        <v>46072</v>
      </c>
      <c r="H1690" s="250"/>
    </row>
    <row r="1691" spans="1:8">
      <c r="A1691" s="238" t="s">
        <v>6769</v>
      </c>
      <c r="B1691" s="250" t="s">
        <v>6770</v>
      </c>
      <c r="C1691" s="251">
        <v>19</v>
      </c>
      <c r="D1691" s="10" t="s">
        <v>3007</v>
      </c>
      <c r="E1691" s="10"/>
      <c r="F1691" s="252">
        <v>3144681112</v>
      </c>
      <c r="G1691" s="280">
        <v>46072</v>
      </c>
      <c r="H1691" s="250"/>
    </row>
    <row r="1692" spans="1:8">
      <c r="A1692" s="283" t="s">
        <v>6771</v>
      </c>
      <c r="B1692" s="5" t="s">
        <v>6772</v>
      </c>
      <c r="C1692" s="263">
        <v>501</v>
      </c>
      <c r="D1692" s="5" t="s">
        <v>6773</v>
      </c>
      <c r="E1692" s="5"/>
      <c r="F1692" s="264">
        <v>3134415578</v>
      </c>
      <c r="G1692" s="280">
        <v>46072</v>
      </c>
      <c r="H1692" s="5"/>
    </row>
    <row r="1693" spans="1:8">
      <c r="A1693" s="238" t="s">
        <v>6774</v>
      </c>
      <c r="B1693" s="250" t="s">
        <v>6775</v>
      </c>
      <c r="C1693" s="251">
        <v>508</v>
      </c>
      <c r="D1693" s="10" t="s">
        <v>6776</v>
      </c>
      <c r="E1693" s="10"/>
      <c r="F1693" s="252">
        <v>3107774784</v>
      </c>
      <c r="G1693" s="280">
        <v>46072</v>
      </c>
      <c r="H1693" s="250"/>
    </row>
    <row r="1694" spans="1:8">
      <c r="A1694" s="283" t="s">
        <v>6777</v>
      </c>
      <c r="B1694" s="5" t="s">
        <v>6778</v>
      </c>
      <c r="C1694" s="263">
        <v>208</v>
      </c>
      <c r="D1694" s="5" t="s">
        <v>6779</v>
      </c>
      <c r="E1694" s="5"/>
      <c r="F1694" s="264">
        <v>3013954676</v>
      </c>
      <c r="G1694" s="280">
        <v>46072</v>
      </c>
      <c r="H1694" s="5"/>
    </row>
    <row r="1695" spans="1:8">
      <c r="A1695" s="283" t="s">
        <v>6780</v>
      </c>
      <c r="B1695" s="5" t="s">
        <v>6781</v>
      </c>
      <c r="C1695" s="263" t="s">
        <v>6782</v>
      </c>
      <c r="D1695" s="5"/>
      <c r="E1695" s="5"/>
      <c r="F1695" s="264">
        <v>3054633034</v>
      </c>
      <c r="G1695" s="280">
        <v>46072</v>
      </c>
      <c r="H1695" s="5"/>
    </row>
    <row r="1696" spans="1:8">
      <c r="A1696" s="283" t="s">
        <v>6783</v>
      </c>
      <c r="B1696" s="5" t="s">
        <v>6784</v>
      </c>
      <c r="C1696" s="263">
        <v>901</v>
      </c>
      <c r="D1696" s="5" t="s">
        <v>6785</v>
      </c>
      <c r="E1696" s="5"/>
      <c r="F1696" s="264">
        <v>3102395389</v>
      </c>
      <c r="G1696" s="280">
        <v>46072</v>
      </c>
      <c r="H1696" s="5"/>
    </row>
    <row r="1697" spans="1:8">
      <c r="A1697" s="283" t="s">
        <v>6786</v>
      </c>
      <c r="B1697" s="5" t="s">
        <v>6787</v>
      </c>
      <c r="C1697" s="263">
        <v>504</v>
      </c>
      <c r="D1697" s="5" t="s">
        <v>6788</v>
      </c>
      <c r="E1697" s="5"/>
      <c r="F1697" s="264">
        <v>3173647645</v>
      </c>
      <c r="G1697" s="280">
        <v>46072</v>
      </c>
      <c r="H1697" s="5"/>
    </row>
    <row r="1698" spans="1:8">
      <c r="A1698" s="283" t="s">
        <v>6789</v>
      </c>
      <c r="B1698" s="5" t="s">
        <v>6790</v>
      </c>
      <c r="C1698" s="263">
        <v>603</v>
      </c>
      <c r="D1698" s="5"/>
      <c r="E1698" s="5"/>
      <c r="F1698" s="264" t="s">
        <v>6217</v>
      </c>
      <c r="G1698" s="280">
        <v>46072</v>
      </c>
      <c r="H1698" s="5"/>
    </row>
    <row r="1699" spans="1:8">
      <c r="A1699" s="283" t="s">
        <v>6791</v>
      </c>
      <c r="B1699" s="5" t="s">
        <v>6792</v>
      </c>
      <c r="C1699" s="263">
        <v>304</v>
      </c>
      <c r="D1699" s="5" t="s">
        <v>6793</v>
      </c>
      <c r="E1699" s="5"/>
      <c r="F1699" s="264">
        <v>3103171835</v>
      </c>
      <c r="G1699" s="280">
        <v>46072</v>
      </c>
      <c r="H1699" s="5"/>
    </row>
    <row r="1700" spans="1:8">
      <c r="A1700" s="283" t="s">
        <v>6794</v>
      </c>
      <c r="B1700" s="5" t="s">
        <v>6795</v>
      </c>
      <c r="C1700" s="263" t="s">
        <v>6796</v>
      </c>
      <c r="D1700" s="5" t="s">
        <v>6797</v>
      </c>
      <c r="E1700" s="5" t="s">
        <v>6798</v>
      </c>
      <c r="F1700" s="264">
        <v>3113720127</v>
      </c>
      <c r="G1700" s="280">
        <v>46072</v>
      </c>
      <c r="H1700" s="5"/>
    </row>
    <row r="1701" spans="1:8">
      <c r="A1701" s="283" t="s">
        <v>6799</v>
      </c>
      <c r="B1701" s="5" t="s">
        <v>6800</v>
      </c>
      <c r="C1701" s="263">
        <v>404</v>
      </c>
      <c r="D1701" s="5" t="s">
        <v>6801</v>
      </c>
      <c r="E1701" s="5" t="s">
        <v>6802</v>
      </c>
      <c r="F1701" s="264">
        <v>19297790625</v>
      </c>
      <c r="G1701" s="280">
        <v>46072</v>
      </c>
      <c r="H1701" s="5"/>
    </row>
    <row r="1702" spans="1:8">
      <c r="A1702" s="283" t="s">
        <v>6803</v>
      </c>
      <c r="B1702" s="5" t="s">
        <v>6804</v>
      </c>
      <c r="C1702" s="263">
        <v>703</v>
      </c>
      <c r="D1702" s="5"/>
      <c r="E1702" s="5"/>
      <c r="F1702" s="264">
        <v>3102234645</v>
      </c>
      <c r="G1702" s="280">
        <v>46072</v>
      </c>
      <c r="H1702" s="5"/>
    </row>
    <row r="1704" spans="1:8">
      <c r="A1704" s="5" t="s">
        <v>122</v>
      </c>
      <c r="B1704" s="5" t="s">
        <v>6805</v>
      </c>
      <c r="C1704" s="263" t="s">
        <v>6806</v>
      </c>
      <c r="D1704" s="5" t="s">
        <v>6807</v>
      </c>
      <c r="E1704" s="5"/>
      <c r="F1704" s="264">
        <v>3124338902</v>
      </c>
      <c r="G1704" s="267" t="s">
        <v>6808</v>
      </c>
      <c r="H1704" s="5"/>
    </row>
    <row r="1705" spans="1:8">
      <c r="A1705" s="5" t="s">
        <v>6809</v>
      </c>
      <c r="B1705" s="5" t="s">
        <v>6810</v>
      </c>
      <c r="C1705" s="263">
        <v>406</v>
      </c>
      <c r="D1705" s="5" t="s">
        <v>6811</v>
      </c>
      <c r="E1705" s="5"/>
      <c r="F1705" s="264">
        <v>3153427723</v>
      </c>
      <c r="G1705" s="5" t="s">
        <v>6812</v>
      </c>
      <c r="H1705" s="5" t="s">
        <v>6812</v>
      </c>
    </row>
    <row r="1706" spans="1:8">
      <c r="A1706" s="250" t="s">
        <v>6813</v>
      </c>
      <c r="B1706" s="250" t="s">
        <v>6814</v>
      </c>
      <c r="C1706" s="251">
        <v>308</v>
      </c>
      <c r="D1706" s="10" t="s">
        <v>6815</v>
      </c>
      <c r="E1706" s="10"/>
      <c r="F1706" s="252">
        <v>3162298869</v>
      </c>
      <c r="G1706" s="276">
        <v>46073</v>
      </c>
      <c r="H1706" s="250" t="s">
        <v>6816</v>
      </c>
    </row>
    <row r="1707" spans="1:8">
      <c r="A1707" s="250" t="s">
        <v>6817</v>
      </c>
      <c r="B1707" s="250" t="s">
        <v>6818</v>
      </c>
      <c r="C1707" s="251">
        <v>505</v>
      </c>
      <c r="D1707" s="10"/>
      <c r="E1707" s="10"/>
      <c r="F1707" s="252">
        <v>3103319365</v>
      </c>
      <c r="G1707" s="278" t="s">
        <v>6819</v>
      </c>
      <c r="H1707" s="250"/>
    </row>
    <row r="1708" spans="1:8">
      <c r="A1708" s="278" t="s">
        <v>6820</v>
      </c>
      <c r="B1708" s="250" t="s">
        <v>6821</v>
      </c>
      <c r="C1708" s="251">
        <v>713</v>
      </c>
      <c r="D1708" s="10"/>
      <c r="E1708" s="10" t="s">
        <v>6014</v>
      </c>
      <c r="F1708" s="252">
        <v>3234492875</v>
      </c>
      <c r="G1708" s="280">
        <v>46072</v>
      </c>
      <c r="H1708" s="250"/>
    </row>
    <row r="1709" spans="1:8">
      <c r="A1709" s="275" t="s">
        <v>6822</v>
      </c>
      <c r="B1709" s="250" t="s">
        <v>6823</v>
      </c>
      <c r="C1709" s="251">
        <v>504</v>
      </c>
      <c r="D1709" s="10" t="s">
        <v>6824</v>
      </c>
      <c r="E1709" s="10"/>
      <c r="F1709" s="252">
        <v>3203970364</v>
      </c>
      <c r="G1709" s="276">
        <v>46073</v>
      </c>
      <c r="H1709" s="250"/>
    </row>
    <row r="1710" spans="1:8">
      <c r="A1710" s="275" t="s">
        <v>6825</v>
      </c>
      <c r="B1710" s="250" t="s">
        <v>6826</v>
      </c>
      <c r="C1710" s="251">
        <v>101</v>
      </c>
      <c r="D1710" s="10"/>
      <c r="E1710" s="10"/>
      <c r="F1710" s="252">
        <v>3012379213</v>
      </c>
      <c r="G1710" s="276">
        <v>46073</v>
      </c>
      <c r="H1710" s="250"/>
    </row>
    <row r="1711" spans="1:8">
      <c r="A1711" s="278" t="s">
        <v>6827</v>
      </c>
      <c r="B1711" s="250" t="s">
        <v>6828</v>
      </c>
      <c r="C1711" s="251">
        <v>202</v>
      </c>
      <c r="D1711" s="10" t="s">
        <v>3460</v>
      </c>
      <c r="E1711" s="10"/>
      <c r="F1711" s="252">
        <v>3146215767</v>
      </c>
      <c r="G1711" s="280">
        <v>46072</v>
      </c>
      <c r="H1711" s="250"/>
    </row>
    <row r="1712" spans="1:8">
      <c r="A1712" s="278" t="s">
        <v>6829</v>
      </c>
      <c r="B1712" s="250" t="s">
        <v>6830</v>
      </c>
      <c r="C1712" s="251">
        <v>402</v>
      </c>
      <c r="D1712" s="10"/>
      <c r="E1712" s="10"/>
      <c r="F1712" s="252">
        <v>3134117777</v>
      </c>
      <c r="G1712" s="250"/>
      <c r="H1712" s="250"/>
    </row>
    <row r="1713" spans="1:8">
      <c r="A1713" s="278" t="s">
        <v>6831</v>
      </c>
      <c r="B1713" s="250" t="s">
        <v>6832</v>
      </c>
      <c r="C1713" s="251">
        <v>206</v>
      </c>
      <c r="D1713" s="10" t="s">
        <v>6833</v>
      </c>
      <c r="E1713" s="10"/>
      <c r="F1713" s="252">
        <v>3184107242</v>
      </c>
      <c r="G1713" s="280">
        <v>46072</v>
      </c>
      <c r="H1713" s="250"/>
    </row>
    <row r="1714" spans="1:8">
      <c r="A1714" s="278" t="s">
        <v>6834</v>
      </c>
      <c r="B1714" s="250" t="s">
        <v>6835</v>
      </c>
      <c r="C1714" s="251"/>
      <c r="D1714" s="10" t="s">
        <v>6836</v>
      </c>
      <c r="E1714" s="10"/>
      <c r="F1714" s="252">
        <v>3188480707</v>
      </c>
      <c r="G1714" s="276">
        <v>46073</v>
      </c>
      <c r="H1714" s="250"/>
    </row>
    <row r="1715" spans="1:8">
      <c r="A1715" s="275" t="s">
        <v>6837</v>
      </c>
      <c r="B1715" s="250" t="s">
        <v>6838</v>
      </c>
      <c r="C1715" s="251">
        <v>407</v>
      </c>
      <c r="D1715" s="10" t="s">
        <v>6839</v>
      </c>
      <c r="E1715" s="10"/>
      <c r="F1715" s="252">
        <v>3115174563</v>
      </c>
      <c r="G1715" s="250"/>
      <c r="H1715" s="250"/>
    </row>
    <row r="1716" spans="1:8">
      <c r="A1716" s="278" t="s">
        <v>6840</v>
      </c>
      <c r="B1716" s="250" t="s">
        <v>6841</v>
      </c>
      <c r="C1716" s="251">
        <v>304</v>
      </c>
      <c r="D1716" s="10"/>
      <c r="E1716" s="10"/>
      <c r="F1716" s="252">
        <v>3002297726</v>
      </c>
      <c r="G1716" s="250"/>
      <c r="H1716" s="250"/>
    </row>
    <row r="1717" spans="1:8">
      <c r="A1717" s="275" t="s">
        <v>6842</v>
      </c>
      <c r="B1717" s="250" t="s">
        <v>6843</v>
      </c>
      <c r="C1717" s="251">
        <v>506</v>
      </c>
      <c r="D1717" s="10" t="s">
        <v>6844</v>
      </c>
      <c r="E1717" s="10"/>
      <c r="F1717" s="252">
        <v>3167593377</v>
      </c>
      <c r="G1717" s="250"/>
      <c r="H1717" s="250"/>
    </row>
    <row r="1718" spans="1:8">
      <c r="A1718" s="278" t="s">
        <v>6845</v>
      </c>
      <c r="B1718" s="250" t="s">
        <v>6846</v>
      </c>
      <c r="C1718" s="251">
        <v>601</v>
      </c>
      <c r="D1718" s="10"/>
      <c r="E1718" s="10"/>
      <c r="F1718" s="252">
        <v>3153711196</v>
      </c>
      <c r="G1718" s="276">
        <v>46073</v>
      </c>
      <c r="H1718" s="250"/>
    </row>
    <row r="1719" spans="1:8">
      <c r="A1719" s="278" t="s">
        <v>6847</v>
      </c>
      <c r="B1719" s="250" t="s">
        <v>6848</v>
      </c>
      <c r="C1719" s="251">
        <v>934</v>
      </c>
      <c r="D1719" s="10"/>
      <c r="E1719" s="10"/>
      <c r="F1719" s="252">
        <v>3204914306</v>
      </c>
      <c r="G1719" s="280">
        <v>46072</v>
      </c>
      <c r="H1719" s="2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PRODUCCIÓN</vt:lpstr>
      <vt:lpstr>SEPTIEMBRE 2025</vt:lpstr>
      <vt:lpstr>VENTAS NAVIDAD</vt:lpstr>
      <vt:lpstr>VENTAS DAILY 2025</vt:lpstr>
      <vt:lpstr> BASE DATOS</vt:lpstr>
      <vt:lpstr>CLIENTES SIN COMPRA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Arango</cp:lastModifiedBy>
  <dcterms:created xsi:type="dcterms:W3CDTF">2026-04-06T19:05:14Z</dcterms:created>
  <dcterms:modified xsi:type="dcterms:W3CDTF">2026-04-06T19:52:20Z</dcterms:modified>
</cp:coreProperties>
</file>